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48954cd2a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5fdf93f0afb4141"/>
    <x:sheet xmlns:r="http://schemas.openxmlformats.org/officeDocument/2006/relationships" name="Domains" sheetId="2" r:id="R695c7b1166bc4bc7"/>
    <x:sheet xmlns:r="http://schemas.openxmlformats.org/officeDocument/2006/relationships" name="Packages" sheetId="3" r:id="R095b48c206de44c1"/>
    <x:sheet xmlns:r="http://schemas.openxmlformats.org/officeDocument/2006/relationships" name="Projects" sheetId="4" r:id="R548d113e01f74aa1"/>
    <x:sheet xmlns:r="http://schemas.openxmlformats.org/officeDocument/2006/relationships" name="Instruments" sheetId="5" r:id="Re5bde5f99fcd447f"/>
    <x:sheet xmlns:r="http://schemas.openxmlformats.org/officeDocument/2006/relationships" name="Safety Gates" sheetId="6" r:id="Rebeab8dccfb14a19"/>
    <x:sheet xmlns:r="http://schemas.openxmlformats.org/officeDocument/2006/relationships" name="Learning Paths" sheetId="7" r:id="R3ed584e7481b4c69"/>
    <x:sheet xmlns:r="http://schemas.openxmlformats.org/officeDocument/2006/relationships" name="Protocol" sheetId="8" r:id="R48d18fdd71514025"/>
    <x:sheet xmlns:r="http://schemas.openxmlformats.org/officeDocument/2006/relationships" name="Raw Log" sheetId="9" r:id="R652da0dbd065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B4D"/>
      <x:name val="Carlito"/>
    </x:font>
    <x:font>
      <x:b/>
      <x:sz val="11"/>
      <x:color rgb="FFFFFFFF"/>
      <x:name val="Carlito"/>
    </x:font>
    <x:font>
      <x:sz val="11"/>
      <x:color rgb="FF172B4D"/>
      <x:name val="Carlito"/>
    </x:font>
    <x:font>
      <x:b/>
      <x:sz val="14"/>
      <x:color rgb="FF2E7D32"/>
      <x:name val="Carlito"/>
    </x:font>
    <x:font>
      <x:b/>
      <x:sz val="14"/>
      <x:color rgb="FFC58A00"/>
      <x:name val="Carlito"/>
    </x:font>
    <x:font>
      <x:b/>
      <x:sz val="13"/>
      <x:color rgb="FFFFFFFF"/>
      <x:name val="Carlito"/>
    </x:font>
    <x:font>
      <x:sz val="9"/>
      <x:color rgb="FF172B4D"/>
      <x:name val="Carlito"/>
    </x:font>
    <x:font>
      <x:b/>
      <x:sz val="9"/>
      <x:color rgb="FF102A43"/>
      <x:name val="Carlito"/>
    </x:font>
    <x:font>
      <x:b/>
      <x:sz val="12"/>
      <x:color rgb="FFFFFFFF"/>
      <x:name val="Carlito"/>
    </x:font>
    <x:font>
      <x:sz val="10"/>
      <x:color rgb="FF172B4D"/>
      <x:name val="Carlito"/>
    </x:font>
    <x:font>
      <x:b/>
      <x:sz val="11"/>
      <x:color rgb="FFB42318"/>
      <x:name val="Carlito"/>
    </x:font>
    <x:font>
      <x:b/>
      <x:sz val="10"/>
      <x:color rgb="FFFFFFFF"/>
      <x:name val="Carlito"/>
    </x:font>
    <x:font>
      <x:b/>
      <x:sz val="9"/>
      <x:color rgb="FF2E7D3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8F1FF"/>
      </x:patternFill>
    </x:fill>
    <x:fill>
      <x:patternFill patternType="solid">
        <x:fgColor rgb="FF087E8B"/>
      </x:patternFill>
    </x:fill>
    <x:fill>
      <x:patternFill patternType="solid">
        <x:fgColor rgb="FFFFFFFF"/>
      </x:patternFill>
    </x:fill>
    <x:fill>
      <x:patternFill patternType="solid">
        <x:fgColor rgb="FFEAF6EA"/>
      </x:patternFill>
    </x:fill>
    <x:fill>
      <x:patternFill patternType="solid">
        <x:fgColor rgb="FFFFF5D6"/>
      </x:patternFill>
    </x:fill>
    <x:fill>
      <x:patternFill patternType="solid">
        <x:fgColor rgb="FFF3F6FA"/>
      </x:patternFill>
    </x:fill>
    <x:fill>
      <x:patternFill patternType="solid">
        <x:fgColor rgb="FFFDECEC"/>
      </x:patternFill>
    </x:fill>
  </x:fills>
  <x:borders count="4">
    <x:border/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C58A00"/>
      </x:left>
      <x:right style="thin">
        <x:color rgb="FFC58A00"/>
      </x:right>
      <x:top style="thin">
        <x:color rgb="FFC58A00"/>
      </x:top>
      <x:bottom style="thin">
        <x:color rgb="FFC58A00"/>
      </x:bottom>
    </x:border>
    <x:border>
      <x:left style="thin">
        <x:color rgb="FFB42318"/>
      </x:left>
      <x:right style="thin">
        <x:color rgb="FFB42318"/>
      </x:right>
      <x:top style="thin">
        <x:color rgb="FFB42318"/>
      </x:top>
      <x:bottom style="thin">
        <x:color rgb="FFB42318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200" fontId="4" fillId="8" borderId="1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2" xfId="0" applyNumberFormat="1" applyFont="1" applyFill="1" applyBorder="1"/>
    <x:xf numFmtId="0" fontId="11" fillId="7" borderId="2" xfId="0" applyNumberFormat="1" applyFont="1" applyFill="1" applyBorder="1" applyAlignment="1">
      <x:alignment wrapText="1"/>
    </x:xf>
    <x:xf numFmtId="0" fontId="11" fillId="7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3" xfId="0" applyNumberFormat="1" applyFont="1" applyFill="1" applyBorder="1"/>
    <x:xf numFmtId="0" fontId="12" fillId="9" borderId="3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200" fontId="4" fillId="8" borderId="1" xfId="0" applyNumberFormat="1" applyFont="1" applyFill="1" applyBorder="1" applyAlignment="1">
      <x:alignment wrapText="1"/>
    </x:xf>
    <x:xf numFmtId="0" fontId="13" fillId="4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1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14" fillId="6" borderId="1" xfId="0" applyNumberFormat="1" applyFont="1" applyFill="1" applyBorder="1" applyAlignment="1">
      <x:alignment vertical="top" wrapText="1"/>
    </x:xf>
    <x:xf numFmtId="201" fontId="14" fillId="6" borderId="1" xfId="0" applyNumberFormat="1" applyFont="1" applyFill="1" applyBorder="1" applyAlignment="1">
      <x:alignment vertical="top" wrapText="1"/>
    </x:xf>
    <x:xf numFmtId="201" fontId="14" fillId="6" borderId="1" xfId="0" applyNumberFormat="1" applyFont="1" applyFill="1" applyBorder="1" applyAlignment="1">
      <x:alignment horizontal="center" vertical="top" wrapText="1"/>
    </x:xf>
    <x:xf numFmtId="0" fontId="8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2E7D32"/>
      </x:font>
      <x:fill>
        <x:patternFill patternType="solid">
          <x:bgColor rgb="FFEAF6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ea1b674ca4a92" /><Relationship Type="http://schemas.openxmlformats.org/officeDocument/2006/relationships/theme" Target="/xl/theme/theme1.xml" Id="R315e0a634d454921" /><Relationship Type="http://schemas.openxmlformats.org/officeDocument/2006/relationships/sharedStrings" Target="/xl/sharedStrings.xml" Id="R0d315ab4b6404d75" /><Relationship Type="http://schemas.openxmlformats.org/officeDocument/2006/relationships/worksheet" Target="/xl/worksheets/sheet1.xml" Id="R55fdf93f0afb4141" /><Relationship Type="http://schemas.openxmlformats.org/officeDocument/2006/relationships/worksheet" Target="/xl/worksheets/sheet2.xml" Id="R695c7b1166bc4bc7" /><Relationship Type="http://schemas.openxmlformats.org/officeDocument/2006/relationships/worksheet" Target="/xl/worksheets/sheet3.xml" Id="R095b48c206de44c1" /><Relationship Type="http://schemas.openxmlformats.org/officeDocument/2006/relationships/worksheet" Target="/xl/worksheets/sheet4.xml" Id="R548d113e01f74aa1" /><Relationship Type="http://schemas.openxmlformats.org/officeDocument/2006/relationships/worksheet" Target="/xl/worksheets/sheet5.xml" Id="Re5bde5f99fcd447f" /><Relationship Type="http://schemas.openxmlformats.org/officeDocument/2006/relationships/worksheet" Target="/xl/worksheets/sheet6.xml" Id="Rebeab8dccfb14a19" /><Relationship Type="http://schemas.openxmlformats.org/officeDocument/2006/relationships/worksheet" Target="/xl/worksheets/sheet7.xml" Id="R3ed584e7481b4c69" /><Relationship Type="http://schemas.openxmlformats.org/officeDocument/2006/relationships/worksheet" Target="/xl/worksheets/sheet8.xml" Id="R48d18fdd71514025" /><Relationship Type="http://schemas.openxmlformats.org/officeDocument/2006/relationships/worksheet" Target="/xl/worksheets/sheet9.xml" Id="R652da0dbd065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24" hidden="0" customWidth="1"/>
    <x:col min="5" max="5" width="19" hidden="0" customWidth="1"/>
    <x:col min="6" max="6" width="24" hidden="0" customWidth="1"/>
    <x:col min="7" max="7" width="19" hidden="0" customWidth="1"/>
    <x:col min="8" max="8" width="24" hidden="0" customWidth="1"/>
  </x:cols>
  <x:sheetData>
    <x:row r="1" ht="32" customHeight="1">
      <x:c r="A1" s="42" t="str">
        <x:v>АТЛАС СОХРАНЕНИЯ ПРАКТИЧЕСКОЙ НАУКИ</x:v>
      </x:c>
      <x:c r="B1" s="42" t="str">
        <x:v>АТЛАС СОХРАНЕНИЯ ПРАКТИЧЕСКОЙ НАУКИ</x:v>
      </x:c>
      <x:c r="C1" s="42" t="str">
        <x:v>АТЛАС СОХРАНЕНИЯ ПРАКТИЧЕСКОЙ НАУКИ</x:v>
      </x:c>
      <x:c r="D1" s="42" t="str">
        <x:v>АТЛАС СОХРАНЕНИЯ ПРАКТИЧЕСКОЙ НАУКИ</x:v>
      </x:c>
      <x:c r="E1" s="42" t="str">
        <x:v>АТЛАС СОХРАНЕНИЯ ПРАКТИЧЕСКОЙ НАУКИ</x:v>
      </x:c>
      <x:c r="F1" s="42" t="str">
        <x:v>АТЛАС СОХРАНЕНИЯ ПРАКТИЧЕСКОЙ НАУКИ</x:v>
      </x:c>
      <x:c r="G1" s="42" t="str">
        <x:v>АТЛАС СОХРАНЕНИЯ ПРАКТИЧЕСКОЙ НАУКИ</x:v>
      </x:c>
      <x:c r="H1" s="42" t="str">
        <x:v>АТЛАС СОХРАНЕНИЯ ПРАКТИЧЕСКОЙ НАУКИ</x:v>
      </x:c>
    </x:row>
    <x:row r="2" ht="38" customHeight="1">
      <x:c r="A2" s="7" t="str">
        <x:v>Версия 0.4 · офлайн-контур на 100 лет · статус не равен фактической загрузке, обучению или профессиональному допуску</x:v>
      </x:c>
      <x:c r="B2" s="7" t="str">
        <x:v>Версия 0.4 · офлайн-контур на 100 лет · статус не равен фактической загрузке, обучению или профессиональному допуску</x:v>
      </x:c>
      <x:c r="C2" s="7" t="str">
        <x:v>Версия 0.4 · офлайн-контур на 100 лет · статус не равен фактической загрузке, обучению или профессиональному допуску</x:v>
      </x:c>
      <x:c r="D2" s="7" t="str">
        <x:v>Версия 0.4 · офлайн-контур на 100 лет · статус не равен фактической загрузке, обучению или профессиональному допуску</x:v>
      </x:c>
      <x:c r="E2" s="7" t="str">
        <x:v>Версия 0.4 · офлайн-контур на 100 лет · статус не равен фактической загрузке, обучению или профессиональному допуску</x:v>
      </x:c>
      <x:c r="F2" s="7" t="str">
        <x:v>Версия 0.4 · офлайн-контур на 100 лет · статус не равен фактической загрузке, обучению или профессиональному допуску</x:v>
      </x:c>
      <x:c r="G2" s="7" t="str">
        <x:v>Версия 0.4 · офлайн-контур на 100 лет · статус не равен фактической загрузке, обучению или профессиональному допуску</x:v>
      </x:c>
      <x:c r="H2" s="7" t="str">
        <x:v>Версия 0.4 · офлайн-контур на 100 лет · статус не равен фактической загрузке, обучению или профессиональному допуску</x:v>
      </x:c>
    </x:row>
    <x:row r="3">
      <x:c r="A3" s="43"/>
      <x:c r="B3" s="43"/>
      <x:c r="C3" s="43"/>
      <x:c r="D3" s="43"/>
      <x:c r="E3" s="43"/>
      <x:c r="F3" s="43"/>
      <x:c r="G3" s="43"/>
      <x:c r="H3" s="43"/>
    </x:row>
    <x:row r="4">
      <x:c r="A4" s="44" t="str">
        <x:v>Показатель</x:v>
      </x:c>
      <x:c r="B4" s="44" t="str">
        <x:v>Значение</x:v>
      </x:c>
      <x:c r="C4" s="44" t="str">
        <x:v>Показатель</x:v>
      </x:c>
      <x:c r="D4" s="44" t="str">
        <x:v>Значение</x:v>
      </x:c>
      <x:c r="E4" s="44" t="str">
        <x:v>Показатель</x:v>
      </x:c>
      <x:c r="F4" s="44" t="str">
        <x:v>Значение</x:v>
      </x:c>
      <x:c r="G4" s="44" t="str">
        <x:v>Показатель</x:v>
      </x:c>
      <x:c r="H4" s="44" t="str">
        <x:v>Значение</x:v>
      </x:c>
    </x:row>
    <x:row r="5" ht="30" customHeight="1">
      <x:c r="A5" s="15" t="str">
        <x:v>Области</x:v>
      </x:c>
      <x:c r="B5" s="18" t="n">
        <x:f>COUNTA('Domains'!$A$4:$A$242)</x:f>
        <x:v>239</x:v>
      </x:c>
      <x:c r="C5" s="15" t="str">
        <x:v>Пакеты-кандидаты</x:v>
      </x:c>
      <x:c r="D5" s="18" t="n">
        <x:f>COUNTA('Packages'!$A$4:$A$262)</x:f>
        <x:v>259</x:v>
      </x:c>
      <x:c r="E5" s="15" t="str">
        <x:v>Проекты</x:v>
      </x:c>
      <x:c r="F5" s="21" t="n">
        <x:f>COUNTA('Projects'!$A$4:$A$242)</x:f>
        <x:v>239</x:v>
      </x:c>
      <x:c r="G5" s="15" t="str">
        <x:v>Инструменты</x:v>
      </x:c>
      <x:c r="H5" s="21" t="n">
        <x:f>COUNTA('Instruments'!$A$4:$A$76)</x:f>
        <x:v>73</x:v>
      </x:c>
    </x:row>
    <x:row r="6" ht="30" customHeight="1">
      <x:c r="A6" s="15" t="str">
        <x:v>S3/S4 domains</x:v>
      </x:c>
      <x:c r="B6" s="18" t="n">
        <x:f>COUNTIF('Domains'!$I$4:$I$242,"S3_LICENSED_PROFESSIONAL")+COUNTIF('Domains'!$I$4:$I$242,"S4_REFERENCE_ONLY_PROHIBITED_HOUSEHOLD")</x:f>
        <x:v>15</x:v>
      </x:c>
      <x:c r="C6" s="15" t="str">
        <x:v>High priority ≥70</x:v>
      </x:c>
      <x:c r="D6" s="18" t="n">
        <x:f>COUNTIF('Packages'!$AK$4:$AK$262,"&gt;=70")</x:f>
        <x:v>24</x:v>
      </x:c>
      <x:c r="E6" s="15" t="str">
        <x:v>Pending acquire/create</x:v>
      </x:c>
      <x:c r="F6" s="21" t="n">
        <x:f>COUNTIF('Packages'!$AC$4:$AC$262,"NOT_DOWNLOADED")+COUNTIF('Packages'!$AC$4:$AC$262,"NOT_CREATED")</x:f>
        <x:v>259</x:v>
      </x:c>
      <x:c r="G6" s="15" t="str">
        <x:v>Safety gates</x:v>
      </x:c>
      <x:c r="H6" s="21" t="n">
        <x:f>COUNTA('Safety Gates'!$A$4:$A$20)</x:f>
        <x:v>17</x:v>
      </x:c>
    </x:row>
    <x:row r="7" ht="30" customHeight="1">
      <x:c r="A7" s="15" t="str">
        <x:v>Learning paths</x:v>
      </x:c>
      <x:c r="B7" s="18" t="n">
        <x:f>COUNTA('Learning Paths'!$A$4:$A$19)</x:f>
        <x:v>16</x:v>
      </x:c>
      <x:c r="C7" s="15" t="str">
        <x:v>Внешние payload</x:v>
      </x:c>
      <x:c r="D7" s="18" t="n">
        <x:v>0</x:v>
      </x:c>
      <x:c r="E7" s="15" t="str">
        <x:v>Выполненные проекты</x:v>
      </x:c>
      <x:c r="F7" s="21" t="n">
        <x:v>0</x:v>
      </x:c>
      <x:c r="G7" s="15" t="str">
        <x:v>Обученные люди</x:v>
      </x:c>
      <x:c r="H7" s="21" t="n">
        <x:v>0</x:v>
      </x:c>
    </x:row>
    <x:row r="8">
      <x:c r="A8" s="43"/>
      <x:c r="B8" s="43"/>
      <x:c r="C8" s="43"/>
      <x:c r="D8" s="43"/>
      <x:c r="E8" s="43"/>
      <x:c r="F8" s="43"/>
      <x:c r="G8" s="43"/>
      <x:c r="H8" s="43"/>
    </x:row>
    <x:row r="9" ht="26" customHeight="1">
      <x:c r="A9" s="45" t="str">
        <x:v>Доказательная единица практической науки</x:v>
      </x:c>
      <x:c r="B9" s="45" t="str">
        <x:v>Доказательная единица практической науки</x:v>
      </x:c>
      <x:c r="C9" s="45" t="str">
        <x:v>Доказательная единица практической науки</x:v>
      </x:c>
      <x:c r="D9" s="45" t="str">
        <x:v>Доказательная единица практической науки</x:v>
      </x:c>
      <x:c r="E9" s="45" t="str">
        <x:v>Доказательная единица практической науки</x:v>
      </x:c>
      <x:c r="F9" s="45" t="str">
        <x:v>Доказательная единица практической науки</x:v>
      </x:c>
      <x:c r="G9" s="45" t="str">
        <x:v>Доказательная единица практической науки</x:v>
      </x:c>
      <x:c r="H9" s="45" t="str">
        <x:v>Доказательная единица практической науки</x:v>
      </x:c>
    </x:row>
    <x:row r="10">
      <x:c r="A10" s="27" t="str">
        <x:v>1. Концепт и предел</x:v>
      </x:c>
      <x:c r="B10" s="26" t="str">
        <x:v>Что утверждается и где модель перестаёт работать.</x:v>
      </x:c>
      <x:c r="C10" s="27" t="str">
        <x:v>2. Источник и права</x:v>
      </x:c>
      <x:c r="D10" s="26" t="str">
        <x:v>Точный publisher/version/URL/license.</x:v>
      </x:c>
      <x:c r="E10" s="27" t="str">
        <x:v>3. Протокол</x:v>
      </x:c>
      <x:c r="F10" s="26" t="str">
        <x:v>Переменные, контроль, выборка, stop.</x:v>
      </x:c>
      <x:c r="G10" s="27" t="str">
        <x:v>4. Инструмент</x:v>
      </x:c>
      <x:c r="H10" s="26" t="str">
        <x:v>Диапазон, калибровка, uncertainty.</x:v>
      </x:c>
    </x:row>
    <x:row r="11">
      <x:c r="A11" s="27" t="str">
        <x:v>5. Сырые данные</x:v>
      </x:c>
      <x:c r="B11" s="26" t="str">
        <x:v>Неизменяемый flat log с единицами.</x:v>
      </x:c>
      <x:c r="C11" s="27" t="str">
        <x:v>6. Расчёт</x:v>
      </x:c>
      <x:c r="D11" s="26" t="str">
        <x:v>Формула, размерность, код/версия.</x:v>
      </x:c>
      <x:c r="E11" s="27" t="str">
        <x:v>7. Критерий успеха</x:v>
      </x:c>
      <x:c r="F11" s="26" t="str">
        <x:v>Задан до результата.</x:v>
      </x:c>
      <x:c r="G11" s="27" t="str">
        <x:v>8. Evidence</x:v>
      </x:c>
      <x:c r="H11" s="26" t="str">
        <x:v>Файл, подпись reviewer, SHA-256.</x:v>
      </x:c>
    </x:row>
    <x:row r="12">
      <x:c r="A12" s="27" t="str">
        <x:v>9. Ошибки</x:v>
      </x:c>
      <x:c r="B12" s="26" t="str">
        <x:v>Отрицательный результат и troubleshooting.</x:v>
      </x:c>
      <x:c r="C12" s="27" t="str">
        <x:v>10. Обслуживание</x:v>
      </x:c>
      <x:c r="D12" s="26" t="str">
        <x:v>Интервал, расходники, запасной путь.</x:v>
      </x:c>
      <x:c r="E12" s="27" t="str">
        <x:v>11. Безопасность</x:v>
      </x:c>
      <x:c r="F12" s="26" t="str">
        <x:v>Hazard, stop, scope, закон.</x:v>
      </x:c>
      <x:c r="G12" s="27" t="str">
        <x:v>12. Teach-back</x:v>
      </x:c>
      <x:c r="H12" s="26" t="str">
        <x:v>Новичок повторяет без автора.</x:v>
      </x:c>
    </x:row>
    <x:row r="13">
      <x:c r="A13" s="27" t="str">
        <x:v>Proof states</x:v>
      </x:c>
      <x:c r="B13" s="26" t="str">
        <x:v>SAVED ≠ OPENED ≠ REVIEWED ≠ LEARNED ≠ DEMONSTRATED ≠ AUTHORIZED</x:v>
      </x:c>
      <x:c r="C13" s="27" t="str">
        <x:v>Fail closed</x:v>
      </x:c>
      <x:c r="D13" s="26" t="str">
        <x:v>При сомнении снижается scope; опасное действие блокируется.</x:v>
      </x:c>
      <x:c r="E13" s="27" t="str">
        <x:v>External payload</x:v>
      </x:c>
      <x:c r="F13" s="26" t="n">
        <x:v>0</x:v>
      </x:c>
      <x:c r="G13" s="27" t="str">
        <x:v>Field evidence</x:v>
      </x:c>
      <x:c r="H13" s="26" t="n">
        <x:v>0</x:v>
      </x:c>
    </x:row>
    <x:row r="14">
      <x:c r="A14" s="27" t="str">
        <x:v>Граница выпуска</x:v>
      </x:c>
      <x:c r="B14" s="26" t="str">
        <x:v>Внешние книги/данные не скачаны; workbook и CSV — архитектура и очередь.</x:v>
      </x:c>
      <x:c r="C14" s="27" t="str">
        <x:v>Локальность</x:v>
      </x:c>
      <x:c r="D14" s="26" t="str">
        <x:v>Portugal/EU требует действующих authority sources.</x:v>
      </x:c>
      <x:c r="E14" s="27" t="str">
        <x:v>100 лет</x:v>
      </x:c>
      <x:c r="F14" s="26" t="str">
        <x:v>Цель — мигрируемая способность, а не обещание срока носителя.</x:v>
      </x:c>
      <x:c r="G14" s="27" t="str">
        <x:v>Дата</x:v>
      </x:c>
      <x:c r="H14" s="26" t="str">
        <x:v>2026-08-29</x:v>
      </x:c>
    </x:row>
    <x:row r="15">
      <x:c r="A15" s="27" t="str">
        <x:v>Минимальный цикл</x:v>
      </x:c>
      <x:c r="B15" s="26" t="str">
        <x:v>READ → CALCULATE → OBSERVE → DEMONSTRATE → REVIEW → TEACH → RESTORE</x:v>
      </x:c>
      <x:c r="C15" s="27" t="str">
        <x:v>Пересмотр</x:v>
      </x:c>
      <x:c r="D15" s="26" t="str">
        <x:v>annual + method change + incident</x:v>
      </x:c>
      <x:c r="E15" s="27" t="str">
        <x:v>Без сети</x:v>
      </x:c>
      <x:c r="F15" s="26" t="str">
        <x:v>reader + open format + checksum + print core</x:v>
      </x:c>
      <x:c r="G15" s="27" t="str">
        <x:v>Версия</x:v>
      </x:c>
      <x:c r="H15" s="26" t="str">
        <x:v>0.4</x:v>
      </x:c>
    </x:row>
    <x:row r="16">
      <x:c r="A16" s="43"/>
      <x:c r="B16" s="43"/>
      <x:c r="C16" s="43"/>
      <x:c r="D16" s="43"/>
      <x:c r="E16" s="43"/>
      <x:c r="F16" s="43"/>
      <x:c r="G16" s="43"/>
      <x:c r="H16" s="43"/>
    </x:row>
    <x:row r="17">
      <x:c r="A17" s="46" t="str">
        <x:v>Формула приоритета пакетов (входы 0–5)</x:v>
      </x:c>
      <x:c r="B17" s="46" t="str">
        <x:v>Формула приоритета пакетов (входы 0–5)</x:v>
      </x:c>
      <x:c r="C17" s="46" t="str">
        <x:v>Формула приоритета пакетов (входы 0–5)</x:v>
      </x:c>
      <x:c r="D17" s="46" t="str">
        <x:v>Формула приоритета пакетов (входы 0–5)</x:v>
      </x:c>
      <x:c r="E17" s="43"/>
      <x:c r="F17" s="43"/>
      <x:c r="G17" s="43"/>
      <x:c r="H17" s="43"/>
    </x:row>
    <x:row r="18">
      <x:c r="A18" s="47" t="str">
        <x:v>Критичность</x:v>
      </x:c>
      <x:c r="B18" s="48" t="n">
        <x:v>0.25</x:v>
      </x:c>
      <x:c r="C18" s="43"/>
      <x:c r="D1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1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1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1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1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19">
      <x:c r="A19" s="47" t="str">
        <x:v>Широта применения</x:v>
      </x:c>
      <x:c r="B19" s="48" t="n">
        <x:v>0.15</x:v>
      </x:c>
      <x:c r="C19" s="43"/>
      <x:c r="D19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19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19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19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19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0">
      <x:c r="A20" s="47" t="str">
        <x:v>Действуемость</x:v>
      </x:c>
      <x:c r="B20" s="48" t="n">
        <x:v>0.15</x:v>
      </x:c>
      <x:c r="C20" s="43"/>
      <x:c r="D20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0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0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0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0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1">
      <x:c r="A21" s="47" t="str">
        <x:v>Воспроизводимость</x:v>
      </x:c>
      <x:c r="B21" s="48" t="n">
        <x:v>0.15</x:v>
      </x:c>
      <x:c r="C21" s="43"/>
      <x:c r="D21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1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1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1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1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2">
      <x:c r="A22" s="47" t="str">
        <x:v>Offline-fit</x:v>
      </x:c>
      <x:c r="B22" s="48" t="n">
        <x:v>0.1</x:v>
      </x:c>
      <x:c r="C22" s="43"/>
      <x:c r="D22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2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2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2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2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3">
      <x:c r="A23" s="47" t="str">
        <x:v>Ясность прав</x:v>
      </x:c>
      <x:c r="B23" s="48" t="n">
        <x:v>0.1</x:v>
      </x:c>
      <x:c r="C23" s="43"/>
      <x:c r="D23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3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3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3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3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4">
      <x:c r="A24" s="47" t="str">
        <x:v>Языковая пригодность</x:v>
      </x:c>
      <x:c r="B24" s="48" t="n">
        <x:v>0.05</x:v>
      </x:c>
      <x:c r="C24" s="43"/>
      <x:c r="D24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4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4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4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4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5">
      <x:c r="A25" s="47" t="str">
        <x:v>Поддерживаемость</x:v>
      </x:c>
      <x:c r="B25" s="48" t="n">
        <x:v>0.05</x:v>
      </x:c>
      <x:c r="C25" s="43"/>
      <x:c r="D25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5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5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5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5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6">
      <x:c r="A26" s="47" t="str">
        <x:v>Штраф безопасности</x:v>
      </x:c>
      <x:c r="B26" s="48" t="n">
        <x:v>0.15</x:v>
      </x:c>
      <x:c r="C26" s="43"/>
      <x:c r="D26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6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6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6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6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7">
      <x:c r="A27" s="47" t="str">
        <x:v>Штраф изменчивости</x:v>
      </x:c>
      <x:c r="B27" s="48" t="n">
        <x:v>0.1</x:v>
      </x:c>
      <x:c r="C27" s="43"/>
      <x:c r="D27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7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7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7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7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8">
      <x:c r="A28" s="47" t="str">
        <x:v>Штраф хранения</x:v>
      </x:c>
      <x:c r="B28" s="48" t="n">
        <x:v>0.05</x:v>
      </x:c>
      <x:c r="C28" s="43"/>
      <x:c r="D2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E2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F2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G2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  <x:c r="H28" s="37" t="str">
        <x:v>Score = MAX(0; MIN(100; ROUND((взвешенные плюсы − взвешенные штрафы) / 5 × 100))).
Цвет и число — только triage очереди. Высокий score не очищает права, не подтверждает загрузку, содержание, безопасность, локальную применимость или профессиональный допуск.
Numeric inputs are assumptions and intentionally visible. Изменяйте их только с журналом решения.</x:v>
      </x:c>
    </x:row>
    <x:row r="29">
      <x:c r="A29" s="43"/>
      <x:c r="B29" s="43"/>
      <x:c r="C29" s="43"/>
      <x:c r="D29" s="43"/>
      <x:c r="E29" s="43"/>
      <x:c r="F29" s="43"/>
      <x:c r="G29" s="43"/>
      <x:c r="H29" s="43"/>
    </x:row>
    <x:row r="30" ht="42" customHeight="1">
      <x:c r="A30" s="41" t="str">
        <x:v>Порядок работы: сначала Safety Gates → Domains → Packages → Learning Paths → Protocol/Raw Log → Projects → Instruments → независимый restore/teach-back.</x:v>
      </x:c>
      <x:c r="B30" s="41" t="str">
        <x:v>Порядок работы: сначала Safety Gates → Domains → Packages → Learning Paths → Protocol/Raw Log → Projects → Instruments → независимый restore/teach-back.</x:v>
      </x:c>
      <x:c r="C30" s="41" t="str">
        <x:v>Порядок работы: сначала Safety Gates → Domains → Packages → Learning Paths → Protocol/Raw Log → Projects → Instruments → независимый restore/teach-back.</x:v>
      </x:c>
      <x:c r="D30" s="41" t="str">
        <x:v>Порядок работы: сначала Safety Gates → Domains → Packages → Learning Paths → Protocol/Raw Log → Projects → Instruments → независимый restore/teach-back.</x:v>
      </x:c>
      <x:c r="E30" s="41" t="str">
        <x:v>Порядок работы: сначала Safety Gates → Domains → Packages → Learning Paths → Protocol/Raw Log → Projects → Instruments → независимый restore/teach-back.</x:v>
      </x:c>
      <x:c r="F30" s="41" t="str">
        <x:v>Порядок работы: сначала Safety Gates → Domains → Packages → Learning Paths → Protocol/Raw Log → Projects → Instruments → независимый restore/teach-back.</x:v>
      </x:c>
      <x:c r="G30" s="41" t="str">
        <x:v>Порядок работы: сначала Safety Gates → Domains → Packages → Learning Paths → Protocol/Raw Log → Projects → Instruments → независимый restore/teach-back.</x:v>
      </x:c>
      <x:c r="H30" s="41" t="str">
        <x:v>Порядок работы: сначала Safety Gates → Domains → Packages → Learning Paths → Protocol/Raw Log → Projects → Instruments → независимый restore/teach-back.</x:v>
      </x:c>
    </x:row>
  </x:sheetData>
  <x:mergeCells>
    <x:mergeCell ref="A1:H1"/>
    <x:mergeCell ref="A2:H2"/>
    <x:mergeCell ref="A9:H9"/>
    <x:mergeCell ref="A17:D17"/>
    <x:mergeCell ref="D18:H28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3" hidden="0" customWidth="1"/>
    <x:col min="5" max="5" width="44" hidden="0" customWidth="1"/>
    <x:col min="6" max="6" width="44" hidden="0" customWidth="1"/>
    <x:col min="7" max="7" width="20" hidden="0" customWidth="1"/>
    <x:col min="8" max="8" width="20" hidden="0" customWidth="1"/>
    <x:col min="9" max="9" width="28" hidden="0" customWidth="1"/>
    <x:col min="10" max="10" width="28" hidden="0" customWidth="1"/>
    <x:col min="11" max="11" width="28" hidden="0" customWidth="1"/>
    <x:col min="14" max="14" width="42" hidden="0" customWidth="1"/>
    <x:col min="15" max="15" width="20" hidden="0" customWidth="1"/>
    <x:col min="16" max="16" width="20" hidden="0" customWidth="1"/>
  </x:cols>
  <x:sheetData>
    <x:row r="1" ht="32" customHeight="1">
      <x:c r="A1" s="42" t="str">
        <x:v>РЕЕСТР ОБЛАСТЕЙ ПРАКТИЧЕСКОЙ НАУКИ</x:v>
      </x:c>
      <x:c r="B1" s="3" t="str">
        <x:v>РЕЕСТР ОБЛАСТЕЙ ПРАКТИЧЕСКОЙ НАУКИ</x:v>
      </x:c>
      <x:c r="C1" s="3" t="str">
        <x:v>РЕЕСТР ОБЛАСТЕЙ ПРАКТИЧЕСКОЙ НАУКИ</x:v>
      </x:c>
      <x:c r="D1" s="3" t="str">
        <x:v>РЕЕСТР ОБЛАСТЕЙ ПРАКТИЧЕСКОЙ НАУКИ</x:v>
      </x:c>
      <x:c r="E1" s="3" t="str">
        <x:v>РЕЕСТР ОБЛАСТЕЙ ПРАКТИЧЕСКОЙ НАУКИ</x:v>
      </x:c>
      <x:c r="F1" s="3" t="str">
        <x:v>РЕЕСТР ОБЛАСТЕЙ ПРАКТИЧЕСКОЙ НАУКИ</x:v>
      </x:c>
      <x:c r="G1" s="3" t="str">
        <x:v>РЕЕСТР ОБЛАСТЕЙ ПРАКТИЧЕСКОЙ НАУКИ</x:v>
      </x:c>
      <x:c r="H1" s="3" t="str">
        <x:v>РЕЕСТР ОБЛАСТЕЙ ПРАКТИЧЕСКОЙ НАУКИ</x:v>
      </x:c>
      <x:c r="I1" s="3" t="str">
        <x:v>РЕЕСТР ОБЛАСТЕЙ ПРАКТИЧЕСКОЙ НАУКИ</x:v>
      </x:c>
      <x:c r="J1" s="3" t="str">
        <x:v>РЕЕСТР ОБЛАСТЕЙ ПРАКТИЧЕСКОЙ НАУКИ</x:v>
      </x:c>
      <x:c r="K1" s="3" t="str">
        <x:v>РЕЕСТР ОБЛАСТЕЙ ПРАКТИЧЕСКОЙ НАУКИ</x:v>
      </x:c>
      <x:c r="L1" s="3" t="str">
        <x:v>РЕЕСТР ОБЛАСТЕЙ ПРАКТИЧЕСКОЙ НАУКИ</x:v>
      </x:c>
      <x:c r="M1" s="3" t="str">
        <x:v>РЕЕСТР ОБЛАСТЕЙ ПРАКТИЧЕСКОЙ НАУКИ</x:v>
      </x:c>
      <x:c r="N1" s="3" t="str">
        <x:v>РЕЕСТР ОБЛАСТЕЙ ПРАКТИЧЕСКОЙ НАУКИ</x:v>
      </x:c>
      <x:c r="O1" s="3" t="str">
        <x:v>РЕЕСТР ОБЛАСТЕЙ ПРАКТИЧЕСКОЙ НАУКИ</x:v>
      </x:c>
      <x:c r="P1" s="3" t="str">
        <x:v>РЕЕСТР ОБЛАСТЕЙ ПРАКТИЧЕСКОЙ НАУКИ</x:v>
      </x:c>
    </x:row>
    <x:row r="2" ht="38" customHeight="1">
      <x:c r="A2" s="7" t="str">
        <x:v>239 областей · каждая требует источника, допустимой проверки, evidence и teach-back</x:v>
      </x:c>
      <x:c r="B2" s="7" t="str">
        <x:v>239 областей · каждая требует источника, допустимой проверки, evidence и teach-back</x:v>
      </x:c>
      <x:c r="C2" s="7" t="str">
        <x:v>239 областей · каждая требует источника, допустимой проверки, evidence и teach-back</x:v>
      </x:c>
      <x:c r="D2" s="7" t="str">
        <x:v>239 областей · каждая требует источника, допустимой проверки, evidence и teach-back</x:v>
      </x:c>
      <x:c r="E2" s="7" t="str">
        <x:v>239 областей · каждая требует источника, допустимой проверки, evidence и teach-back</x:v>
      </x:c>
      <x:c r="F2" s="7" t="str">
        <x:v>239 областей · каждая требует источника, допустимой проверки, evidence и teach-back</x:v>
      </x:c>
      <x:c r="G2" s="7" t="str">
        <x:v>239 областей · каждая требует источника, допустимой проверки, evidence и teach-back</x:v>
      </x:c>
      <x:c r="H2" s="7" t="str">
        <x:v>239 областей · каждая требует источника, допустимой проверки, evidence и teach-back</x:v>
      </x:c>
      <x:c r="I2" s="7" t="str">
        <x:v>239 областей · каждая требует источника, допустимой проверки, evidence и teach-back</x:v>
      </x:c>
      <x:c r="J2" s="7" t="str">
        <x:v>239 областей · каждая требует источника, допустимой проверки, evidence и teach-back</x:v>
      </x:c>
      <x:c r="K2" s="7" t="str">
        <x:v>239 областей · каждая требует источника, допустимой проверки, evidence и teach-back</x:v>
      </x:c>
      <x:c r="L2" s="7" t="str">
        <x:v>239 областей · каждая требует источника, допустимой проверки, evidence и teach-back</x:v>
      </x:c>
      <x:c r="M2" s="7" t="str">
        <x:v>239 областей · каждая требует источника, допустимой проверки, evidence и teach-back</x:v>
      </x:c>
      <x:c r="N2" s="7" t="str">
        <x:v>239 областей · каждая требует источника, допустимой проверки, evidence и teach-back</x:v>
      </x:c>
      <x:c r="O2" s="7" t="str">
        <x:v>239 областей · каждая требует источника, допустимой проверки, evidence и teach-back</x:v>
      </x:c>
      <x:c r="P2" s="7" t="str">
        <x:v>239 областей · каждая требует источника, допустимой проверки, evidence и teach-back</x:v>
      </x:c>
    </x:row>
    <x:row r="3" ht="34" customHeight="1">
      <x:c r="A3" s="52" t="str">
        <x:v>domain_id</x:v>
      </x:c>
      <x:c r="B3" s="52" t="str">
        <x:v>group_code</x:v>
      </x:c>
      <x:c r="C3" s="52" t="str">
        <x:v>group_title_ru</x:v>
      </x:c>
      <x:c r="D3" s="52" t="str">
        <x:v>domain_title_ru</x:v>
      </x:c>
      <x:c r="E3" s="52" t="str">
        <x:v>practical_outcome</x:v>
      </x:c>
      <x:c r="F3" s="52" t="str">
        <x:v>minimum_demonstration</x:v>
      </x:c>
      <x:c r="G3" s="52" t="str">
        <x:v>primary_measure</x:v>
      </x:c>
      <x:c r="H3" s="52" t="str">
        <x:v>unit_or_standard</x:v>
      </x:c>
      <x:c r="I3" s="52" t="str">
        <x:v>safety_class</x:v>
      </x:c>
      <x:c r="J3" s="52" t="str">
        <x:v>safety_definition</x:v>
      </x:c>
      <x:c r="K3" s="52" t="str">
        <x:v>prerequisite_domains</x:v>
      </x:c>
      <x:c r="L3" s="52" t="str">
        <x:v>offline_package_target</x:v>
      </x:c>
      <x:c r="M3" s="52" t="str">
        <x:v>practical_project_target</x:v>
      </x:c>
      <x:c r="N3" s="52" t="str">
        <x:v>successor_proof</x:v>
      </x:c>
      <x:c r="O3" s="52" t="str">
        <x:v>implementation_state</x:v>
      </x:c>
      <x:c r="P3" s="52" t="str">
        <x:v>release_version</x:v>
      </x:c>
    </x:row>
    <x:row r="4">
      <x:c r="A4" s="53" t="str">
        <x:v>SCI-METH-01</x:v>
      </x:c>
      <x:c r="B4" s="53" t="str">
        <x:v>METH</x:v>
      </x:c>
      <x:c r="C4" s="53" t="str">
        <x:v>Научный метод и метрология</x:v>
      </x:c>
      <x:c r="D4" s="53" t="str">
        <x:v>Постановка проверяемого вопроса и фальсифицируемость</x:v>
      </x:c>
      <x:c r="E4" s="53" t="str">
        <x:v>Объяснить базовую модель, выполнить допустимую для класса риска проверку и документировать пределы по теме «Постановка проверяемого вопроса и фальсифицируемость».</x:v>
      </x:c>
      <x:c r="F4" s="53" t="str">
        <x:v>формулировка вопроса, проверяемого наблюдением</x:v>
      </x:c>
      <x:c r="G4" s="53" t="str">
        <x:v>протокол/неопределённость</x:v>
      </x:c>
      <x:c r="H4" s="53" t="str">
        <x:v>SI или явно названный стандарт</x:v>
      </x:c>
      <x:c r="I4" s="53" t="str">
        <x:v>S0_OBSERVE_READ</x:v>
      </x:c>
      <x:c r="J4" s="53" t="str">
        <x:v>Наблюдение, чтение, расчёт или работа с опубликованным набором данных; физического вмешательства нет.</x:v>
      </x:c>
      <x:c r="K4" s="53" t="str"/>
      <x:c r="L4" s="53" t="n">
        <x:v>1</x:v>
      </x:c>
      <x:c r="M4" s="53" t="n">
        <x:v>1</x:v>
      </x:c>
      <x:c r="N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" s="53" t="str">
        <x:v>FRAMEWORK_ONLY_NOT_TRAINED</x:v>
      </x:c>
      <x:c r="P4" s="53" t="str">
        <x:v>0.4</x:v>
      </x:c>
    </x:row>
    <x:row r="5">
      <x:c r="A5" s="26" t="str">
        <x:v>SCI-METH-02</x:v>
      </x:c>
      <x:c r="B5" s="26" t="str">
        <x:v>METH</x:v>
      </x:c>
      <x:c r="C5" s="26" t="str">
        <x:v>Научный метод и метрология</x:v>
      </x:c>
      <x:c r="D5" s="26" t="str">
        <x:v>Иерархия источников, происхождение и конфликт интересов</x:v>
      </x:c>
      <x:c r="E5" s="26" t="str">
        <x:v>Объяснить базовую модель, выполнить допустимую для класса риска проверку и документировать пределы по теме «Иерархия источников, происхождение и конфликт интересов».</x:v>
      </x:c>
      <x:c r="F5" s="26" t="str">
        <x:v>карта утверждение → первичный источник → дата → права</x:v>
      </x:c>
      <x:c r="G5" s="26" t="str">
        <x:v>протокол/неопределённость</x:v>
      </x:c>
      <x:c r="H5" s="26" t="str">
        <x:v>SI или явно названный стандарт</x:v>
      </x:c>
      <x:c r="I5" s="26" t="str">
        <x:v>S0_OBSERVE_READ</x:v>
      </x:c>
      <x:c r="J5" s="26" t="str">
        <x:v>Наблюдение, чтение, расчёт или работа с опубликованным набором данных; физического вмешательства нет.</x:v>
      </x:c>
      <x:c r="K5" s="26" t="str">
        <x:v>SCI-METH-01</x:v>
      </x:c>
      <x:c r="L5" s="26" t="n">
        <x:v>1</x:v>
      </x:c>
      <x:c r="M5" s="26" t="n">
        <x:v>1</x:v>
      </x:c>
      <x:c r="N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" s="26" t="str">
        <x:v>FRAMEWORK_ONLY_NOT_TRAINED</x:v>
      </x:c>
      <x:c r="P5" s="26" t="str">
        <x:v>0.4</x:v>
      </x:c>
    </x:row>
    <x:row r="6">
      <x:c r="A6" s="53" t="str">
        <x:v>SCI-METH-03</x:v>
      </x:c>
      <x:c r="B6" s="53" t="str">
        <x:v>METH</x:v>
      </x:c>
      <x:c r="C6" s="53" t="str">
        <x:v>Научный метод и метрология</x:v>
      </x:c>
      <x:c r="D6" s="53" t="str">
        <x:v>Гипотеза, контроль и альтернативные объяснения</x:v>
      </x:c>
      <x:c r="E6" s="53" t="str">
        <x:v>Объяснить базовую модель, выполнить допустимую для класса риска проверку и документировать пределы по теме «Гипотеза, контроль и альтернативные объяснения».</x:v>
      </x:c>
      <x:c r="F6" s="53" t="str">
        <x:v>таблица конкурирующих гипотез и различающих наблюдений</x:v>
      </x:c>
      <x:c r="G6" s="53" t="str">
        <x:v>протокол/неопределённость</x:v>
      </x:c>
      <x:c r="H6" s="53" t="str">
        <x:v>SI или явно названный стандарт</x:v>
      </x:c>
      <x:c r="I6" s="53" t="str">
        <x:v>S0_OBSERVE_READ</x:v>
      </x:c>
      <x:c r="J6" s="53" t="str">
        <x:v>Наблюдение, чтение, расчёт или работа с опубликованным набором данных; физического вмешательства нет.</x:v>
      </x:c>
      <x:c r="K6" s="53" t="str">
        <x:v>SCI-METH-02|SCI-METH-01</x:v>
      </x:c>
      <x:c r="L6" s="53" t="n">
        <x:v>1</x:v>
      </x:c>
      <x:c r="M6" s="53" t="n">
        <x:v>1</x:v>
      </x:c>
      <x:c r="N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" s="53" t="str">
        <x:v>FRAMEWORK_ONLY_NOT_TRAINED</x:v>
      </x:c>
      <x:c r="P6" s="53" t="str">
        <x:v>0.4</x:v>
      </x:c>
    </x:row>
    <x:row r="7">
      <x:c r="A7" s="26" t="str">
        <x:v>SCI-METH-04</x:v>
      </x:c>
      <x:c r="B7" s="26" t="str">
        <x:v>METH</x:v>
      </x:c>
      <x:c r="C7" s="26" t="str">
        <x:v>Научный метод и метрология</x:v>
      </x:c>
      <x:c r="D7" s="26" t="str">
        <x:v>Планирование эксперимента и предрегистрация</x:v>
      </x:c>
      <x:c r="E7" s="26" t="str">
        <x:v>Объяснить базовую модель, выполнить допустимую для класса риска проверку и документировать пределы по теме «Планирование эксперимента и предрегистрация».</x:v>
      </x:c>
      <x:c r="F7" s="26" t="str">
        <x:v>заранее записанные переменные, критерий успеха и стоп-условие</x:v>
      </x:c>
      <x:c r="G7" s="26" t="str">
        <x:v>протокол/неопределённость</x:v>
      </x:c>
      <x:c r="H7" s="26" t="str">
        <x:v>SI или явно названный стандарт</x:v>
      </x:c>
      <x:c r="I7" s="26" t="str">
        <x:v>S0_OBSERVE_READ</x:v>
      </x:c>
      <x:c r="J7" s="26" t="str">
        <x:v>Наблюдение, чтение, расчёт или работа с опубликованным набором данных; физического вмешательства нет.</x:v>
      </x:c>
      <x:c r="K7" s="26" t="str">
        <x:v>SCI-METH-03|SCI-METH-01</x:v>
      </x:c>
      <x:c r="L7" s="26" t="n">
        <x:v>1</x:v>
      </x:c>
      <x:c r="M7" s="26" t="n">
        <x:v>1</x:v>
      </x:c>
      <x:c r="N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" s="26" t="str">
        <x:v>FRAMEWORK_ONLY_NOT_TRAINED</x:v>
      </x:c>
      <x:c r="P7" s="26" t="str">
        <x:v>0.4</x:v>
      </x:c>
    </x:row>
    <x:row r="8">
      <x:c r="A8" s="53" t="str">
        <x:v>SCI-METH-05</x:v>
      </x:c>
      <x:c r="B8" s="53" t="str">
        <x:v>METH</x:v>
      </x:c>
      <x:c r="C8" s="53" t="str">
        <x:v>Научный метод и метрология</x:v>
      </x:c>
      <x:c r="D8" s="53" t="str">
        <x:v>Выборка, смещение и репрезентативность</x:v>
      </x:c>
      <x:c r="E8" s="53" t="str">
        <x:v>Объяснить базовую модель, выполнить допустимую для класса риска проверку и документировать пределы по теме «Выборка, смещение и репрезентативность».</x:v>
      </x:c>
      <x:c r="F8" s="53" t="str">
        <x:v>описание рамки выборки и известных смещений</x:v>
      </x:c>
      <x:c r="G8" s="53" t="str">
        <x:v>протокол/неопределённость</x:v>
      </x:c>
      <x:c r="H8" s="53" t="str">
        <x:v>SI или явно названный стандарт</x:v>
      </x:c>
      <x:c r="I8" s="53" t="str">
        <x:v>S0_OBSERVE_READ</x:v>
      </x:c>
      <x:c r="J8" s="53" t="str">
        <x:v>Наблюдение, чтение, расчёт или работа с опубликованным набором данных; физического вмешательства нет.</x:v>
      </x:c>
      <x:c r="K8" s="53" t="str">
        <x:v>SCI-METH-04|SCI-METH-01</x:v>
      </x:c>
      <x:c r="L8" s="53" t="n">
        <x:v>1</x:v>
      </x:c>
      <x:c r="M8" s="53" t="n">
        <x:v>1</x:v>
      </x:c>
      <x:c r="N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" s="53" t="str">
        <x:v>FRAMEWORK_ONLY_NOT_TRAINED</x:v>
      </x:c>
      <x:c r="P8" s="53" t="str">
        <x:v>0.4</x:v>
      </x:c>
    </x:row>
    <x:row r="9">
      <x:c r="A9" s="26" t="str">
        <x:v>SCI-METH-06</x:v>
      </x:c>
      <x:c r="B9" s="26" t="str">
        <x:v>METH</x:v>
      </x:c>
      <x:c r="C9" s="26" t="str">
        <x:v>Научный метод и метрология</x:v>
      </x:c>
      <x:c r="D9" s="26" t="str">
        <x:v>Словарь данных, типы переменных и единицы</x:v>
      </x:c>
      <x:c r="E9" s="26" t="str">
        <x:v>Объяснить базовую модель, выполнить допустимую для класса риска проверку и документировать пределы по теме «Словарь данных, типы переменных и единицы».</x:v>
      </x:c>
      <x:c r="F9" s="26" t="str">
        <x:v>машиночитаемый словарь поля → тип → единица → допустимый диапазон</x:v>
      </x:c>
      <x:c r="G9" s="26" t="str">
        <x:v>протокол/неопределённость</x:v>
      </x:c>
      <x:c r="H9" s="26" t="str">
        <x:v>SI или явно названный стандарт</x:v>
      </x:c>
      <x:c r="I9" s="26" t="str">
        <x:v>S0_OBSERVE_READ</x:v>
      </x:c>
      <x:c r="J9" s="26" t="str">
        <x:v>Наблюдение, чтение, расчёт или работа с опубликованным набором данных; физического вмешательства нет.</x:v>
      </x:c>
      <x:c r="K9" s="26" t="str">
        <x:v>SCI-METH-05|SCI-METH-01</x:v>
      </x:c>
      <x:c r="L9" s="26" t="n">
        <x:v>1</x:v>
      </x:c>
      <x:c r="M9" s="26" t="n">
        <x:v>1</x:v>
      </x:c>
      <x:c r="N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" s="26" t="str">
        <x:v>FRAMEWORK_ONLY_NOT_TRAINED</x:v>
      </x:c>
      <x:c r="P9" s="26" t="str">
        <x:v>0.4</x:v>
      </x:c>
    </x:row>
    <x:row r="10">
      <x:c r="A10" s="53" t="str">
        <x:v>SCI-METH-07</x:v>
      </x:c>
      <x:c r="B10" s="53" t="str">
        <x:v>METH</x:v>
      </x:c>
      <x:c r="C10" s="53" t="str">
        <x:v>Научный метод и метрология</x:v>
      </x:c>
      <x:c r="D10" s="53" t="str">
        <x:v>SI, размерностный анализ и преобразование единиц</x:v>
      </x:c>
      <x:c r="E10" s="53" t="str">
        <x:v>Объяснить базовую модель, выполнить допустимую для класса риска проверку и документировать пределы по теме «SI, размерностный анализ и преобразование единиц».</x:v>
      </x:c>
      <x:c r="F10" s="53" t="str">
        <x:v>проверка размерности и независимый пересчёт единиц</x:v>
      </x:c>
      <x:c r="G10" s="53" t="str">
        <x:v>протокол/неопределённость</x:v>
      </x:c>
      <x:c r="H10" s="53" t="str">
        <x:v>SI или явно названный стандарт</x:v>
      </x:c>
      <x:c r="I10" s="53" t="str">
        <x:v>S0_OBSERVE_READ</x:v>
      </x:c>
      <x:c r="J10" s="53" t="str">
        <x:v>Наблюдение, чтение, расчёт или работа с опубликованным набором данных; физического вмешательства нет.</x:v>
      </x:c>
      <x:c r="K10" s="53" t="str">
        <x:v>SCI-METH-06|SCI-METH-01</x:v>
      </x:c>
      <x:c r="L10" s="53" t="n">
        <x:v>1</x:v>
      </x:c>
      <x:c r="M10" s="53" t="n">
        <x:v>1</x:v>
      </x:c>
      <x:c r="N1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" s="53" t="str">
        <x:v>FRAMEWORK_ONLY_NOT_TRAINED</x:v>
      </x:c>
      <x:c r="P10" s="53" t="str">
        <x:v>0.4</x:v>
      </x:c>
    </x:row>
    <x:row r="11">
      <x:c r="A11" s="26" t="str">
        <x:v>SCI-METH-08</x:v>
      </x:c>
      <x:c r="B11" s="26" t="str">
        <x:v>METH</x:v>
      </x:c>
      <x:c r="C11" s="26" t="str">
        <x:v>Научный метод и метрология</x:v>
      </x:c>
      <x:c r="D11" s="26" t="str">
        <x:v>Калибровка и метрологическая прослеживаемость</x:v>
      </x:c>
      <x:c r="E11" s="26" t="str">
        <x:v>Объяснить базовую модель, выполнить допустимую для класса риска проверку и документировать пределы по теме «Калибровка и метрологическая прослеживаемость».</x:v>
      </x:c>
      <x:c r="F11" s="26" t="str">
        <x:v>запись эталона, диапазона, поправки и срока следующей проверки</x:v>
      </x:c>
      <x:c r="G11" s="26" t="str">
        <x:v>протокол/неопределённость</x:v>
      </x:c>
      <x:c r="H11" s="26" t="str">
        <x:v>SI или явно названный стандарт</x:v>
      </x:c>
      <x:c r="I11" s="26" t="str">
        <x:v>S0_OBSERVE_READ</x:v>
      </x:c>
      <x:c r="J11" s="26" t="str">
        <x:v>Наблюдение, чтение, расчёт или работа с опубликованным набором данных; физического вмешательства нет.</x:v>
      </x:c>
      <x:c r="K11" s="26" t="str">
        <x:v>SCI-METH-07|SCI-METH-01</x:v>
      </x:c>
      <x:c r="L11" s="26" t="n">
        <x:v>1</x:v>
      </x:c>
      <x:c r="M11" s="26" t="n">
        <x:v>1</x:v>
      </x:c>
      <x:c r="N1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" s="26" t="str">
        <x:v>FRAMEWORK_ONLY_NOT_TRAINED</x:v>
      </x:c>
      <x:c r="P11" s="26" t="str">
        <x:v>0.4</x:v>
      </x:c>
    </x:row>
    <x:row r="12">
      <x:c r="A12" s="53" t="str">
        <x:v>SCI-METH-09</x:v>
      </x:c>
      <x:c r="B12" s="53" t="str">
        <x:v>METH</x:v>
      </x:c>
      <x:c r="C12" s="53" t="str">
        <x:v>Научный метод и метрология</x:v>
      </x:c>
      <x:c r="D12" s="53" t="str">
        <x:v>Повторяемость, воспроизводимость и стабильность</x:v>
      </x:c>
      <x:c r="E12" s="53" t="str">
        <x:v>Объяснить базовую модель, выполнить допустимую для класса риска проверку и документировать пределы по теме «Повторяемость, воспроизводимость и стабильность».</x:v>
      </x:c>
      <x:c r="F12" s="53" t="str">
        <x:v>серия повторов одним и двумя операторами</x:v>
      </x:c>
      <x:c r="G12" s="53" t="str">
        <x:v>протокол/неопределённость</x:v>
      </x:c>
      <x:c r="H12" s="53" t="str">
        <x:v>SI или явно названный стандарт</x:v>
      </x:c>
      <x:c r="I12" s="53" t="str">
        <x:v>S0_OBSERVE_READ</x:v>
      </x:c>
      <x:c r="J12" s="53" t="str">
        <x:v>Наблюдение, чтение, расчёт или работа с опубликованным набором данных; физического вмешательства нет.</x:v>
      </x:c>
      <x:c r="K12" s="53" t="str">
        <x:v>SCI-METH-08|SCI-METH-01</x:v>
      </x:c>
      <x:c r="L12" s="53" t="n">
        <x:v>1</x:v>
      </x:c>
      <x:c r="M12" s="53" t="n">
        <x:v>1</x:v>
      </x:c>
      <x:c r="N1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" s="53" t="str">
        <x:v>FRAMEWORK_ONLY_NOT_TRAINED</x:v>
      </x:c>
      <x:c r="P12" s="53" t="str">
        <x:v>0.4</x:v>
      </x:c>
    </x:row>
    <x:row r="13">
      <x:c r="A13" s="26" t="str">
        <x:v>SCI-METH-10</x:v>
      </x:c>
      <x:c r="B13" s="26" t="str">
        <x:v>METH</x:v>
      </x:c>
      <x:c r="C13" s="26" t="str">
        <x:v>Научный метод и метрология</x:v>
      </x:c>
      <x:c r="D13" s="26" t="str">
        <x:v>Неопределённость и распространение ошибок</x:v>
      </x:c>
      <x:c r="E13" s="26" t="str">
        <x:v>Объяснить базовую модель, выполнить допустимую для класса риска проверку и документировать пределы по теме «Неопределённость и распространение ошибок».</x:v>
      </x:c>
      <x:c r="F13" s="26" t="str">
        <x:v>бюджет неопределённости с допущениями</x:v>
      </x:c>
      <x:c r="G13" s="26" t="str">
        <x:v>протокол/неопределённость</x:v>
      </x:c>
      <x:c r="H13" s="26" t="str">
        <x:v>SI или явно названный стандарт</x:v>
      </x:c>
      <x:c r="I13" s="26" t="str">
        <x:v>S0_OBSERVE_READ</x:v>
      </x:c>
      <x:c r="J13" s="26" t="str">
        <x:v>Наблюдение, чтение, расчёт или работа с опубликованным набором данных; физического вмешательства нет.</x:v>
      </x:c>
      <x:c r="K13" s="26" t="str">
        <x:v>SCI-METH-09|SCI-METH-01</x:v>
      </x:c>
      <x:c r="L13" s="26" t="n">
        <x:v>1</x:v>
      </x:c>
      <x:c r="M13" s="26" t="n">
        <x:v>1</x:v>
      </x:c>
      <x:c r="N1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" s="26" t="str">
        <x:v>FRAMEWORK_ONLY_NOT_TRAINED</x:v>
      </x:c>
      <x:c r="P13" s="26" t="str">
        <x:v>0.4</x:v>
      </x:c>
    </x:row>
    <x:row r="14">
      <x:c r="A14" s="53" t="str">
        <x:v>SCI-METH-11</x:v>
      </x:c>
      <x:c r="B14" s="53" t="str">
        <x:v>METH</x:v>
      </x:c>
      <x:c r="C14" s="53" t="str">
        <x:v>Научный метод и метрология</x:v>
      </x:c>
      <x:c r="D14" s="53" t="str">
        <x:v>Разведочный анализ и визуальная проверка данных</x:v>
      </x:c>
      <x:c r="E14" s="53" t="str">
        <x:v>Объяснить базовую модель, выполнить допустимую для класса риска проверку и документировать пределы по теме «Разведочный анализ и визуальная проверка данных».</x:v>
      </x:c>
      <x:c r="F14" s="53" t="str">
        <x:v>график, выбросы, пропуски и сохранённые сырые данные</x:v>
      </x:c>
      <x:c r="G14" s="53" t="str">
        <x:v>протокол/неопределённость</x:v>
      </x:c>
      <x:c r="H14" s="53" t="str">
        <x:v>SI или явно названный стандарт</x:v>
      </x:c>
      <x:c r="I14" s="53" t="str">
        <x:v>S0_OBSERVE_READ</x:v>
      </x:c>
      <x:c r="J14" s="53" t="str">
        <x:v>Наблюдение, чтение, расчёт или работа с опубликованным набором данных; физического вмешательства нет.</x:v>
      </x:c>
      <x:c r="K14" s="53" t="str">
        <x:v>SCI-METH-10|SCI-METH-01</x:v>
      </x:c>
      <x:c r="L14" s="53" t="n">
        <x:v>1</x:v>
      </x:c>
      <x:c r="M14" s="53" t="n">
        <x:v>1</x:v>
      </x:c>
      <x:c r="N1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" s="53" t="str">
        <x:v>FRAMEWORK_ONLY_NOT_TRAINED</x:v>
      </x:c>
      <x:c r="P14" s="53" t="str">
        <x:v>0.4</x:v>
      </x:c>
    </x:row>
    <x:row r="15">
      <x:c r="A15" s="26" t="str">
        <x:v>SCI-METH-12</x:v>
      </x:c>
      <x:c r="B15" s="26" t="str">
        <x:v>METH</x:v>
      </x:c>
      <x:c r="C15" s="26" t="str">
        <x:v>Научный метод и метрология</x:v>
      </x:c>
      <x:c r="D15" s="26" t="str">
        <x:v>Статистический вывод, корреляция и причинность</x:v>
      </x:c>
      <x:c r="E15" s="26" t="str">
        <x:v>Объяснить базовую модель, выполнить допустимую для класса риска проверку и документировать пределы по теме «Статистический вывод, корреляция и причинность».</x:v>
      </x:c>
      <x:c r="F15" s="26" t="str">
        <x:v>явное разделение ассоциации, механизма и причинного вывода</x:v>
      </x:c>
      <x:c r="G15" s="26" t="str">
        <x:v>протокол/неопределённость</x:v>
      </x:c>
      <x:c r="H15" s="26" t="str">
        <x:v>SI или явно названный стандарт</x:v>
      </x:c>
      <x:c r="I15" s="26" t="str">
        <x:v>S0_OBSERVE_READ</x:v>
      </x:c>
      <x:c r="J15" s="26" t="str">
        <x:v>Наблюдение, чтение, расчёт или работа с опубликованным набором данных; физического вмешательства нет.</x:v>
      </x:c>
      <x:c r="K15" s="26" t="str">
        <x:v>SCI-METH-11|SCI-METH-01</x:v>
      </x:c>
      <x:c r="L15" s="26" t="n">
        <x:v>1</x:v>
      </x:c>
      <x:c r="M15" s="26" t="n">
        <x:v>1</x:v>
      </x:c>
      <x:c r="N1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" s="26" t="str">
        <x:v>FRAMEWORK_ONLY_NOT_TRAINED</x:v>
      </x:c>
      <x:c r="P15" s="26" t="str">
        <x:v>0.4</x:v>
      </x:c>
    </x:row>
    <x:row r="16">
      <x:c r="A16" s="53" t="str">
        <x:v>SCI-METH-13</x:v>
      </x:c>
      <x:c r="B16" s="53" t="str">
        <x:v>METH</x:v>
      </x:c>
      <x:c r="C16" s="53" t="str">
        <x:v>Научный метод и метрология</x:v>
      </x:c>
      <x:c r="D16" s="53" t="str">
        <x:v>Лабораторный журнал, версии и отрицательные результаты</x:v>
      </x:c>
      <x:c r="E16" s="53" t="str">
        <x:v>Объяснить базовую модель, выполнить допустимую для класса риска проверку и документировать пределы по теме «Лабораторный журнал, версии и отрицательные результаты».</x:v>
      </x:c>
      <x:c r="F16" s="53" t="str">
        <x:v>неизменяемая запись метода, версии, ошибок и исходов</x:v>
      </x:c>
      <x:c r="G16" s="53" t="str">
        <x:v>протокол/неопределённость</x:v>
      </x:c>
      <x:c r="H16" s="53" t="str">
        <x:v>SI или явно названный стандарт</x:v>
      </x:c>
      <x:c r="I16" s="53" t="str">
        <x:v>S0_OBSERVE_READ</x:v>
      </x:c>
      <x:c r="J16" s="53" t="str">
        <x:v>Наблюдение, чтение, расчёт или работа с опубликованным набором данных; физического вмешательства нет.</x:v>
      </x:c>
      <x:c r="K16" s="53" t="str">
        <x:v>SCI-METH-12|SCI-METH-01</x:v>
      </x:c>
      <x:c r="L16" s="53" t="n">
        <x:v>1</x:v>
      </x:c>
      <x:c r="M16" s="53" t="n">
        <x:v>1</x:v>
      </x:c>
      <x:c r="N1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" s="53" t="str">
        <x:v>FRAMEWORK_ONLY_NOT_TRAINED</x:v>
      </x:c>
      <x:c r="P16" s="53" t="str">
        <x:v>0.4</x:v>
      </x:c>
    </x:row>
    <x:row r="17">
      <x:c r="A17" s="26" t="str">
        <x:v>SCI-METH-14</x:v>
      </x:c>
      <x:c r="B17" s="26" t="str">
        <x:v>METH</x:v>
      </x:c>
      <x:c r="C17" s="26" t="str">
        <x:v>Научный метод и метрология</x:v>
      </x:c>
      <x:c r="D17" s="26" t="str">
        <x:v>Этика, риск, согласие и право остановить опыт</x:v>
      </x:c>
      <x:c r="E17" s="26" t="str">
        <x:v>Объяснить базовую модель, выполнить допустимую для класса риска проверку и документировать пределы по теме «Этика, риск, согласие и право остановить опыт».</x:v>
      </x:c>
      <x:c r="F17" s="26" t="str">
        <x:v>предварительный риск-анализ и подписанное стоп-правило</x:v>
      </x:c>
      <x:c r="G17" s="26" t="str">
        <x:v>протокол/неопределённость</x:v>
      </x:c>
      <x:c r="H17" s="26" t="str">
        <x:v>SI или явно названный стандарт</x:v>
      </x:c>
      <x:c r="I17" s="26" t="str">
        <x:v>S0_OBSERVE_READ</x:v>
      </x:c>
      <x:c r="J17" s="26" t="str">
        <x:v>Наблюдение, чтение, расчёт или работа с опубликованным набором данных; физического вмешательства нет.</x:v>
      </x:c>
      <x:c r="K17" s="26" t="str">
        <x:v>SCI-METH-13|SCI-METH-01</x:v>
      </x:c>
      <x:c r="L17" s="26" t="n">
        <x:v>1</x:v>
      </x:c>
      <x:c r="M17" s="26" t="n">
        <x:v>1</x:v>
      </x:c>
      <x:c r="N1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" s="26" t="str">
        <x:v>FRAMEWORK_ONLY_NOT_TRAINED</x:v>
      </x:c>
      <x:c r="P17" s="26" t="str">
        <x:v>0.4</x:v>
      </x:c>
    </x:row>
    <x:row r="18">
      <x:c r="A18" s="53" t="str">
        <x:v>SCI-MATH-01</x:v>
      </x:c>
      <x:c r="B18" s="53" t="str">
        <x:v>MATH</x:v>
      </x:c>
      <x:c r="C18" s="53" t="str">
        <x:v>Математика и количественное мышление</x:v>
      </x:c>
      <x:c r="D18" s="53" t="str">
        <x:v>Арифметика, порядок действий и оценка порядка величины</x:v>
      </x:c>
      <x:c r="E18" s="53" t="str">
        <x:v>Объяснить базовую модель, выполнить допустимую для класса риска проверку и документировать пределы по теме «Арифметика, порядок действий и оценка порядка величины».</x:v>
      </x:c>
      <x:c r="F18" s="53" t="str">
        <x:v>ручной и независимый расчёт с оценкой сверху/снизу</x:v>
      </x:c>
      <x:c r="G18" s="53" t="str">
        <x:v>расчёт/невязка</x:v>
      </x:c>
      <x:c r="H18" s="53" t="str">
        <x:v>SI или явно названный стандарт</x:v>
      </x:c>
      <x:c r="I18" s="53" t="str">
        <x:v>S0_OBSERVE_READ</x:v>
      </x:c>
      <x:c r="J18" s="53" t="str">
        <x:v>Наблюдение, чтение, расчёт или работа с опубликованным набором данных; физического вмешательства нет.</x:v>
      </x:c>
      <x:c r="K18" s="53" t="str">
        <x:v>SCI-METH-01|SCI-METH-07|SCI-METH-14</x:v>
      </x:c>
      <x:c r="L18" s="53" t="n">
        <x:v>1</x:v>
      </x:c>
      <x:c r="M18" s="53" t="n">
        <x:v>1</x:v>
      </x:c>
      <x:c r="N1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" s="53" t="str">
        <x:v>FRAMEWORK_ONLY_NOT_TRAINED</x:v>
      </x:c>
      <x:c r="P18" s="53" t="str">
        <x:v>0.4</x:v>
      </x:c>
    </x:row>
    <x:row r="19">
      <x:c r="A19" s="26" t="str">
        <x:v>SCI-MATH-02</x:v>
      </x:c>
      <x:c r="B19" s="26" t="str">
        <x:v>MATH</x:v>
      </x:c>
      <x:c r="C19" s="26" t="str">
        <x:v>Математика и количественное мышление</x:v>
      </x:c>
      <x:c r="D19" s="26" t="str">
        <x:v>Дроби, отношения, проценты и пропорции</x:v>
      </x:c>
      <x:c r="E19" s="26" t="str">
        <x:v>Объяснить базовую модель, выполнить допустимую для класса риска проверку и документировать пределы по теме «Дроби, отношения, проценты и пропорции».</x:v>
      </x:c>
      <x:c r="F19" s="26" t="str">
        <x:v>масштабирование рецепта или ресурса с проверкой суммы</x:v>
      </x:c>
      <x:c r="G19" s="26" t="str">
        <x:v>расчёт/невязка</x:v>
      </x:c>
      <x:c r="H19" s="26" t="str">
        <x:v>SI или явно названный стандарт</x:v>
      </x:c>
      <x:c r="I19" s="26" t="str">
        <x:v>S0_OBSERVE_READ</x:v>
      </x:c>
      <x:c r="J19" s="26" t="str">
        <x:v>Наблюдение, чтение, расчёт или работа с опубликованным набором данных; физического вмешательства нет.</x:v>
      </x:c>
      <x:c r="K19" s="26" t="str">
        <x:v>SCI-MATH-01|SCI-METH-13</x:v>
      </x:c>
      <x:c r="L19" s="26" t="n">
        <x:v>1</x:v>
      </x:c>
      <x:c r="M19" s="26" t="n">
        <x:v>1</x:v>
      </x:c>
      <x:c r="N1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" s="26" t="str">
        <x:v>FRAMEWORK_ONLY_NOT_TRAINED</x:v>
      </x:c>
      <x:c r="P19" s="26" t="str">
        <x:v>0.4</x:v>
      </x:c>
    </x:row>
    <x:row r="20">
      <x:c r="A20" s="53" t="str">
        <x:v>SCI-MATH-03</x:v>
      </x:c>
      <x:c r="B20" s="53" t="str">
        <x:v>MATH</x:v>
      </x:c>
      <x:c r="C20" s="53" t="str">
        <x:v>Математика и количественное мышление</x:v>
      </x:c>
      <x:c r="D20" s="53" t="str">
        <x:v>Единицы, приставки и перевод величин</x:v>
      </x:c>
      <x:c r="E20" s="53" t="str">
        <x:v>Объяснить базовую модель, выполнить допустимую для класса риска проверку и документировать пределы по теме «Единицы, приставки и перевод величин».</x:v>
      </x:c>
      <x:c r="F20" s="53" t="str">
        <x:v>двухмаршрутный перевод единиц без потери размерности</x:v>
      </x:c>
      <x:c r="G20" s="53" t="str">
        <x:v>расчёт/невязка</x:v>
      </x:c>
      <x:c r="H20" s="53" t="str">
        <x:v>SI или явно названный стандарт</x:v>
      </x:c>
      <x:c r="I20" s="53" t="str">
        <x:v>S0_OBSERVE_READ</x:v>
      </x:c>
      <x:c r="J20" s="53" t="str">
        <x:v>Наблюдение, чтение, расчёт или работа с опубликованным набором данных; физического вмешательства нет.</x:v>
      </x:c>
      <x:c r="K20" s="53" t="str">
        <x:v>SCI-MATH-02|SCI-METH-13</x:v>
      </x:c>
      <x:c r="L20" s="53" t="n">
        <x:v>1</x:v>
      </x:c>
      <x:c r="M20" s="53" t="n">
        <x:v>1</x:v>
      </x:c>
      <x:c r="N2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" s="53" t="str">
        <x:v>FRAMEWORK_ONLY_NOT_TRAINED</x:v>
      </x:c>
      <x:c r="P20" s="53" t="str">
        <x:v>0.4</x:v>
      </x:c>
    </x:row>
    <x:row r="21">
      <x:c r="A21" s="26" t="str">
        <x:v>SCI-MATH-04</x:v>
      </x:c>
      <x:c r="B21" s="26" t="str">
        <x:v>MATH</x:v>
      </x:c>
      <x:c r="C21" s="26" t="str">
        <x:v>Математика и количественное мышление</x:v>
      </x:c>
      <x:c r="D21" s="26" t="str">
        <x:v>Алгебраические выражения и уравнения</x:v>
      </x:c>
      <x:c r="E21" s="26" t="str">
        <x:v>Объяснить базовую модель, выполнить допустимую для класса риска проверку и документировать пределы по теме «Алгебраические выражения и уравнения».</x:v>
      </x:c>
      <x:c r="F21" s="26" t="str">
        <x:v>решение и обратная подстановка</x:v>
      </x:c>
      <x:c r="G21" s="26" t="str">
        <x:v>расчёт/невязка</x:v>
      </x:c>
      <x:c r="H21" s="26" t="str">
        <x:v>SI или явно названный стандарт</x:v>
      </x:c>
      <x:c r="I21" s="26" t="str">
        <x:v>S0_OBSERVE_READ</x:v>
      </x:c>
      <x:c r="J21" s="26" t="str">
        <x:v>Наблюдение, чтение, расчёт или работа с опубликованным набором данных; физического вмешательства нет.</x:v>
      </x:c>
      <x:c r="K21" s="26" t="str">
        <x:v>SCI-MATH-03|SCI-METH-13</x:v>
      </x:c>
      <x:c r="L21" s="26" t="n">
        <x:v>1</x:v>
      </x:c>
      <x:c r="M21" s="26" t="n">
        <x:v>1</x:v>
      </x:c>
      <x:c r="N2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" s="26" t="str">
        <x:v>FRAMEWORK_ONLY_NOT_TRAINED</x:v>
      </x:c>
      <x:c r="P21" s="26" t="str">
        <x:v>0.4</x:v>
      </x:c>
    </x:row>
    <x:row r="22">
      <x:c r="A22" s="53" t="str">
        <x:v>SCI-MATH-05</x:v>
      </x:c>
      <x:c r="B22" s="53" t="str">
        <x:v>MATH</x:v>
      </x:c>
      <x:c r="C22" s="53" t="str">
        <x:v>Математика и количественное мышление</x:v>
      </x:c>
      <x:c r="D22" s="53" t="str">
        <x:v>Функции, таблицы и графики</x:v>
      </x:c>
      <x:c r="E22" s="53" t="str">
        <x:v>Объяснить базовую модель, выполнить допустимую для класса риска проверку и документировать пределы по теме «Функции, таблицы и графики».</x:v>
      </x:c>
      <x:c r="F22" s="53" t="str">
        <x:v>построение таблицы значений и интерпретация наклона</x:v>
      </x:c>
      <x:c r="G22" s="53" t="str">
        <x:v>расчёт/невязка</x:v>
      </x:c>
      <x:c r="H22" s="53" t="str">
        <x:v>SI или явно названный стандарт</x:v>
      </x:c>
      <x:c r="I22" s="53" t="str">
        <x:v>S0_OBSERVE_READ</x:v>
      </x:c>
      <x:c r="J22" s="53" t="str">
        <x:v>Наблюдение, чтение, расчёт или работа с опубликованным набором данных; физического вмешательства нет.</x:v>
      </x:c>
      <x:c r="K22" s="53" t="str">
        <x:v>SCI-MATH-04|SCI-METH-13</x:v>
      </x:c>
      <x:c r="L22" s="53" t="n">
        <x:v>1</x:v>
      </x:c>
      <x:c r="M22" s="53" t="n">
        <x:v>1</x:v>
      </x:c>
      <x:c r="N2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" s="53" t="str">
        <x:v>FRAMEWORK_ONLY_NOT_TRAINED</x:v>
      </x:c>
      <x:c r="P22" s="53" t="str">
        <x:v>0.4</x:v>
      </x:c>
    </x:row>
    <x:row r="23">
      <x:c r="A23" s="26" t="str">
        <x:v>SCI-MATH-06</x:v>
      </x:c>
      <x:c r="B23" s="26" t="str">
        <x:v>MATH</x:v>
      </x:c>
      <x:c r="C23" s="26" t="str">
        <x:v>Математика и количественное мышление</x:v>
      </x:c>
      <x:c r="D23" s="26" t="str">
        <x:v>Евклидова геометрия и площадь/объём</x:v>
      </x:c>
      <x:c r="E23" s="26" t="str">
        <x:v>Объяснить базовую модель, выполнить допустимую для класса риска проверку и документировать пределы по теме «Евклидова геометрия и площадь/объём».</x:v>
      </x:c>
      <x:c r="F23" s="26" t="str">
        <x:v>измерение формы и проверка вычисленного объёма</x:v>
      </x:c>
      <x:c r="G23" s="26" t="str">
        <x:v>расчёт/невязка</x:v>
      </x:c>
      <x:c r="H23" s="26" t="str">
        <x:v>SI или явно названный стандарт</x:v>
      </x:c>
      <x:c r="I23" s="26" t="str">
        <x:v>S0_OBSERVE_READ</x:v>
      </x:c>
      <x:c r="J23" s="26" t="str">
        <x:v>Наблюдение, чтение, расчёт или работа с опубликованным набором данных; физического вмешательства нет.</x:v>
      </x:c>
      <x:c r="K23" s="26" t="str">
        <x:v>SCI-MATH-05|SCI-METH-13</x:v>
      </x:c>
      <x:c r="L23" s="26" t="n">
        <x:v>1</x:v>
      </x:c>
      <x:c r="M23" s="26" t="n">
        <x:v>1</x:v>
      </x:c>
      <x:c r="N2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" s="26" t="str">
        <x:v>FRAMEWORK_ONLY_NOT_TRAINED</x:v>
      </x:c>
      <x:c r="P23" s="26" t="str">
        <x:v>0.4</x:v>
      </x:c>
    </x:row>
    <x:row r="24">
      <x:c r="A24" s="53" t="str">
        <x:v>SCI-MATH-07</x:v>
      </x:c>
      <x:c r="B24" s="53" t="str">
        <x:v>MATH</x:v>
      </x:c>
      <x:c r="C24" s="53" t="str">
        <x:v>Математика и количественное мышление</x:v>
      </x:c>
      <x:c r="D24" s="53" t="str">
        <x:v>Тригонометрия и непрямые измерения</x:v>
      </x:c>
      <x:c r="E24" s="53" t="str">
        <x:v>Объяснить базовую модель, выполнить допустимую для класса риска проверку и документировать пределы по теме «Тригонометрия и непрямые измерения».</x:v>
      </x:c>
      <x:c r="F24" s="53" t="str">
        <x:v>оценка высоты безопасного объекта по углу и базе</x:v>
      </x:c>
      <x:c r="G24" s="53" t="str">
        <x:v>расчёт/невязка</x:v>
      </x:c>
      <x:c r="H24" s="53" t="str">
        <x:v>SI или явно названный стандарт</x:v>
      </x:c>
      <x:c r="I24" s="53" t="str">
        <x:v>S0_OBSERVE_READ</x:v>
      </x:c>
      <x:c r="J24" s="53" t="str">
        <x:v>Наблюдение, чтение, расчёт или работа с опубликованным набором данных; физического вмешательства нет.</x:v>
      </x:c>
      <x:c r="K24" s="53" t="str">
        <x:v>SCI-MATH-06|SCI-METH-13</x:v>
      </x:c>
      <x:c r="L24" s="53" t="n">
        <x:v>1</x:v>
      </x:c>
      <x:c r="M24" s="53" t="n">
        <x:v>1</x:v>
      </x:c>
      <x:c r="N2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4" s="53" t="str">
        <x:v>FRAMEWORK_ONLY_NOT_TRAINED</x:v>
      </x:c>
      <x:c r="P24" s="53" t="str">
        <x:v>0.4</x:v>
      </x:c>
    </x:row>
    <x:row r="25">
      <x:c r="A25" s="26" t="str">
        <x:v>SCI-MATH-08</x:v>
      </x:c>
      <x:c r="B25" s="26" t="str">
        <x:v>MATH</x:v>
      </x:c>
      <x:c r="C25" s="26" t="str">
        <x:v>Математика и количественное мышление</x:v>
      </x:c>
      <x:c r="D25" s="26" t="str">
        <x:v>Координаты, векторы и аналитическая геометрия</x:v>
      </x:c>
      <x:c r="E25" s="26" t="str">
        <x:v>Объяснить базовую модель, выполнить допустимую для класса риска проверку и документировать пределы по теме «Координаты, векторы и аналитическая геометрия».</x:v>
      </x:c>
      <x:c r="F25" s="26" t="str">
        <x:v>переход между координатным описанием и вектором</x:v>
      </x:c>
      <x:c r="G25" s="26" t="str">
        <x:v>расчёт/невязка</x:v>
      </x:c>
      <x:c r="H25" s="26" t="str">
        <x:v>SI или явно названный стандарт</x:v>
      </x:c>
      <x:c r="I25" s="26" t="str">
        <x:v>S0_OBSERVE_READ</x:v>
      </x:c>
      <x:c r="J25" s="26" t="str">
        <x:v>Наблюдение, чтение, расчёт или работа с опубликованным набором данных; физического вмешательства нет.</x:v>
      </x:c>
      <x:c r="K25" s="26" t="str">
        <x:v>SCI-MATH-07|SCI-METH-13</x:v>
      </x:c>
      <x:c r="L25" s="26" t="n">
        <x:v>1</x:v>
      </x:c>
      <x:c r="M25" s="26" t="n">
        <x:v>1</x:v>
      </x:c>
      <x:c r="N2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5" s="26" t="str">
        <x:v>FRAMEWORK_ONLY_NOT_TRAINED</x:v>
      </x:c>
      <x:c r="P25" s="26" t="str">
        <x:v>0.4</x:v>
      </x:c>
    </x:row>
    <x:row r="26">
      <x:c r="A26" s="53" t="str">
        <x:v>SCI-MATH-09</x:v>
      </x:c>
      <x:c r="B26" s="53" t="str">
        <x:v>MATH</x:v>
      </x:c>
      <x:c r="C26" s="53" t="str">
        <x:v>Математика и количественное мышление</x:v>
      </x:c>
      <x:c r="D26" s="53" t="str">
        <x:v>Линейная алгебра и системы уравнений</x:v>
      </x:c>
      <x:c r="E26" s="53" t="str">
        <x:v>Объяснить базовую модель, выполнить допустимую для класса риска проверку и документировать пределы по теме «Линейная алгебра и системы уравнений».</x:v>
      </x:c>
      <x:c r="F26" s="53" t="str">
        <x:v>решение малой системы и проверка невязки</x:v>
      </x:c>
      <x:c r="G26" s="53" t="str">
        <x:v>расчёт/невязка</x:v>
      </x:c>
      <x:c r="H26" s="53" t="str">
        <x:v>SI или явно названный стандарт</x:v>
      </x:c>
      <x:c r="I26" s="53" t="str">
        <x:v>S0_OBSERVE_READ</x:v>
      </x:c>
      <x:c r="J26" s="53" t="str">
        <x:v>Наблюдение, чтение, расчёт или работа с опубликованным набором данных; физического вмешательства нет.</x:v>
      </x:c>
      <x:c r="K26" s="53" t="str">
        <x:v>SCI-MATH-08|SCI-METH-13</x:v>
      </x:c>
      <x:c r="L26" s="53" t="n">
        <x:v>1</x:v>
      </x:c>
      <x:c r="M26" s="53" t="n">
        <x:v>1</x:v>
      </x:c>
      <x:c r="N2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6" s="53" t="str">
        <x:v>FRAMEWORK_ONLY_NOT_TRAINED</x:v>
      </x:c>
      <x:c r="P26" s="53" t="str">
        <x:v>0.4</x:v>
      </x:c>
    </x:row>
    <x:row r="27">
      <x:c r="A27" s="26" t="str">
        <x:v>SCI-MATH-10</x:v>
      </x:c>
      <x:c r="B27" s="26" t="str">
        <x:v>MATH</x:v>
      </x:c>
      <x:c r="C27" s="26" t="str">
        <x:v>Математика и количественное мышление</x:v>
      </x:c>
      <x:c r="D27" s="26" t="str">
        <x:v>Предел, производная и скорость изменения</x:v>
      </x:c>
      <x:c r="E27" s="26" t="str">
        <x:v>Объяснить базовую модель, выполнить допустимую для класса риска проверку и документировать пределы по теме «Предел, производная и скорость изменения».</x:v>
      </x:c>
      <x:c r="F27" s="26" t="str">
        <x:v>численная оценка производной по измеренному ряду</x:v>
      </x:c>
      <x:c r="G27" s="26" t="str">
        <x:v>расчёт/невязка</x:v>
      </x:c>
      <x:c r="H27" s="26" t="str">
        <x:v>SI или явно названный стандарт</x:v>
      </x:c>
      <x:c r="I27" s="26" t="str">
        <x:v>S0_OBSERVE_READ</x:v>
      </x:c>
      <x:c r="J27" s="26" t="str">
        <x:v>Наблюдение, чтение, расчёт или работа с опубликованным набором данных; физического вмешательства нет.</x:v>
      </x:c>
      <x:c r="K27" s="26" t="str">
        <x:v>SCI-MATH-09|SCI-METH-13</x:v>
      </x:c>
      <x:c r="L27" s="26" t="n">
        <x:v>1</x:v>
      </x:c>
      <x:c r="M27" s="26" t="n">
        <x:v>1</x:v>
      </x:c>
      <x:c r="N2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7" s="26" t="str">
        <x:v>FRAMEWORK_ONLY_NOT_TRAINED</x:v>
      </x:c>
      <x:c r="P27" s="26" t="str">
        <x:v>0.4</x:v>
      </x:c>
    </x:row>
    <x:row r="28">
      <x:c r="A28" s="53" t="str">
        <x:v>SCI-MATH-11</x:v>
      </x:c>
      <x:c r="B28" s="53" t="str">
        <x:v>MATH</x:v>
      </x:c>
      <x:c r="C28" s="53" t="str">
        <x:v>Математика и количественное мышление</x:v>
      </x:c>
      <x:c r="D28" s="53" t="str">
        <x:v>Интеграл, накопление и баланс</x:v>
      </x:c>
      <x:c r="E28" s="53" t="str">
        <x:v>Объяснить базовую модель, выполнить допустимую для класса риска проверку и документировать пределы по теме «Интеграл, накопление и баланс».</x:v>
      </x:c>
      <x:c r="F28" s="53" t="str">
        <x:v>оценка накопленного расхода по временным отсчётам</x:v>
      </x:c>
      <x:c r="G28" s="53" t="str">
        <x:v>расчёт/невязка</x:v>
      </x:c>
      <x:c r="H28" s="53" t="str">
        <x:v>SI или явно названный стандарт</x:v>
      </x:c>
      <x:c r="I28" s="53" t="str">
        <x:v>S0_OBSERVE_READ</x:v>
      </x:c>
      <x:c r="J28" s="53" t="str">
        <x:v>Наблюдение, чтение, расчёт или работа с опубликованным набором данных; физического вмешательства нет.</x:v>
      </x:c>
      <x:c r="K28" s="53" t="str">
        <x:v>SCI-MATH-10|SCI-METH-13</x:v>
      </x:c>
      <x:c r="L28" s="53" t="n">
        <x:v>1</x:v>
      </x:c>
      <x:c r="M28" s="53" t="n">
        <x:v>1</x:v>
      </x:c>
      <x:c r="N2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8" s="53" t="str">
        <x:v>FRAMEWORK_ONLY_NOT_TRAINED</x:v>
      </x:c>
      <x:c r="P28" s="53" t="str">
        <x:v>0.4</x:v>
      </x:c>
    </x:row>
    <x:row r="29">
      <x:c r="A29" s="26" t="str">
        <x:v>SCI-MATH-12</x:v>
      </x:c>
      <x:c r="B29" s="26" t="str">
        <x:v>MATH</x:v>
      </x:c>
      <x:c r="C29" s="26" t="str">
        <x:v>Математика и количественное мышление</x:v>
      </x:c>
      <x:c r="D29" s="26" t="str">
        <x:v>Дифференциальные уравнения и динамические модели</x:v>
      </x:c>
      <x:c r="E29" s="26" t="str">
        <x:v>Объяснить базовую модель, выполнить допустимую для класса риска проверку и документировать пределы по теме «Дифференциальные уравнения и динамические модели».</x:v>
      </x:c>
      <x:c r="F29" s="26" t="str">
        <x:v>сравнение простой модели с наблюдаемой траекторией</x:v>
      </x:c>
      <x:c r="G29" s="26" t="str">
        <x:v>расчёт/невязка</x:v>
      </x:c>
      <x:c r="H29" s="26" t="str">
        <x:v>SI или явно названный стандарт</x:v>
      </x:c>
      <x:c r="I29" s="26" t="str">
        <x:v>S0_OBSERVE_READ</x:v>
      </x:c>
      <x:c r="J29" s="26" t="str">
        <x:v>Наблюдение, чтение, расчёт или работа с опубликованным набором данных; физического вмешательства нет.</x:v>
      </x:c>
      <x:c r="K29" s="26" t="str">
        <x:v>SCI-MATH-11|SCI-METH-13</x:v>
      </x:c>
      <x:c r="L29" s="26" t="n">
        <x:v>1</x:v>
      </x:c>
      <x:c r="M29" s="26" t="n">
        <x:v>1</x:v>
      </x:c>
      <x:c r="N2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9" s="26" t="str">
        <x:v>FRAMEWORK_ONLY_NOT_TRAINED</x:v>
      </x:c>
      <x:c r="P29" s="26" t="str">
        <x:v>0.4</x:v>
      </x:c>
    </x:row>
    <x:row r="30">
      <x:c r="A30" s="53" t="str">
        <x:v>SCI-MATH-13</x:v>
      </x:c>
      <x:c r="B30" s="53" t="str">
        <x:v>MATH</x:v>
      </x:c>
      <x:c r="C30" s="53" t="str">
        <x:v>Математика и количественное мышление</x:v>
      </x:c>
      <x:c r="D30" s="53" t="str">
        <x:v>Логика, множества, графы и дискретные структуры</x:v>
      </x:c>
      <x:c r="E30" s="53" t="str">
        <x:v>Объяснить базовую модель, выполнить допустимую для класса риска проверку и документировать пределы по теме «Логика, множества, графы и дискретные структуры».</x:v>
      </x:c>
      <x:c r="F30" s="53" t="str">
        <x:v>таблица истинности или граф зависимостей</x:v>
      </x:c>
      <x:c r="G30" s="53" t="str">
        <x:v>расчёт/невязка</x:v>
      </x:c>
      <x:c r="H30" s="53" t="str">
        <x:v>SI или явно названный стандарт</x:v>
      </x:c>
      <x:c r="I30" s="53" t="str">
        <x:v>S0_OBSERVE_READ</x:v>
      </x:c>
      <x:c r="J30" s="53" t="str">
        <x:v>Наблюдение, чтение, расчёт или работа с опубликованным набором данных; физического вмешательства нет.</x:v>
      </x:c>
      <x:c r="K30" s="53" t="str">
        <x:v>SCI-MATH-12|SCI-METH-13</x:v>
      </x:c>
      <x:c r="L30" s="53" t="n">
        <x:v>1</x:v>
      </x:c>
      <x:c r="M30" s="53" t="n">
        <x:v>1</x:v>
      </x:c>
      <x:c r="N3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0" s="53" t="str">
        <x:v>FRAMEWORK_ONLY_NOT_TRAINED</x:v>
      </x:c>
      <x:c r="P30" s="53" t="str">
        <x:v>0.4</x:v>
      </x:c>
    </x:row>
    <x:row r="31">
      <x:c r="A31" s="26" t="str">
        <x:v>SCI-MATH-14</x:v>
      </x:c>
      <x:c r="B31" s="26" t="str">
        <x:v>MATH</x:v>
      </x:c>
      <x:c r="C31" s="26" t="str">
        <x:v>Математика и количественное мышление</x:v>
      </x:c>
      <x:c r="D31" s="26" t="str">
        <x:v>Вероятность и условная вероятность</x:v>
      </x:c>
      <x:c r="E31" s="26" t="str">
        <x:v>Объяснить базовую модель, выполнить допустимую для класса риска проверку и документировать пределы по теме «Вероятность и условная вероятность».</x:v>
      </x:c>
      <x:c r="F31" s="26" t="str">
        <x:v>дерево событий и проверка суммы вероятностей</x:v>
      </x:c>
      <x:c r="G31" s="26" t="str">
        <x:v>расчёт/невязка</x:v>
      </x:c>
      <x:c r="H31" s="26" t="str">
        <x:v>SI или явно названный стандарт</x:v>
      </x:c>
      <x:c r="I31" s="26" t="str">
        <x:v>S0_OBSERVE_READ</x:v>
      </x:c>
      <x:c r="J31" s="26" t="str">
        <x:v>Наблюдение, чтение, расчёт или работа с опубликованным набором данных; физического вмешательства нет.</x:v>
      </x:c>
      <x:c r="K31" s="26" t="str">
        <x:v>SCI-MATH-13|SCI-METH-13</x:v>
      </x:c>
      <x:c r="L31" s="26" t="n">
        <x:v>1</x:v>
      </x:c>
      <x:c r="M31" s="26" t="n">
        <x:v>1</x:v>
      </x:c>
      <x:c r="N3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1" s="26" t="str">
        <x:v>FRAMEWORK_ONLY_NOT_TRAINED</x:v>
      </x:c>
      <x:c r="P31" s="26" t="str">
        <x:v>0.4</x:v>
      </x:c>
    </x:row>
    <x:row r="32">
      <x:c r="A32" s="53" t="str">
        <x:v>SCI-MATH-15</x:v>
      </x:c>
      <x:c r="B32" s="53" t="str">
        <x:v>MATH</x:v>
      </x:c>
      <x:c r="C32" s="53" t="str">
        <x:v>Математика и количественное мышление</x:v>
      </x:c>
      <x:c r="D32" s="53" t="str">
        <x:v>Описательная статистика и устойчивые меры</x:v>
      </x:c>
      <x:c r="E32" s="53" t="str">
        <x:v>Объяснить базовую модель, выполнить допустимую для класса риска проверку и документировать пределы по теме «Описательная статистика и устойчивые меры».</x:v>
      </x:c>
      <x:c r="F32" s="53" t="str">
        <x:v>среднее, медиана, разброс и квартильный размах</x:v>
      </x:c>
      <x:c r="G32" s="53" t="str">
        <x:v>расчёт/невязка</x:v>
      </x:c>
      <x:c r="H32" s="53" t="str">
        <x:v>SI или явно названный стандарт</x:v>
      </x:c>
      <x:c r="I32" s="53" t="str">
        <x:v>S0_OBSERVE_READ</x:v>
      </x:c>
      <x:c r="J32" s="53" t="str">
        <x:v>Наблюдение, чтение, расчёт или работа с опубликованным набором данных; физического вмешательства нет.</x:v>
      </x:c>
      <x:c r="K32" s="53" t="str">
        <x:v>SCI-MATH-14|SCI-METH-13</x:v>
      </x:c>
      <x:c r="L32" s="53" t="n">
        <x:v>1</x:v>
      </x:c>
      <x:c r="M32" s="53" t="n">
        <x:v>1</x:v>
      </x:c>
      <x:c r="N3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2" s="53" t="str">
        <x:v>FRAMEWORK_ONLY_NOT_TRAINED</x:v>
      </x:c>
      <x:c r="P32" s="53" t="str">
        <x:v>0.4</x:v>
      </x:c>
    </x:row>
    <x:row r="33">
      <x:c r="A33" s="26" t="str">
        <x:v>SCI-MATH-16</x:v>
      </x:c>
      <x:c r="B33" s="26" t="str">
        <x:v>MATH</x:v>
      </x:c>
      <x:c r="C33" s="26" t="str">
        <x:v>Математика и количественное мышление</x:v>
      </x:c>
      <x:c r="D33" s="26" t="str">
        <x:v>Доверительные интервалы и проверка гипотез</x:v>
      </x:c>
      <x:c r="E33" s="26" t="str">
        <x:v>Объяснить базовую модель, выполнить допустимую для класса риска проверку и документировать пределы по теме «Доверительные интервалы и проверка гипотез».</x:v>
      </x:c>
      <x:c r="F33" s="26" t="str">
        <x:v>интервал с явно указанными предпосылками</x:v>
      </x:c>
      <x:c r="G33" s="26" t="str">
        <x:v>расчёт/невязка</x:v>
      </x:c>
      <x:c r="H33" s="26" t="str">
        <x:v>SI или явно названный стандарт</x:v>
      </x:c>
      <x:c r="I33" s="26" t="str">
        <x:v>S0_OBSERVE_READ</x:v>
      </x:c>
      <x:c r="J33" s="26" t="str">
        <x:v>Наблюдение, чтение, расчёт или работа с опубликованным набором данных; физического вмешательства нет.</x:v>
      </x:c>
      <x:c r="K33" s="26" t="str">
        <x:v>SCI-MATH-15|SCI-METH-13</x:v>
      </x:c>
      <x:c r="L33" s="26" t="n">
        <x:v>1</x:v>
      </x:c>
      <x:c r="M33" s="26" t="n">
        <x:v>1</x:v>
      </x:c>
      <x:c r="N3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3" s="26" t="str">
        <x:v>FRAMEWORK_ONLY_NOT_TRAINED</x:v>
      </x:c>
      <x:c r="P33" s="26" t="str">
        <x:v>0.4</x:v>
      </x:c>
    </x:row>
    <x:row r="34">
      <x:c r="A34" s="53" t="str">
        <x:v>SCI-MATH-17</x:v>
      </x:c>
      <x:c r="B34" s="53" t="str">
        <x:v>MATH</x:v>
      </x:c>
      <x:c r="C34" s="53" t="str">
        <x:v>Математика и количественное мышление</x:v>
      </x:c>
      <x:c r="D34" s="53" t="str">
        <x:v>Временные ряды, сезонность и контрольные карты</x:v>
      </x:c>
      <x:c r="E34" s="53" t="str">
        <x:v>Объяснить базовую модель, выполнить допустимую для класса риска проверку и документировать пределы по теме «Временные ряды, сезонность и контрольные карты».</x:v>
      </x:c>
      <x:c r="F34" s="53" t="str">
        <x:v>график тренда, сезонности и контрольных границ</x:v>
      </x:c>
      <x:c r="G34" s="53" t="str">
        <x:v>расчёт/невязка</x:v>
      </x:c>
      <x:c r="H34" s="53" t="str">
        <x:v>SI или явно названный стандарт</x:v>
      </x:c>
      <x:c r="I34" s="53" t="str">
        <x:v>S0_OBSERVE_READ</x:v>
      </x:c>
      <x:c r="J34" s="53" t="str">
        <x:v>Наблюдение, чтение, расчёт или работа с опубликованным набором данных; физического вмешательства нет.</x:v>
      </x:c>
      <x:c r="K34" s="53" t="str">
        <x:v>SCI-MATH-16|SCI-METH-13</x:v>
      </x:c>
      <x:c r="L34" s="53" t="n">
        <x:v>1</x:v>
      </x:c>
      <x:c r="M34" s="53" t="n">
        <x:v>1</x:v>
      </x:c>
      <x:c r="N3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4" s="53" t="str">
        <x:v>FRAMEWORK_ONLY_NOT_TRAINED</x:v>
      </x:c>
      <x:c r="P34" s="53" t="str">
        <x:v>0.4</x:v>
      </x:c>
    </x:row>
    <x:row r="35">
      <x:c r="A35" s="26" t="str">
        <x:v>SCI-MATH-18</x:v>
      </x:c>
      <x:c r="B35" s="26" t="str">
        <x:v>MATH</x:v>
      </x:c>
      <x:c r="C35" s="26" t="str">
        <x:v>Математика и количественное мышление</x:v>
      </x:c>
      <x:c r="D35" s="26" t="str">
        <x:v>Численные методы, оптимизация и исследование операций</x:v>
      </x:c>
      <x:c r="E35" s="26" t="str">
        <x:v>Объяснить базовую модель, выполнить допустимую для класса риска проверку и документировать пределы по теме «Численные методы, оптимизация и исследование операций».</x:v>
      </x:c>
      <x:c r="F35" s="26" t="str">
        <x:v>решение, проверка ограничения и анализ чувствительности</x:v>
      </x:c>
      <x:c r="G35" s="26" t="str">
        <x:v>расчёт/невязка</x:v>
      </x:c>
      <x:c r="H35" s="26" t="str">
        <x:v>SI или явно названный стандарт</x:v>
      </x:c>
      <x:c r="I35" s="26" t="str">
        <x:v>S0_OBSERVE_READ</x:v>
      </x:c>
      <x:c r="J35" s="26" t="str">
        <x:v>Наблюдение, чтение, расчёт или работа с опубликованным набором данных; физического вмешательства нет.</x:v>
      </x:c>
      <x:c r="K35" s="26" t="str">
        <x:v>SCI-MATH-17|SCI-METH-13</x:v>
      </x:c>
      <x:c r="L35" s="26" t="n">
        <x:v>1</x:v>
      </x:c>
      <x:c r="M35" s="26" t="n">
        <x:v>1</x:v>
      </x:c>
      <x:c r="N3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5" s="26" t="str">
        <x:v>FRAMEWORK_ONLY_NOT_TRAINED</x:v>
      </x:c>
      <x:c r="P35" s="26" t="str">
        <x:v>0.4</x:v>
      </x:c>
    </x:row>
    <x:row r="36">
      <x:c r="A36" s="53" t="str">
        <x:v>SCI-PHYS-01</x:v>
      </x:c>
      <x:c r="B36" s="53" t="str">
        <x:v>PHYS</x:v>
      </x:c>
      <x:c r="C36" s="53" t="str">
        <x:v>Физика</x:v>
      </x:c>
      <x:c r="D36" s="53" t="str">
        <x:v>Физические величины, модели и масштаб</x:v>
      </x:c>
      <x:c r="E36" s="53" t="str">
        <x:v>Объяснить базовую модель, выполнить допустимую для класса риска проверку и документировать пределы по теме «Физические величины, модели и масштаб».</x:v>
      </x:c>
      <x:c r="F36" s="53" t="str">
        <x:v>сравнение модели с измерением и указание области применимости</x:v>
      </x:c>
      <x:c r="G36" s="53" t="str">
        <x:v>SI-измерение</x:v>
      </x:c>
      <x:c r="H36" s="53" t="str">
        <x:v>SI или явно названный стандарт</x:v>
      </x:c>
      <x:c r="I36" s="53" t="str">
        <x:v>S1_LOW_RISK_HOUSEHOLD</x:v>
      </x:c>
      <x:c r="J3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36" s="53" t="str">
        <x:v>SCI-METH-01|SCI-METH-07|SCI-METH-14</x:v>
      </x:c>
      <x:c r="L36" s="53" t="n">
        <x:v>1</x:v>
      </x:c>
      <x:c r="M36" s="53" t="n">
        <x:v>1</x:v>
      </x:c>
      <x:c r="N3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6" s="53" t="str">
        <x:v>FRAMEWORK_ONLY_NOT_TRAINED</x:v>
      </x:c>
      <x:c r="P36" s="53" t="str">
        <x:v>0.4</x:v>
      </x:c>
    </x:row>
    <x:row r="37">
      <x:c r="A37" s="26" t="str">
        <x:v>SCI-PHYS-02</x:v>
      </x:c>
      <x:c r="B37" s="26" t="str">
        <x:v>PHYS</x:v>
      </x:c>
      <x:c r="C37" s="26" t="str">
        <x:v>Физика</x:v>
      </x:c>
      <x:c r="D37" s="26" t="str">
        <x:v>Кинематика: положение, скорость и ускорение</x:v>
      </x:c>
      <x:c r="E37" s="26" t="str">
        <x:v>Объяснить базовую модель, выполнить допустимую для класса риска проверку и документировать пределы по теме «Кинематика: положение, скорость и ускорение».</x:v>
      </x:c>
      <x:c r="F37" s="26" t="str">
        <x:v>видеоряд или секундомерный ряд движения безопасного объекта</x:v>
      </x:c>
      <x:c r="G37" s="26" t="str">
        <x:v>SI-измерение</x:v>
      </x:c>
      <x:c r="H37" s="26" t="str">
        <x:v>SI или явно названный стандарт</x:v>
      </x:c>
      <x:c r="I37" s="26" t="str">
        <x:v>S1_LOW_RISK_HOUSEHOLD</x:v>
      </x:c>
      <x:c r="J3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37" s="26" t="str">
        <x:v>SCI-PHYS-01|SCI-METH-13</x:v>
      </x:c>
      <x:c r="L37" s="26" t="n">
        <x:v>1</x:v>
      </x:c>
      <x:c r="M37" s="26" t="n">
        <x:v>1</x:v>
      </x:c>
      <x:c r="N3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7" s="26" t="str">
        <x:v>FRAMEWORK_ONLY_NOT_TRAINED</x:v>
      </x:c>
      <x:c r="P37" s="26" t="str">
        <x:v>0.4</x:v>
      </x:c>
    </x:row>
    <x:row r="38">
      <x:c r="A38" s="53" t="str">
        <x:v>SCI-PHYS-03</x:v>
      </x:c>
      <x:c r="B38" s="53" t="str">
        <x:v>PHYS</x:v>
      </x:c>
      <x:c r="C38" s="53" t="str">
        <x:v>Физика</x:v>
      </x:c>
      <x:c r="D38" s="53" t="str">
        <x:v>Силы, масса и законы Ньютона</x:v>
      </x:c>
      <x:c r="E38" s="53" t="str">
        <x:v>Объяснить базовую модель, выполнить допустимую для класса риска проверку и документировать пределы по теме «Силы, масса и законы Ньютона».</x:v>
      </x:c>
      <x:c r="F38" s="53" t="str">
        <x:v>диаграмма сил и измерение малых сил безопасным динамометром</x:v>
      </x:c>
      <x:c r="G38" s="53" t="str">
        <x:v>SI-измерение</x:v>
      </x:c>
      <x:c r="H38" s="53" t="str">
        <x:v>SI или явно названный стандарт</x:v>
      </x:c>
      <x:c r="I38" s="53" t="str">
        <x:v>S1_LOW_RISK_HOUSEHOLD</x:v>
      </x:c>
      <x:c r="J3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38" s="53" t="str">
        <x:v>SCI-PHYS-02|SCI-METH-13</x:v>
      </x:c>
      <x:c r="L38" s="53" t="n">
        <x:v>1</x:v>
      </x:c>
      <x:c r="M38" s="53" t="n">
        <x:v>1</x:v>
      </x:c>
      <x:c r="N3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8" s="53" t="str">
        <x:v>FRAMEWORK_ONLY_NOT_TRAINED</x:v>
      </x:c>
      <x:c r="P38" s="53" t="str">
        <x:v>0.4</x:v>
      </x:c>
    </x:row>
    <x:row r="39">
      <x:c r="A39" s="26" t="str">
        <x:v>SCI-PHYS-04</x:v>
      </x:c>
      <x:c r="B39" s="26" t="str">
        <x:v>PHYS</x:v>
      </x:c>
      <x:c r="C39" s="26" t="str">
        <x:v>Физика</x:v>
      </x:c>
      <x:c r="D39" s="26" t="str">
        <x:v>Статика, равновесие и центр масс</x:v>
      </x:c>
      <x:c r="E39" s="26" t="str">
        <x:v>Объяснить базовую модель, выполнить допустимую для класса риска проверку и документировать пределы по теме «Статика, равновесие и центр масс».</x:v>
      </x:c>
      <x:c r="F39" s="26" t="str">
        <x:v>безопасная настольная модель равновесия</x:v>
      </x:c>
      <x:c r="G39" s="26" t="str">
        <x:v>SI-измерение</x:v>
      </x:c>
      <x:c r="H39" s="26" t="str">
        <x:v>SI или явно названный стандарт</x:v>
      </x:c>
      <x:c r="I39" s="26" t="str">
        <x:v>S1_LOW_RISK_HOUSEHOLD</x:v>
      </x:c>
      <x:c r="J3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39" s="26" t="str">
        <x:v>SCI-PHYS-03|SCI-METH-13</x:v>
      </x:c>
      <x:c r="L39" s="26" t="n">
        <x:v>1</x:v>
      </x:c>
      <x:c r="M39" s="26" t="n">
        <x:v>1</x:v>
      </x:c>
      <x:c r="N3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39" s="26" t="str">
        <x:v>FRAMEWORK_ONLY_NOT_TRAINED</x:v>
      </x:c>
      <x:c r="P39" s="26" t="str">
        <x:v>0.4</x:v>
      </x:c>
    </x:row>
    <x:row r="40">
      <x:c r="A40" s="53" t="str">
        <x:v>SCI-PHYS-05</x:v>
      </x:c>
      <x:c r="B40" s="53" t="str">
        <x:v>PHYS</x:v>
      </x:c>
      <x:c r="C40" s="53" t="str">
        <x:v>Физика</x:v>
      </x:c>
      <x:c r="D40" s="53" t="str">
        <x:v>Работа, энергия, мощность и КПД</x:v>
      </x:c>
      <x:c r="E40" s="53" t="str">
        <x:v>Объяснить базовую модель, выполнить допустимую для класса риска проверку и документировать пределы по теме «Работа, энергия, мощность и КПД».</x:v>
      </x:c>
      <x:c r="F40" s="53" t="str">
        <x:v>энергетический баланс маломощной системы</x:v>
      </x:c>
      <x:c r="G40" s="53" t="str">
        <x:v>SI-измерение</x:v>
      </x:c>
      <x:c r="H40" s="53" t="str">
        <x:v>SI или явно названный стандарт</x:v>
      </x:c>
      <x:c r="I40" s="53" t="str">
        <x:v>S1_LOW_RISK_HOUSEHOLD</x:v>
      </x:c>
      <x:c r="J4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0" s="53" t="str">
        <x:v>SCI-PHYS-04|SCI-METH-13</x:v>
      </x:c>
      <x:c r="L40" s="53" t="n">
        <x:v>1</x:v>
      </x:c>
      <x:c r="M40" s="53" t="n">
        <x:v>1</x:v>
      </x:c>
      <x:c r="N4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0" s="53" t="str">
        <x:v>FRAMEWORK_ONLY_NOT_TRAINED</x:v>
      </x:c>
      <x:c r="P40" s="53" t="str">
        <x:v>0.4</x:v>
      </x:c>
    </x:row>
    <x:row r="41">
      <x:c r="A41" s="26" t="str">
        <x:v>SCI-PHYS-06</x:v>
      </x:c>
      <x:c r="B41" s="26" t="str">
        <x:v>PHYS</x:v>
      </x:c>
      <x:c r="C41" s="26" t="str">
        <x:v>Физика</x:v>
      </x:c>
      <x:c r="D41" s="26" t="str">
        <x:v>Импульс и столкновения</x:v>
      </x:c>
      <x:c r="E41" s="26" t="str">
        <x:v>Объяснить базовую модель, выполнить допустимую для класса риска проверку и документировать пределы по теме «Импульс и столкновения».</x:v>
      </x:c>
      <x:c r="F41" s="26" t="str">
        <x:v>видеоанализ малых тел без людей и хрупких предметов</x:v>
      </x:c>
      <x:c r="G41" s="26" t="str">
        <x:v>SI-измерение</x:v>
      </x:c>
      <x:c r="H41" s="26" t="str">
        <x:v>SI или явно названный стандарт</x:v>
      </x:c>
      <x:c r="I41" s="26" t="str">
        <x:v>S1_LOW_RISK_HOUSEHOLD</x:v>
      </x:c>
      <x:c r="J4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1" s="26" t="str">
        <x:v>SCI-PHYS-05|SCI-METH-13</x:v>
      </x:c>
      <x:c r="L41" s="26" t="n">
        <x:v>1</x:v>
      </x:c>
      <x:c r="M41" s="26" t="n">
        <x:v>1</x:v>
      </x:c>
      <x:c r="N4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1" s="26" t="str">
        <x:v>FRAMEWORK_ONLY_NOT_TRAINED</x:v>
      </x:c>
      <x:c r="P41" s="26" t="str">
        <x:v>0.4</x:v>
      </x:c>
    </x:row>
    <x:row r="42">
      <x:c r="A42" s="53" t="str">
        <x:v>SCI-PHYS-07</x:v>
      </x:c>
      <x:c r="B42" s="53" t="str">
        <x:v>PHYS</x:v>
      </x:c>
      <x:c r="C42" s="53" t="str">
        <x:v>Физика</x:v>
      </x:c>
      <x:c r="D42" s="53" t="str">
        <x:v>Давление, плавучесть и гидростатика</x:v>
      </x:c>
      <x:c r="E42" s="53" t="str">
        <x:v>Объяснить базовую модель, выполнить допустимую для класса риска проверку и документировать пределы по теме «Давление, плавучесть и гидростатика».</x:v>
      </x:c>
      <x:c r="F42" s="53" t="str">
        <x:v>зависимость давления/плавучести на безопасной водной модели</x:v>
      </x:c>
      <x:c r="G42" s="53" t="str">
        <x:v>SI-измерение</x:v>
      </x:c>
      <x:c r="H42" s="53" t="str">
        <x:v>SI или явно названный стандарт</x:v>
      </x:c>
      <x:c r="I42" s="53" t="str">
        <x:v>S1_LOW_RISK_HOUSEHOLD</x:v>
      </x:c>
      <x:c r="J42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2" s="53" t="str">
        <x:v>SCI-PHYS-06|SCI-METH-13</x:v>
      </x:c>
      <x:c r="L42" s="53" t="n">
        <x:v>1</x:v>
      </x:c>
      <x:c r="M42" s="53" t="n">
        <x:v>1</x:v>
      </x:c>
      <x:c r="N4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2" s="53" t="str">
        <x:v>FRAMEWORK_ONLY_NOT_TRAINED</x:v>
      </x:c>
      <x:c r="P42" s="53" t="str">
        <x:v>0.4</x:v>
      </x:c>
    </x:row>
    <x:row r="43">
      <x:c r="A43" s="26" t="str">
        <x:v>SCI-PHYS-08</x:v>
      </x:c>
      <x:c r="B43" s="26" t="str">
        <x:v>PHYS</x:v>
      </x:c>
      <x:c r="C43" s="26" t="str">
        <x:v>Физика</x:v>
      </x:c>
      <x:c r="D43" s="26" t="str">
        <x:v>Поток, расход, сопротивление и насосы</x:v>
      </x:c>
      <x:c r="E43" s="26" t="str">
        <x:v>Объяснить базовую модель, выполнить допустимую для класса риска проверку и документировать пределы по теме «Поток, расход, сопротивление и насосы».</x:v>
      </x:c>
      <x:c r="F43" s="26" t="str">
        <x:v>измерение расхода воды при безопасном низком давлении</x:v>
      </x:c>
      <x:c r="G43" s="26" t="str">
        <x:v>SI-измерение</x:v>
      </x:c>
      <x:c r="H43" s="26" t="str">
        <x:v>SI или явно названный стандарт</x:v>
      </x:c>
      <x:c r="I43" s="26" t="str">
        <x:v>S1_LOW_RISK_HOUSEHOLD</x:v>
      </x:c>
      <x:c r="J43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3" s="26" t="str">
        <x:v>SCI-PHYS-07|SCI-METH-13</x:v>
      </x:c>
      <x:c r="L43" s="26" t="n">
        <x:v>1</x:v>
      </x:c>
      <x:c r="M43" s="26" t="n">
        <x:v>1</x:v>
      </x:c>
      <x:c r="N4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3" s="26" t="str">
        <x:v>FRAMEWORK_ONLY_NOT_TRAINED</x:v>
      </x:c>
      <x:c r="P43" s="26" t="str">
        <x:v>0.4</x:v>
      </x:c>
    </x:row>
    <x:row r="44">
      <x:c r="A44" s="53" t="str">
        <x:v>SCI-PHYS-09</x:v>
      </x:c>
      <x:c r="B44" s="53" t="str">
        <x:v>PHYS</x:v>
      </x:c>
      <x:c r="C44" s="53" t="str">
        <x:v>Физика</x:v>
      </x:c>
      <x:c r="D44" s="53" t="str">
        <x:v>Температура, теплоёмкость и фазовые переходы</x:v>
      </x:c>
      <x:c r="E44" s="53" t="str">
        <x:v>Объяснить базовую модель, выполнить допустимую для класса риска проверку и документировать пределы по теме «Температура, теплоёмкость и фазовые переходы».</x:v>
      </x:c>
      <x:c r="F44" s="53" t="str">
        <x:v>температурно-временной ряд без открытого огня</x:v>
      </x:c>
      <x:c r="G44" s="53" t="str">
        <x:v>SI-измерение</x:v>
      </x:c>
      <x:c r="H44" s="53" t="str">
        <x:v>SI или явно названный стандарт</x:v>
      </x:c>
      <x:c r="I44" s="53" t="str">
        <x:v>S1_LOW_RISK_HOUSEHOLD</x:v>
      </x:c>
      <x:c r="J44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4" s="53" t="str">
        <x:v>SCI-PHYS-08|SCI-METH-13</x:v>
      </x:c>
      <x:c r="L44" s="53" t="n">
        <x:v>1</x:v>
      </x:c>
      <x:c r="M44" s="53" t="n">
        <x:v>1</x:v>
      </x:c>
      <x:c r="N4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4" s="53" t="str">
        <x:v>FRAMEWORK_ONLY_NOT_TRAINED</x:v>
      </x:c>
      <x:c r="P44" s="53" t="str">
        <x:v>0.4</x:v>
      </x:c>
    </x:row>
    <x:row r="45">
      <x:c r="A45" s="26" t="str">
        <x:v>SCI-PHYS-10</x:v>
      </x:c>
      <x:c r="B45" s="26" t="str">
        <x:v>PHYS</x:v>
      </x:c>
      <x:c r="C45" s="26" t="str">
        <x:v>Физика</x:v>
      </x:c>
      <x:c r="D45" s="26" t="str">
        <x:v>Теплопередача, изоляция и тепловой баланс</x:v>
      </x:c>
      <x:c r="E45" s="26" t="str">
        <x:v>Объяснить базовую модель, выполнить допустимую для класса риска проверку и документировать пределы по теме «Теплопередача, изоляция и тепловой баланс».</x:v>
      </x:c>
      <x:c r="F45" s="26" t="str">
        <x:v>сравнение охлаждения двух одинаковых ёмкостей</x:v>
      </x:c>
      <x:c r="G45" s="26" t="str">
        <x:v>SI-измерение</x:v>
      </x:c>
      <x:c r="H45" s="26" t="str">
        <x:v>SI или явно названный стандарт</x:v>
      </x:c>
      <x:c r="I45" s="26" t="str">
        <x:v>S1_LOW_RISK_HOUSEHOLD</x:v>
      </x:c>
      <x:c r="J4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5" s="26" t="str">
        <x:v>SCI-PHYS-09|SCI-METH-13</x:v>
      </x:c>
      <x:c r="L45" s="26" t="n">
        <x:v>1</x:v>
      </x:c>
      <x:c r="M45" s="26" t="n">
        <x:v>1</x:v>
      </x:c>
      <x:c r="N4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5" s="26" t="str">
        <x:v>FRAMEWORK_ONLY_NOT_TRAINED</x:v>
      </x:c>
      <x:c r="P45" s="26" t="str">
        <x:v>0.4</x:v>
      </x:c>
    </x:row>
    <x:row r="46">
      <x:c r="A46" s="53" t="str">
        <x:v>SCI-PHYS-11</x:v>
      </x:c>
      <x:c r="B46" s="53" t="str">
        <x:v>PHYS</x:v>
      </x:c>
      <x:c r="C46" s="53" t="str">
        <x:v>Физика</x:v>
      </x:c>
      <x:c r="D46" s="53" t="str">
        <x:v>Колебания, волны и резонанс</x:v>
      </x:c>
      <x:c r="E46" s="53" t="str">
        <x:v>Объяснить базовую модель, выполнить допустимую для класса риска проверку и документировать пределы по теме «Колебания, волны и резонанс».</x:v>
      </x:c>
      <x:c r="F46" s="53" t="str">
        <x:v>период и амплитуда безопасного маятника</x:v>
      </x:c>
      <x:c r="G46" s="53" t="str">
        <x:v>SI-измерение</x:v>
      </x:c>
      <x:c r="H46" s="53" t="str">
        <x:v>SI или явно названный стандарт</x:v>
      </x:c>
      <x:c r="I46" s="53" t="str">
        <x:v>S1_LOW_RISK_HOUSEHOLD</x:v>
      </x:c>
      <x:c r="J4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6" s="53" t="str">
        <x:v>SCI-PHYS-10|SCI-METH-13</x:v>
      </x:c>
      <x:c r="L46" s="53" t="n">
        <x:v>1</x:v>
      </x:c>
      <x:c r="M46" s="53" t="n">
        <x:v>1</x:v>
      </x:c>
      <x:c r="N4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6" s="53" t="str">
        <x:v>FRAMEWORK_ONLY_NOT_TRAINED</x:v>
      </x:c>
      <x:c r="P46" s="53" t="str">
        <x:v>0.4</x:v>
      </x:c>
    </x:row>
    <x:row r="47">
      <x:c r="A47" s="26" t="str">
        <x:v>SCI-PHYS-12</x:v>
      </x:c>
      <x:c r="B47" s="26" t="str">
        <x:v>PHYS</x:v>
      </x:c>
      <x:c r="C47" s="26" t="str">
        <x:v>Физика</x:v>
      </x:c>
      <x:c r="D47" s="26" t="str">
        <x:v>Акустика, шум и вибрация</x:v>
      </x:c>
      <x:c r="E47" s="26" t="str">
        <x:v>Объяснить базовую модель, выполнить допустимую для класса риска проверку и документировать пределы по теме «Акустика, шум и вибрация».</x:v>
      </x:c>
      <x:c r="F47" s="26" t="str">
        <x:v>уровень/спектр относительного сигнала с оговоркой о некалиброванности</x:v>
      </x:c>
      <x:c r="G47" s="26" t="str">
        <x:v>SI-измерение</x:v>
      </x:c>
      <x:c r="H47" s="26" t="str">
        <x:v>SI или явно названный стандарт</x:v>
      </x:c>
      <x:c r="I47" s="26" t="str">
        <x:v>S1_LOW_RISK_HOUSEHOLD</x:v>
      </x:c>
      <x:c r="J4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7" s="26" t="str">
        <x:v>SCI-PHYS-11|SCI-METH-13</x:v>
      </x:c>
      <x:c r="L47" s="26" t="n">
        <x:v>1</x:v>
      </x:c>
      <x:c r="M47" s="26" t="n">
        <x:v>1</x:v>
      </x:c>
      <x:c r="N4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7" s="26" t="str">
        <x:v>FRAMEWORK_ONLY_NOT_TRAINED</x:v>
      </x:c>
      <x:c r="P47" s="26" t="str">
        <x:v>0.4</x:v>
      </x:c>
    </x:row>
    <x:row r="48">
      <x:c r="A48" s="53" t="str">
        <x:v>SCI-PHYS-13</x:v>
      </x:c>
      <x:c r="B48" s="53" t="str">
        <x:v>PHYS</x:v>
      </x:c>
      <x:c r="C48" s="53" t="str">
        <x:v>Физика</x:v>
      </x:c>
      <x:c r="D48" s="53" t="str">
        <x:v>Геометрическая оптика и освещённость</x:v>
      </x:c>
      <x:c r="E48" s="53" t="str">
        <x:v>Объяснить базовую модель, выполнить допустимую для класса риска проверку и документировать пределы по теме «Геометрическая оптика и освещённость».</x:v>
      </x:c>
      <x:c r="F48" s="53" t="str">
        <x:v>фокусное расстояние безопасной линзы без наблюдения Солнца</x:v>
      </x:c>
      <x:c r="G48" s="53" t="str">
        <x:v>SI-измерение</x:v>
      </x:c>
      <x:c r="H48" s="53" t="str">
        <x:v>SI или явно названный стандарт</x:v>
      </x:c>
      <x:c r="I48" s="53" t="str">
        <x:v>S1_LOW_RISK_HOUSEHOLD</x:v>
      </x:c>
      <x:c r="J4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8" s="53" t="str">
        <x:v>SCI-PHYS-12|SCI-METH-13</x:v>
      </x:c>
      <x:c r="L48" s="53" t="n">
        <x:v>1</x:v>
      </x:c>
      <x:c r="M48" s="53" t="n">
        <x:v>1</x:v>
      </x:c>
      <x:c r="N4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8" s="53" t="str">
        <x:v>FRAMEWORK_ONLY_NOT_TRAINED</x:v>
      </x:c>
      <x:c r="P48" s="53" t="str">
        <x:v>0.4</x:v>
      </x:c>
    </x:row>
    <x:row r="49">
      <x:c r="A49" s="26" t="str">
        <x:v>SCI-PHYS-14</x:v>
      </x:c>
      <x:c r="B49" s="26" t="str">
        <x:v>PHYS</x:v>
      </x:c>
      <x:c r="C49" s="26" t="str">
        <x:v>Физика</x:v>
      </x:c>
      <x:c r="D49" s="26" t="str">
        <x:v>Электрический заряд, поле и потенциал</x:v>
      </x:c>
      <x:c r="E49" s="26" t="str">
        <x:v>Объяснить базовую модель, выполнить допустимую для класса риска проверку и документировать пределы по теме «Электрический заряд, поле и потенциал».</x:v>
      </x:c>
      <x:c r="F49" s="26" t="str">
        <x:v>электростатическое наблюдение на безопасной малой энергии</x:v>
      </x:c>
      <x:c r="G49" s="26" t="str">
        <x:v>SI-измерение</x:v>
      </x:c>
      <x:c r="H49" s="26" t="str">
        <x:v>SI или явно названный стандарт</x:v>
      </x:c>
      <x:c r="I49" s="26" t="str">
        <x:v>S1_LOW_RISK_HOUSEHOLD</x:v>
      </x:c>
      <x:c r="J4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49" s="26" t="str">
        <x:v>SCI-PHYS-13|SCI-METH-13</x:v>
      </x:c>
      <x:c r="L49" s="26" t="n">
        <x:v>1</x:v>
      </x:c>
      <x:c r="M49" s="26" t="n">
        <x:v>1</x:v>
      </x:c>
      <x:c r="N4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49" s="26" t="str">
        <x:v>FRAMEWORK_ONLY_NOT_TRAINED</x:v>
      </x:c>
      <x:c r="P49" s="26" t="str">
        <x:v>0.4</x:v>
      </x:c>
    </x:row>
    <x:row r="50">
      <x:c r="A50" s="53" t="str">
        <x:v>SCI-PHYS-15</x:v>
      </x:c>
      <x:c r="B50" s="53" t="str">
        <x:v>PHYS</x:v>
      </x:c>
      <x:c r="C50" s="53" t="str">
        <x:v>Физика</x:v>
      </x:c>
      <x:c r="D50" s="53" t="str">
        <x:v>Постоянный ток, напряжение и сопротивление</x:v>
      </x:c>
      <x:c r="E50" s="53" t="str">
        <x:v>Объяснить базовую модель, выполнить допустимую для класса риска проверку и документировать пределы по теме «Постоянный ток, напряжение и сопротивление».</x:v>
      </x:c>
      <x:c r="F50" s="53" t="str">
        <x:v>только учебная цепь от сертифицированного USB-источника 5 V с аппаратным ограничением тока ≤100 mA; автомобильные, тяговые, свинцовые и литиевые батареи исключены</x:v>
      </x:c>
      <x:c r="G50" s="53" t="str">
        <x:v>SI-измерение</x:v>
      </x:c>
      <x:c r="H50" s="53" t="str">
        <x:v>SI или явно названный стандарт</x:v>
      </x:c>
      <x:c r="I50" s="53" t="str">
        <x:v>S1_LOW_RISK_HOUSEHOLD</x:v>
      </x:c>
      <x:c r="J5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0" s="53" t="str">
        <x:v>SCI-PHYS-14|SCI-METH-13</x:v>
      </x:c>
      <x:c r="L50" s="53" t="n">
        <x:v>1</x:v>
      </x:c>
      <x:c r="M50" s="53" t="n">
        <x:v>1</x:v>
      </x:c>
      <x:c r="N5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0" s="53" t="str">
        <x:v>FRAMEWORK_ONLY_NOT_TRAINED</x:v>
      </x:c>
      <x:c r="P50" s="53" t="str">
        <x:v>0.4</x:v>
      </x:c>
    </x:row>
    <x:row r="51">
      <x:c r="A51" s="26" t="str">
        <x:v>SCI-PHYS-16</x:v>
      </x:c>
      <x:c r="B51" s="26" t="str">
        <x:v>PHYS</x:v>
      </x:c>
      <x:c r="C51" s="26" t="str">
        <x:v>Физика</x:v>
      </x:c>
      <x:c r="D51" s="26" t="str">
        <x:v>Магнетизм и электромагнитная индукция</x:v>
      </x:c>
      <x:c r="E51" s="26" t="str">
        <x:v>Объяснить базовую модель, выполнить допустимую для класса риска проверку и документировать пределы по теме «Магнетизм и электромагнитная индукция».</x:v>
      </x:c>
      <x:c r="F51" s="26" t="str">
        <x:v>катушка только от сертифицированного USB-источника 5 V с аппаратным ограничением тока ≤100 mA; STOP при любом нагреве; мощные магниты и батарейные packs исключены</x:v>
      </x:c>
      <x:c r="G51" s="26" t="str">
        <x:v>SI-измерение</x:v>
      </x:c>
      <x:c r="H51" s="26" t="str">
        <x:v>SI или явно названный стандарт</x:v>
      </x:c>
      <x:c r="I51" s="26" t="str">
        <x:v>S1_LOW_RISK_HOUSEHOLD</x:v>
      </x:c>
      <x:c r="J5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1" s="26" t="str">
        <x:v>SCI-PHYS-15|SCI-METH-13</x:v>
      </x:c>
      <x:c r="L51" s="26" t="n">
        <x:v>1</x:v>
      </x:c>
      <x:c r="M51" s="26" t="n">
        <x:v>1</x:v>
      </x:c>
      <x:c r="N5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1" s="26" t="str">
        <x:v>FRAMEWORK_ONLY_NOT_TRAINED</x:v>
      </x:c>
      <x:c r="P51" s="26" t="str">
        <x:v>0.4</x:v>
      </x:c>
    </x:row>
    <x:row r="52">
      <x:c r="A52" s="53" t="str">
        <x:v>SCI-PHYS-17</x:v>
      </x:c>
      <x:c r="B52" s="53" t="str">
        <x:v>PHYS</x:v>
      </x:c>
      <x:c r="C52" s="53" t="str">
        <x:v>Физика</x:v>
      </x:c>
      <x:c r="D52" s="53" t="str">
        <x:v>Свойства материалов, упругость и разрушение</x:v>
      </x:c>
      <x:c r="E52" s="53" t="str">
        <x:v>Объяснить базовую модель, выполнить допустимую для класса риска проверку и документировать пределы по теме «Свойства материалов, упругость и разрушение».</x:v>
      </x:c>
      <x:c r="F52" s="53" t="str">
        <x:v>неразрушающее сравнение деформации малых образцов</x:v>
      </x:c>
      <x:c r="G52" s="53" t="str">
        <x:v>SI-измерение</x:v>
      </x:c>
      <x:c r="H52" s="53" t="str">
        <x:v>SI или явно названный стандарт</x:v>
      </x:c>
      <x:c r="I52" s="53" t="str">
        <x:v>S1_LOW_RISK_HOUSEHOLD</x:v>
      </x:c>
      <x:c r="J52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2" s="53" t="str">
        <x:v>SCI-PHYS-16|SCI-METH-13</x:v>
      </x:c>
      <x:c r="L52" s="53" t="n">
        <x:v>1</x:v>
      </x:c>
      <x:c r="M52" s="53" t="n">
        <x:v>1</x:v>
      </x:c>
      <x:c r="N5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2" s="53" t="str">
        <x:v>FRAMEWORK_ONLY_NOT_TRAINED</x:v>
      </x:c>
      <x:c r="P52" s="53" t="str">
        <x:v>0.4</x:v>
      </x:c>
    </x:row>
    <x:row r="53">
      <x:c r="A53" s="26" t="str">
        <x:v>SCI-CHEM-01</x:v>
      </x:c>
      <x:c r="B53" s="26" t="str">
        <x:v>CHEM</x:v>
      </x:c>
      <x:c r="C53" s="26" t="str">
        <x:v>Химия и материалы</x:v>
      </x:c>
      <x:c r="D53" s="26" t="str">
        <x:v>Строение вещества и периодические закономерности</x:v>
      </x:c>
      <x:c r="E53" s="26" t="str">
        <x:v>Объяснить базовую модель, выполнить допустимую для класса риска проверку и документировать пределы по теме «Строение вещества и периодические закономерности».</x:v>
      </x:c>
      <x:c r="F53" s="26" t="str">
        <x:v>объяснение свойства через состав и структуру</x:v>
      </x:c>
      <x:c r="G53" s="26" t="str">
        <x:v>состав/концентрация</x:v>
      </x:c>
      <x:c r="H53" s="26" t="str">
        <x:v>SI или явно названный стандарт</x:v>
      </x:c>
      <x:c r="I53" s="26" t="str">
        <x:v>S1_LOW_RISK_HOUSEHOLD</x:v>
      </x:c>
      <x:c r="J53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3" s="26" t="str">
        <x:v>SCI-METH-01|SCI-METH-07|SCI-METH-14</x:v>
      </x:c>
      <x:c r="L53" s="26" t="n">
        <x:v>1</x:v>
      </x:c>
      <x:c r="M53" s="26" t="n">
        <x:v>1</x:v>
      </x:c>
      <x:c r="N5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3" s="26" t="str">
        <x:v>FRAMEWORK_ONLY_NOT_TRAINED</x:v>
      </x:c>
      <x:c r="P53" s="26" t="str">
        <x:v>0.4</x:v>
      </x:c>
    </x:row>
    <x:row r="54">
      <x:c r="A54" s="53" t="str">
        <x:v>SCI-CHEM-02</x:v>
      </x:c>
      <x:c r="B54" s="53" t="str">
        <x:v>CHEM</x:v>
      </x:c>
      <x:c r="C54" s="53" t="str">
        <x:v>Химия и материалы</x:v>
      </x:c>
      <x:c r="D54" s="53" t="str">
        <x:v>Количество вещества, формулы и стехиометрия</x:v>
      </x:c>
      <x:c r="E54" s="53" t="str">
        <x:v>Объяснить базовую модель, выполнить допустимую для класса риска проверку и документировать пределы по теме «Количество вещества, формулы и стехиометрия».</x:v>
      </x:c>
      <x:c r="F54" s="53" t="str">
        <x:v>массовый баланс на безопасной учебной задаче</x:v>
      </x:c>
      <x:c r="G54" s="53" t="str">
        <x:v>состав/концентрация</x:v>
      </x:c>
      <x:c r="H54" s="53" t="str">
        <x:v>SI или явно названный стандарт</x:v>
      </x:c>
      <x:c r="I54" s="53" t="str">
        <x:v>S1_LOW_RISK_HOUSEHOLD</x:v>
      </x:c>
      <x:c r="J54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4" s="53" t="str">
        <x:v>SCI-CHEM-01|SCI-METH-13</x:v>
      </x:c>
      <x:c r="L54" s="53" t="n">
        <x:v>1</x:v>
      </x:c>
      <x:c r="M54" s="53" t="n">
        <x:v>1</x:v>
      </x:c>
      <x:c r="N5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4" s="53" t="str">
        <x:v>FRAMEWORK_ONLY_NOT_TRAINED</x:v>
      </x:c>
      <x:c r="P54" s="53" t="str">
        <x:v>0.4</x:v>
      </x:c>
    </x:row>
    <x:row r="55">
      <x:c r="A55" s="26" t="str">
        <x:v>SCI-CHEM-03</x:v>
      </x:c>
      <x:c r="B55" s="26" t="str">
        <x:v>CHEM</x:v>
      </x:c>
      <x:c r="C55" s="26" t="str">
        <x:v>Химия и материалы</x:v>
      </x:c>
      <x:c r="D55" s="26" t="str">
        <x:v>Растворы, концентрации и безопасное разбавление</x:v>
      </x:c>
      <x:c r="E55" s="26" t="str">
        <x:v>Объяснить базовую модель, выполнить допустимую для класса риска проверку и документировать пределы по теме «Растворы, концентрации и безопасное разбавление».</x:v>
      </x:c>
      <x:c r="F55" s="26" t="str">
        <x:v>расчёт концентрации без реактивных/токсичных веществ</x:v>
      </x:c>
      <x:c r="G55" s="26" t="str">
        <x:v>состав/концентрация</x:v>
      </x:c>
      <x:c r="H55" s="26" t="str">
        <x:v>SI или явно названный стандарт</x:v>
      </x:c>
      <x:c r="I55" s="26" t="str">
        <x:v>S1_LOW_RISK_HOUSEHOLD</x:v>
      </x:c>
      <x:c r="J5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5" s="26" t="str">
        <x:v>SCI-CHEM-02|SCI-METH-13</x:v>
      </x:c>
      <x:c r="L55" s="26" t="n">
        <x:v>1</x:v>
      </x:c>
      <x:c r="M55" s="26" t="n">
        <x:v>1</x:v>
      </x:c>
      <x:c r="N5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5" s="26" t="str">
        <x:v>FRAMEWORK_ONLY_NOT_TRAINED</x:v>
      </x:c>
      <x:c r="P55" s="26" t="str">
        <x:v>0.4</x:v>
      </x:c>
    </x:row>
    <x:row r="56">
      <x:c r="A56" s="53" t="str">
        <x:v>SCI-CHEM-04</x:v>
      </x:c>
      <x:c r="B56" s="53" t="str">
        <x:v>CHEM</x:v>
      </x:c>
      <x:c r="C56" s="53" t="str">
        <x:v>Химия и материалы</x:v>
      </x:c>
      <x:c r="D56" s="53" t="str">
        <x:v>Кислотность, pH и буферные системы</x:v>
      </x:c>
      <x:c r="E56" s="53" t="str">
        <x:v>Объяснить базовую модель, выполнить допустимую для класса риска проверку и документировать пределы по теме «Кислотность, pH и буферные системы».</x:v>
      </x:c>
      <x:c r="F56" s="53" t="str">
        <x:v>готовая тест-полоска только для питьевой воды, столового уксуса или пищевого сока в отдельной одноразовой ёмкости; cleaners, неизвестные жидкости, смешивание и tasting запрещены</x:v>
      </x:c>
      <x:c r="G56" s="53" t="str">
        <x:v>состав/концентрация</x:v>
      </x:c>
      <x:c r="H56" s="53" t="str">
        <x:v>SI или явно названный стандарт</x:v>
      </x:c>
      <x:c r="I56" s="53" t="str">
        <x:v>S1_LOW_RISK_HOUSEHOLD</x:v>
      </x:c>
      <x:c r="J5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6" s="53" t="str">
        <x:v>SCI-CHEM-03|SCI-METH-13</x:v>
      </x:c>
      <x:c r="L56" s="53" t="n">
        <x:v>1</x:v>
      </x:c>
      <x:c r="M56" s="53" t="n">
        <x:v>1</x:v>
      </x:c>
      <x:c r="N5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6" s="53" t="str">
        <x:v>FRAMEWORK_ONLY_NOT_TRAINED</x:v>
      </x:c>
      <x:c r="P56" s="53" t="str">
        <x:v>0.4</x:v>
      </x:c>
    </x:row>
    <x:row r="57">
      <x:c r="A57" s="26" t="str">
        <x:v>SCI-CHEM-05</x:v>
      </x:c>
      <x:c r="B57" s="26" t="str">
        <x:v>CHEM</x:v>
      </x:c>
      <x:c r="C57" s="26" t="str">
        <x:v>Химия и материалы</x:v>
      </x:c>
      <x:c r="D57" s="26" t="str">
        <x:v>Газы, давление и температурные зависимости</x:v>
      </x:c>
      <x:c r="E57" s="26" t="str">
        <x:v>Объяснить базовую модель, выполнить допустимую для класса риска проверку и документировать пределы по теме «Газы, давление и температурные зависимости».</x:v>
      </x:c>
      <x:c r="F57" s="26" t="str">
        <x:v>анализ опубликованных данных; герметичные нагреваемые сосуды запрещены</x:v>
      </x:c>
      <x:c r="G57" s="26" t="str">
        <x:v>состав/концентрация</x:v>
      </x:c>
      <x:c r="H57" s="26" t="str">
        <x:v>SI или явно названный стандарт</x:v>
      </x:c>
      <x:c r="I57" s="26" t="str">
        <x:v>S4_REFERENCE_ONLY_PROHIBITED_HOUSEHOLD</x:v>
      </x:c>
      <x:c r="J57" s="26" t="str">
        <x:v>Только справочное знание и распознавание опасности; бытовое выполнение запрещено.</x:v>
      </x:c>
      <x:c r="K57" s="26" t="str">
        <x:v>SCI-CHEM-04|SCI-METH-13</x:v>
      </x:c>
      <x:c r="L57" s="26" t="n">
        <x:v>1</x:v>
      </x:c>
      <x:c r="M57" s="26" t="n">
        <x:v>1</x:v>
      </x:c>
      <x:c r="N5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7" s="26" t="str">
        <x:v>FRAMEWORK_ONLY_NOT_TRAINED</x:v>
      </x:c>
      <x:c r="P57" s="26" t="str">
        <x:v>0.4</x:v>
      </x:c>
    </x:row>
    <x:row r="58">
      <x:c r="A58" s="53" t="str">
        <x:v>SCI-CHEM-06</x:v>
      </x:c>
      <x:c r="B58" s="53" t="str">
        <x:v>CHEM</x:v>
      </x:c>
      <x:c r="C58" s="53" t="str">
        <x:v>Химия и материалы</x:v>
      </x:c>
      <x:c r="D58" s="53" t="str">
        <x:v>Химическая термодинамика и фазовые равновесия</x:v>
      </x:c>
      <x:c r="E58" s="53" t="str">
        <x:v>Объяснить базовую модель, выполнить допустимую для класса риска проверку и документировать пределы по теме «Химическая термодинамика и фазовые равновесия».</x:v>
      </x:c>
      <x:c r="F58" s="53" t="str">
        <x:v>диаграмма состояния и энергетический баланс по данным</x:v>
      </x:c>
      <x:c r="G58" s="53" t="str">
        <x:v>состав/концентрация</x:v>
      </x:c>
      <x:c r="H58" s="53" t="str">
        <x:v>SI или явно названный стандарт</x:v>
      </x:c>
      <x:c r="I58" s="53" t="str">
        <x:v>S1_LOW_RISK_HOUSEHOLD</x:v>
      </x:c>
      <x:c r="J5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8" s="53" t="str">
        <x:v>SCI-CHEM-05|SCI-METH-13</x:v>
      </x:c>
      <x:c r="L58" s="53" t="n">
        <x:v>1</x:v>
      </x:c>
      <x:c r="M58" s="53" t="n">
        <x:v>1</x:v>
      </x:c>
      <x:c r="N5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8" s="53" t="str">
        <x:v>FRAMEWORK_ONLY_NOT_TRAINED</x:v>
      </x:c>
      <x:c r="P58" s="53" t="str">
        <x:v>0.4</x:v>
      </x:c>
    </x:row>
    <x:row r="59">
      <x:c r="A59" s="26" t="str">
        <x:v>SCI-CHEM-07</x:v>
      </x:c>
      <x:c r="B59" s="26" t="str">
        <x:v>CHEM</x:v>
      </x:c>
      <x:c r="C59" s="26" t="str">
        <x:v>Химия и материалы</x:v>
      </x:c>
      <x:c r="D59" s="26" t="str">
        <x:v>Равновесие, растворимость и кристаллизация</x:v>
      </x:c>
      <x:c r="E59" s="26" t="str">
        <x:v>Объяснить базовую модель, выполнить допустимую для класса риска проверку и документировать пределы по теме «Равновесие, растворимость и кристаллизация».</x:v>
      </x:c>
      <x:c r="F59" s="26" t="str">
        <x:v>безопасное наблюдение кристаллизации пищевой соли</x:v>
      </x:c>
      <x:c r="G59" s="26" t="str">
        <x:v>состав/концентрация</x:v>
      </x:c>
      <x:c r="H59" s="26" t="str">
        <x:v>SI или явно названный стандарт</x:v>
      </x:c>
      <x:c r="I59" s="26" t="str">
        <x:v>S1_LOW_RISK_HOUSEHOLD</x:v>
      </x:c>
      <x:c r="J5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59" s="26" t="str">
        <x:v>SCI-CHEM-06|SCI-METH-13</x:v>
      </x:c>
      <x:c r="L59" s="26" t="n">
        <x:v>1</x:v>
      </x:c>
      <x:c r="M59" s="26" t="n">
        <x:v>1</x:v>
      </x:c>
      <x:c r="N5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59" s="26" t="str">
        <x:v>FRAMEWORK_ONLY_NOT_TRAINED</x:v>
      </x:c>
      <x:c r="P59" s="26" t="str">
        <x:v>0.4</x:v>
      </x:c>
    </x:row>
    <x:row r="60">
      <x:c r="A60" s="53" t="str">
        <x:v>SCI-CHEM-08</x:v>
      </x:c>
      <x:c r="B60" s="53" t="str">
        <x:v>CHEM</x:v>
      </x:c>
      <x:c r="C60" s="53" t="str">
        <x:v>Химия и материалы</x:v>
      </x:c>
      <x:c r="D60" s="53" t="str">
        <x:v>Скорость реакции и влияние условий</x:v>
      </x:c>
      <x:c r="E60" s="53" t="str">
        <x:v>Объяснить базовую модель, выполнить допустимую для класса риска проверку и документировать пределы по теме «Скорость реакции и влияние условий».</x:v>
      </x:c>
      <x:c r="F60" s="53" t="str">
        <x:v>наблюдение безопасного пищевого/ферментного процесса без герметизации</x:v>
      </x:c>
      <x:c r="G60" s="53" t="str">
        <x:v>состав/концентрация</x:v>
      </x:c>
      <x:c r="H60" s="53" t="str">
        <x:v>SI или явно названный стандарт</x:v>
      </x:c>
      <x:c r="I60" s="53" t="str">
        <x:v>S1_LOW_RISK_HOUSEHOLD</x:v>
      </x:c>
      <x:c r="J6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60" s="53" t="str">
        <x:v>SCI-CHEM-07|SCI-METH-13</x:v>
      </x:c>
      <x:c r="L60" s="53" t="n">
        <x:v>1</x:v>
      </x:c>
      <x:c r="M60" s="53" t="n">
        <x:v>1</x:v>
      </x:c>
      <x:c r="N6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0" s="53" t="str">
        <x:v>FRAMEWORK_ONLY_NOT_TRAINED</x:v>
      </x:c>
      <x:c r="P60" s="53" t="str">
        <x:v>0.4</x:v>
      </x:c>
    </x:row>
    <x:row r="61">
      <x:c r="A61" s="26" t="str">
        <x:v>SCI-CHEM-09</x:v>
      </x:c>
      <x:c r="B61" s="26" t="str">
        <x:v>CHEM</x:v>
      </x:c>
      <x:c r="C61" s="26" t="str">
        <x:v>Химия и материалы</x:v>
      </x:c>
      <x:c r="D61" s="26" t="str">
        <x:v>Электрохимия, батареи и коррозия</x:v>
      </x:c>
      <x:c r="E61" s="26" t="str">
        <x:v>Объяснить базовую модель, выполнить допустимую для класса риска проверку и документировать пределы по теме «Электрохимия, батареи и коррозия».</x:v>
      </x:c>
      <x:c r="F61" s="26" t="str">
        <x:v>визуальная/массовая оценка коррозии безопасных образцов</x:v>
      </x:c>
      <x:c r="G61" s="26" t="str">
        <x:v>состав/концентрация</x:v>
      </x:c>
      <x:c r="H61" s="26" t="str">
        <x:v>SI или явно названный стандарт</x:v>
      </x:c>
      <x:c r="I61" s="26" t="str">
        <x:v>S1_LOW_RISK_HOUSEHOLD</x:v>
      </x:c>
      <x:c r="J6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61" s="26" t="str">
        <x:v>SCI-CHEM-08|SCI-METH-13</x:v>
      </x:c>
      <x:c r="L61" s="26" t="n">
        <x:v>1</x:v>
      </x:c>
      <x:c r="M61" s="26" t="n">
        <x:v>1</x:v>
      </x:c>
      <x:c r="N6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1" s="26" t="str">
        <x:v>FRAMEWORK_ONLY_NOT_TRAINED</x:v>
      </x:c>
      <x:c r="P61" s="26" t="str">
        <x:v>0.4</x:v>
      </x:c>
    </x:row>
    <x:row r="62">
      <x:c r="A62" s="53" t="str">
        <x:v>SCI-CHEM-10</x:v>
      </x:c>
      <x:c r="B62" s="53" t="str">
        <x:v>CHEM</x:v>
      </x:c>
      <x:c r="C62" s="53" t="str">
        <x:v>Химия и материалы</x:v>
      </x:c>
      <x:c r="D62" s="53" t="str">
        <x:v>Аналитическая химия и контроль качества</x:v>
      </x:c>
      <x:c r="E62" s="53" t="str">
        <x:v>Объяснить базовую модель, выполнить допустимую для класса риска проверку и документировать пределы по теме «Аналитическая химия и контроль качества».</x:v>
      </x:c>
      <x:c r="F62" s="53" t="str">
        <x:v>только после item-level SDS review: заводской водный учебный стандарт известного состава/концентрации и утверждённый путь отходов</x:v>
      </x:c>
      <x:c r="G62" s="53" t="str">
        <x:v>состав/концентрация</x:v>
      </x:c>
      <x:c r="H62" s="53" t="str">
        <x:v>SI или явно названный стандарт</x:v>
      </x:c>
      <x:c r="I62" s="53" t="str">
        <x:v>S2_TRAINED_SUPERVISED</x:v>
      </x:c>
      <x:c r="J62" s="53" t="str">
        <x:v>Только после обучения и под компетентным надзором; бытовая самостоятельная импровизация запрещена.</x:v>
      </x:c>
      <x:c r="K62" s="53" t="str">
        <x:v>SCI-CHEM-09|SCI-METH-13</x:v>
      </x:c>
      <x:c r="L62" s="53" t="n">
        <x:v>1</x:v>
      </x:c>
      <x:c r="M62" s="53" t="n">
        <x:v>1</x:v>
      </x:c>
      <x:c r="N6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2" s="53" t="str">
        <x:v>FRAMEWORK_ONLY_NOT_TRAINED</x:v>
      </x:c>
      <x:c r="P62" s="53" t="str">
        <x:v>0.4</x:v>
      </x:c>
    </x:row>
    <x:row r="63">
      <x:c r="A63" s="26" t="str">
        <x:v>SCI-CHEM-11</x:v>
      </x:c>
      <x:c r="B63" s="26" t="str">
        <x:v>CHEM</x:v>
      </x:c>
      <x:c r="C63" s="26" t="str">
        <x:v>Химия и материалы</x:v>
      </x:c>
      <x:c r="D63" s="26" t="str">
        <x:v>Металлы, сплавы, полимеры, стекло и керамика</x:v>
      </x:c>
      <x:c r="E63" s="26" t="str">
        <x:v>Объяснить базовую модель, выполнить допустимую для класса риска проверку и документировать пределы по теме «Металлы, сплавы, полимеры, стекло и керамика».</x:v>
      </x:c>
      <x:c r="F63" s="26" t="str">
        <x:v>идентификация материала по неразрушаемым признакам</x:v>
      </x:c>
      <x:c r="G63" s="26" t="str">
        <x:v>состав/концентрация</x:v>
      </x:c>
      <x:c r="H63" s="26" t="str">
        <x:v>SI или явно названный стандарт</x:v>
      </x:c>
      <x:c r="I63" s="26" t="str">
        <x:v>S1_LOW_RISK_HOUSEHOLD</x:v>
      </x:c>
      <x:c r="J63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63" s="26" t="str">
        <x:v>SCI-CHEM-10|SCI-METH-13</x:v>
      </x:c>
      <x:c r="L63" s="26" t="n">
        <x:v>1</x:v>
      </x:c>
      <x:c r="M63" s="26" t="n">
        <x:v>1</x:v>
      </x:c>
      <x:c r="N6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3" s="26" t="str">
        <x:v>FRAMEWORK_ONLY_NOT_TRAINED</x:v>
      </x:c>
      <x:c r="P63" s="26" t="str">
        <x:v>0.4</x:v>
      </x:c>
    </x:row>
    <x:row r="64">
      <x:c r="A64" s="53" t="str">
        <x:v>SCI-CHEM-12</x:v>
      </x:c>
      <x:c r="B64" s="53" t="str">
        <x:v>CHEM</x:v>
      </x:c>
      <x:c r="C64" s="53" t="str">
        <x:v>Химия и материалы</x:v>
      </x:c>
      <x:c r="D64" s="53" t="str">
        <x:v>Клеи, покрытия и совместимость материалов</x:v>
      </x:c>
      <x:c r="E64" s="53" t="str">
        <x:v>Объяснить базовую модель, выполнить допустимую для класса риска проверку и документировать пределы по теме «Клеи, покрытия и совместимость материалов».</x:v>
      </x:c>
      <x:c r="F64" s="53" t="str">
        <x:v>только после item-level review конкретного consumer product, SDS, hazard statements, перчаток, вентиляции, количества и утилизации; двухкомпонентные, растворные и изоцианатные системы исключены</x:v>
      </x:c>
      <x:c r="G64" s="53" t="str">
        <x:v>состав/концентрация</x:v>
      </x:c>
      <x:c r="H64" s="53" t="str">
        <x:v>SI или явно названный стандарт</x:v>
      </x:c>
      <x:c r="I64" s="53" t="str">
        <x:v>S2_TRAINED_SUPERVISED</x:v>
      </x:c>
      <x:c r="J64" s="53" t="str">
        <x:v>Только после обучения и под компетентным надзором; бытовая самостоятельная импровизация запрещена.</x:v>
      </x:c>
      <x:c r="K64" s="53" t="str">
        <x:v>SCI-CHEM-11|SCI-METH-13</x:v>
      </x:c>
      <x:c r="L64" s="53" t="n">
        <x:v>1</x:v>
      </x:c>
      <x:c r="M64" s="53" t="n">
        <x:v>1</x:v>
      </x:c>
      <x:c r="N6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4" s="53" t="str">
        <x:v>FRAMEWORK_ONLY_NOT_TRAINED</x:v>
      </x:c>
      <x:c r="P64" s="53" t="str">
        <x:v>0.4</x:v>
      </x:c>
    </x:row>
    <x:row r="65">
      <x:c r="A65" s="26" t="str">
        <x:v>SCI-CHEM-13</x:v>
      </x:c>
      <x:c r="B65" s="26" t="str">
        <x:v>CHEM</x:v>
      </x:c>
      <x:c r="C65" s="26" t="str">
        <x:v>Химия и материалы</x:v>
      </x:c>
      <x:c r="D65" s="26" t="str">
        <x:v>Топливо, горение и продукты сгорания</x:v>
      </x:c>
      <x:c r="E65" s="26" t="str">
        <x:v>Объяснить базовую модель, выполнить допустимую для класса риска проверку и документировать пределы по теме «Топливо, горение и продукты сгорания».</x:v>
      </x:c>
      <x:c r="F65" s="26" t="str">
        <x:v>только распознавание рисков CO/пожара; бытовые опыты запрещены</x:v>
      </x:c>
      <x:c r="G65" s="26" t="str">
        <x:v>состав/концентрация</x:v>
      </x:c>
      <x:c r="H65" s="26" t="str">
        <x:v>SI или явно названный стандарт</x:v>
      </x:c>
      <x:c r="I65" s="26" t="str">
        <x:v>S4_REFERENCE_ONLY_PROHIBITED_HOUSEHOLD</x:v>
      </x:c>
      <x:c r="J65" s="26" t="str">
        <x:v>Только справочное знание и распознавание опасности; бытовое выполнение запрещено.</x:v>
      </x:c>
      <x:c r="K65" s="26" t="str">
        <x:v>SCI-CHEM-12|SCI-METH-13</x:v>
      </x:c>
      <x:c r="L65" s="26" t="n">
        <x:v>1</x:v>
      </x:c>
      <x:c r="M65" s="26" t="n">
        <x:v>1</x:v>
      </x:c>
      <x:c r="N6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5" s="26" t="str">
        <x:v>FRAMEWORK_ONLY_NOT_TRAINED</x:v>
      </x:c>
      <x:c r="P65" s="26" t="str">
        <x:v>0.4</x:v>
      </x:c>
    </x:row>
    <x:row r="66">
      <x:c r="A66" s="53" t="str">
        <x:v>SCI-CHEM-14</x:v>
      </x:c>
      <x:c r="B66" s="53" t="str">
        <x:v>CHEM</x:v>
      </x:c>
      <x:c r="C66" s="53" t="str">
        <x:v>Химия и материалы</x:v>
      </x:c>
      <x:c r="D66" s="53" t="str">
        <x:v>Химия воды и ограничения бытовой обработки</x:v>
      </x:c>
      <x:c r="E66" s="53" t="str">
        <x:v>Объяснить базовую модель, выполнить допустимую для класса риска проверку и документировать пределы по теме «Химия воды и ограничения бытовой обработки».</x:v>
      </x:c>
      <x:c r="F66" s="53" t="str">
        <x:v>чтение лабораторного отчёта и разделение биологических/химических рисков</x:v>
      </x:c>
      <x:c r="G66" s="53" t="str">
        <x:v>состав/концентрация</x:v>
      </x:c>
      <x:c r="H66" s="53" t="str">
        <x:v>SI или явно названный стандарт</x:v>
      </x:c>
      <x:c r="I66" s="53" t="str">
        <x:v>S1_LOW_RISK_HOUSEHOLD</x:v>
      </x:c>
      <x:c r="J6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66" s="53" t="str">
        <x:v>SCI-CHEM-13|SCI-METH-13</x:v>
      </x:c>
      <x:c r="L66" s="53" t="n">
        <x:v>1</x:v>
      </x:c>
      <x:c r="M66" s="53" t="n">
        <x:v>1</x:v>
      </x:c>
      <x:c r="N6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6" s="53" t="str">
        <x:v>FRAMEWORK_ONLY_NOT_TRAINED</x:v>
      </x:c>
      <x:c r="P66" s="53" t="str">
        <x:v>0.4</x:v>
      </x:c>
    </x:row>
    <x:row r="67">
      <x:c r="A67" s="26" t="str">
        <x:v>SCI-CHEM-15</x:v>
      </x:c>
      <x:c r="B67" s="26" t="str">
        <x:v>CHEM</x:v>
      </x:c>
      <x:c r="C67" s="26" t="str">
        <x:v>Химия и материалы</x:v>
      </x:c>
      <x:c r="D67" s="26" t="str">
        <x:v>Химия пищи и изменения при хранении</x:v>
      </x:c>
      <x:c r="E67" s="26" t="str">
        <x:v>Объяснить базовую модель, выполнить допустимую для класса риска проверку и документировать пределы по теме «Химия пищи и изменения при хранении».</x:v>
      </x:c>
      <x:c r="F67" s="26" t="str">
        <x:v>масса, температура и наблюдение без употребления сомнительных образцов</x:v>
      </x:c>
      <x:c r="G67" s="26" t="str">
        <x:v>состав/концентрация</x:v>
      </x:c>
      <x:c r="H67" s="26" t="str">
        <x:v>SI или явно названный стандарт</x:v>
      </x:c>
      <x:c r="I67" s="26" t="str">
        <x:v>S1_LOW_RISK_HOUSEHOLD</x:v>
      </x:c>
      <x:c r="J6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67" s="26" t="str">
        <x:v>SCI-CHEM-14|SCI-METH-13</x:v>
      </x:c>
      <x:c r="L67" s="26" t="n">
        <x:v>1</x:v>
      </x:c>
      <x:c r="M67" s="26" t="n">
        <x:v>1</x:v>
      </x:c>
      <x:c r="N6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7" s="26" t="str">
        <x:v>FRAMEWORK_ONLY_NOT_TRAINED</x:v>
      </x:c>
      <x:c r="P67" s="26" t="str">
        <x:v>0.4</x:v>
      </x:c>
    </x:row>
    <x:row r="68">
      <x:c r="A68" s="53" t="str">
        <x:v>SCI-CHEM-16</x:v>
      </x:c>
      <x:c r="B68" s="53" t="str">
        <x:v>CHEM</x:v>
      </x:c>
      <x:c r="C68" s="53" t="str">
        <x:v>Химия и материалы</x:v>
      </x:c>
      <x:c r="D68" s="53" t="str">
        <x:v>SDS, маркировка, совместное хранение и отходы</x:v>
      </x:c>
      <x:c r="E68" s="53" t="str">
        <x:v>Объяснить базовую модель, выполнить допустимую для класса риска проверку и документировать пределы по теме «SDS, маркировка, совместное хранение и отходы».</x:v>
      </x:c>
      <x:c r="F68" s="53" t="str">
        <x:v>поиск опасностей, СИЗ, несовместимостей и пути утилизации</x:v>
      </x:c>
      <x:c r="G68" s="53" t="str">
        <x:v>состав/концентрация</x:v>
      </x:c>
      <x:c r="H68" s="53" t="str">
        <x:v>SI или явно названный стандарт</x:v>
      </x:c>
      <x:c r="I68" s="53" t="str">
        <x:v>S1_LOW_RISK_HOUSEHOLD</x:v>
      </x:c>
      <x:c r="J6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68" s="53" t="str">
        <x:v>SCI-CHEM-15|SCI-METH-13</x:v>
      </x:c>
      <x:c r="L68" s="53" t="n">
        <x:v>1</x:v>
      </x:c>
      <x:c r="M68" s="53" t="n">
        <x:v>1</x:v>
      </x:c>
      <x:c r="N6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8" s="53" t="str">
        <x:v>FRAMEWORK_ONLY_NOT_TRAINED</x:v>
      </x:c>
      <x:c r="P68" s="53" t="str">
        <x:v>0.4</x:v>
      </x:c>
    </x:row>
    <x:row r="69">
      <x:c r="A69" s="26" t="str">
        <x:v>SCI-LIFE-01</x:v>
      </x:c>
      <x:c r="B69" s="26" t="str">
        <x:v>LIFE</x:v>
      </x:c>
      <x:c r="C69" s="26" t="str">
        <x:v>Биология и экология</x:v>
      </x:c>
      <x:c r="D69" s="26" t="str">
        <x:v>Клетка, мембраны и обмен веществ</x:v>
      </x:c>
      <x:c r="E69" s="26" t="str">
        <x:v>Объяснить базовую модель, выполнить допустимую для класса риска проверку и документировать пределы по теме «Клетка, мембраны и обмен веществ».</x:v>
      </x:c>
      <x:c r="F69" s="26" t="str">
        <x:v>аннотированная схема и анализ готового микроснимка</x:v>
      </x:c>
      <x:c r="G69" s="26" t="str">
        <x:v>наблюдение/счёт</x:v>
      </x:c>
      <x:c r="H69" s="26" t="str">
        <x:v>SI или явно названный стандарт</x:v>
      </x:c>
      <x:c r="I69" s="26" t="str">
        <x:v>S0_OBSERVE_READ</x:v>
      </x:c>
      <x:c r="J69" s="26" t="str">
        <x:v>Наблюдение, чтение, расчёт или работа с опубликованным набором данных; физического вмешательства нет.</x:v>
      </x:c>
      <x:c r="K69" s="26" t="str">
        <x:v>SCI-METH-01|SCI-METH-07|SCI-METH-14</x:v>
      </x:c>
      <x:c r="L69" s="26" t="n">
        <x:v>1</x:v>
      </x:c>
      <x:c r="M69" s="26" t="n">
        <x:v>1</x:v>
      </x:c>
      <x:c r="N6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69" s="26" t="str">
        <x:v>FRAMEWORK_ONLY_NOT_TRAINED</x:v>
      </x:c>
      <x:c r="P69" s="26" t="str">
        <x:v>0.4</x:v>
      </x:c>
    </x:row>
    <x:row r="70">
      <x:c r="A70" s="53" t="str">
        <x:v>SCI-LIFE-02</x:v>
      </x:c>
      <x:c r="B70" s="53" t="str">
        <x:v>LIFE</x:v>
      </x:c>
      <x:c r="C70" s="53" t="str">
        <x:v>Биология и экология</x:v>
      </x:c>
      <x:c r="D70" s="53" t="str">
        <x:v>ДНК, наследование и вариация</x:v>
      </x:c>
      <x:c r="E70" s="53" t="str">
        <x:v>Объяснить базовую модель, выполнить допустимую для класса риска проверку и документировать пределы по теме «ДНК, наследование и вариация».</x:v>
      </x:c>
      <x:c r="F70" s="53" t="str">
        <x:v>родословная учебного признака без медицинской интерпретации</x:v>
      </x:c>
      <x:c r="G70" s="53" t="str">
        <x:v>наблюдение/счёт</x:v>
      </x:c>
      <x:c r="H70" s="53" t="str">
        <x:v>SI или явно названный стандарт</x:v>
      </x:c>
      <x:c r="I70" s="53" t="str">
        <x:v>S0_OBSERVE_READ</x:v>
      </x:c>
      <x:c r="J70" s="53" t="str">
        <x:v>Наблюдение, чтение, расчёт или работа с опубликованным набором данных; физического вмешательства нет.</x:v>
      </x:c>
      <x:c r="K70" s="53" t="str">
        <x:v>SCI-LIFE-01|SCI-METH-13</x:v>
      </x:c>
      <x:c r="L70" s="53" t="n">
        <x:v>1</x:v>
      </x:c>
      <x:c r="M70" s="53" t="n">
        <x:v>1</x:v>
      </x:c>
      <x:c r="N7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0" s="53" t="str">
        <x:v>FRAMEWORK_ONLY_NOT_TRAINED</x:v>
      </x:c>
      <x:c r="P70" s="53" t="str">
        <x:v>0.4</x:v>
      </x:c>
    </x:row>
    <x:row r="71">
      <x:c r="A71" s="26" t="str">
        <x:v>SCI-LIFE-03</x:v>
      </x:c>
      <x:c r="B71" s="26" t="str">
        <x:v>LIFE</x:v>
      </x:c>
      <x:c r="C71" s="26" t="str">
        <x:v>Биология и экология</x:v>
      </x:c>
      <x:c r="D71" s="26" t="str">
        <x:v>Эволюция, отбор и филогенетика</x:v>
      </x:c>
      <x:c r="E71" s="26" t="str">
        <x:v>Объяснить базовую модель, выполнить допустимую для класса риска проверку и документировать пределы по теме «Эволюция, отбор и филогенетика».</x:v>
      </x:c>
      <x:c r="F71" s="26" t="str">
        <x:v>дерево признаков с указанием неопределённости</x:v>
      </x:c>
      <x:c r="G71" s="26" t="str">
        <x:v>наблюдение/счёт</x:v>
      </x:c>
      <x:c r="H71" s="26" t="str">
        <x:v>SI или явно названный стандарт</x:v>
      </x:c>
      <x:c r="I71" s="26" t="str">
        <x:v>S0_OBSERVE_READ</x:v>
      </x:c>
      <x:c r="J71" s="26" t="str">
        <x:v>Наблюдение, чтение, расчёт или работа с опубликованным набором данных; физического вмешательства нет.</x:v>
      </x:c>
      <x:c r="K71" s="26" t="str">
        <x:v>SCI-LIFE-02|SCI-METH-13</x:v>
      </x:c>
      <x:c r="L71" s="26" t="n">
        <x:v>1</x:v>
      </x:c>
      <x:c r="M71" s="26" t="n">
        <x:v>1</x:v>
      </x:c>
      <x:c r="N7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1" s="26" t="str">
        <x:v>FRAMEWORK_ONLY_NOT_TRAINED</x:v>
      </x:c>
      <x:c r="P71" s="26" t="str">
        <x:v>0.4</x:v>
      </x:c>
    </x:row>
    <x:row r="72">
      <x:c r="A72" s="53" t="str">
        <x:v>SCI-LIFE-04</x:v>
      </x:c>
      <x:c r="B72" s="53" t="str">
        <x:v>LIFE</x:v>
      </x:c>
      <x:c r="C72" s="53" t="str">
        <x:v>Биология и экология</x:v>
      </x:c>
      <x:c r="D72" s="53" t="str">
        <x:v>Ботаника и морфология растений</x:v>
      </x:c>
      <x:c r="E72" s="53" t="str">
        <x:v>Объяснить базовую модель, выполнить допустимую для класса риска проверку и документировать пределы по теме «Ботаника и морфология растений».</x:v>
      </x:c>
      <x:c r="F72" s="53" t="str">
        <x:v>фотопротокол безопасного известного растения</x:v>
      </x:c>
      <x:c r="G72" s="53" t="str">
        <x:v>наблюдение/счёт</x:v>
      </x:c>
      <x:c r="H72" s="53" t="str">
        <x:v>SI или явно названный стандарт</x:v>
      </x:c>
      <x:c r="I72" s="53" t="str">
        <x:v>S0_OBSERVE_READ</x:v>
      </x:c>
      <x:c r="J72" s="53" t="str">
        <x:v>Наблюдение, чтение, расчёт или работа с опубликованным набором данных; физического вмешательства нет.</x:v>
      </x:c>
      <x:c r="K72" s="53" t="str">
        <x:v>SCI-LIFE-03|SCI-METH-13</x:v>
      </x:c>
      <x:c r="L72" s="53" t="n">
        <x:v>1</x:v>
      </x:c>
      <x:c r="M72" s="53" t="n">
        <x:v>1</x:v>
      </x:c>
      <x:c r="N7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2" s="53" t="str">
        <x:v>FRAMEWORK_ONLY_NOT_TRAINED</x:v>
      </x:c>
      <x:c r="P72" s="53" t="str">
        <x:v>0.4</x:v>
      </x:c>
    </x:row>
    <x:row r="73">
      <x:c r="A73" s="26" t="str">
        <x:v>SCI-LIFE-05</x:v>
      </x:c>
      <x:c r="B73" s="26" t="str">
        <x:v>LIFE</x:v>
      </x:c>
      <x:c r="C73" s="26" t="str">
        <x:v>Биология и экология</x:v>
      </x:c>
      <x:c r="D73" s="26" t="str">
        <x:v>Физиология растений и фотосинтез</x:v>
      </x:c>
      <x:c r="E73" s="26" t="str">
        <x:v>Объяснить базовую модель, выполнить допустимую для класса риска проверку и документировать пределы по теме «Физиология растений и фотосинтез».</x:v>
      </x:c>
      <x:c r="F73" s="26" t="str">
        <x:v>неразрушающий ростовой/световой ряд</x:v>
      </x:c>
      <x:c r="G73" s="26" t="str">
        <x:v>наблюдение/счёт</x:v>
      </x:c>
      <x:c r="H73" s="26" t="str">
        <x:v>SI или явно названный стандарт</x:v>
      </x:c>
      <x:c r="I73" s="26" t="str">
        <x:v>S0_OBSERVE_READ</x:v>
      </x:c>
      <x:c r="J73" s="26" t="str">
        <x:v>Наблюдение, чтение, расчёт или работа с опубликованным набором данных; физического вмешательства нет.</x:v>
      </x:c>
      <x:c r="K73" s="26" t="str">
        <x:v>SCI-LIFE-04|SCI-METH-13</x:v>
      </x:c>
      <x:c r="L73" s="26" t="n">
        <x:v>1</x:v>
      </x:c>
      <x:c r="M73" s="26" t="n">
        <x:v>1</x:v>
      </x:c>
      <x:c r="N7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3" s="26" t="str">
        <x:v>FRAMEWORK_ONLY_NOT_TRAINED</x:v>
      </x:c>
      <x:c r="P73" s="26" t="str">
        <x:v>0.4</x:v>
      </x:c>
    </x:row>
    <x:row r="74">
      <x:c r="A74" s="53" t="str">
        <x:v>SCI-LIFE-06</x:v>
      </x:c>
      <x:c r="B74" s="53" t="str">
        <x:v>LIFE</x:v>
      </x:c>
      <x:c r="C74" s="53" t="str">
        <x:v>Биология и экология</x:v>
      </x:c>
      <x:c r="D74" s="53" t="str">
        <x:v>Зоология, поведение и благополучие</x:v>
      </x:c>
      <x:c r="E74" s="53" t="str">
        <x:v>Объяснить базовую модель, выполнить допустимую для класса риска проверку и документировать пределы по теме «Зоология, поведение и благополучие».</x:v>
      </x:c>
      <x:c r="F74" s="53" t="str">
        <x:v>неинвазивное наблюдение без кормления дикой фауны</x:v>
      </x:c>
      <x:c r="G74" s="53" t="str">
        <x:v>наблюдение/счёт</x:v>
      </x:c>
      <x:c r="H74" s="53" t="str">
        <x:v>SI или явно названный стандарт</x:v>
      </x:c>
      <x:c r="I74" s="53" t="str">
        <x:v>S0_OBSERVE_READ</x:v>
      </x:c>
      <x:c r="J74" s="53" t="str">
        <x:v>Наблюдение, чтение, расчёт или работа с опубликованным набором данных; физического вмешательства нет.</x:v>
      </x:c>
      <x:c r="K74" s="53" t="str">
        <x:v>SCI-LIFE-05|SCI-METH-13</x:v>
      </x:c>
      <x:c r="L74" s="53" t="n">
        <x:v>1</x:v>
      </x:c>
      <x:c r="M74" s="53" t="n">
        <x:v>1</x:v>
      </x:c>
      <x:c r="N7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4" s="53" t="str">
        <x:v>FRAMEWORK_ONLY_NOT_TRAINED</x:v>
      </x:c>
      <x:c r="P74" s="53" t="str">
        <x:v>0.4</x:v>
      </x:c>
    </x:row>
    <x:row r="75">
      <x:c r="A75" s="26" t="str">
        <x:v>SCI-LIFE-07</x:v>
      </x:c>
      <x:c r="B75" s="26" t="str">
        <x:v>LIFE</x:v>
      </x:c>
      <x:c r="C75" s="26" t="str">
        <x:v>Биология и экология</x:v>
      </x:c>
      <x:c r="D75" s="26" t="str">
        <x:v>Микробиология и биобезопасность</x:v>
      </x:c>
      <x:c r="E75" s="26" t="str">
        <x:v>Объяснить базовую модель, выполнить допустимую для класса риска проверку и документировать пределы по теме «Микробиология и биобезопасность».</x:v>
      </x:c>
      <x:c r="F75" s="26" t="str">
        <x:v>работа только с опубликованными данными; культивирование неизвестных организмов запрещено</x:v>
      </x:c>
      <x:c r="G75" s="26" t="str">
        <x:v>наблюдение/счёт</x:v>
      </x:c>
      <x:c r="H75" s="26" t="str">
        <x:v>SI или явно названный стандарт</x:v>
      </x:c>
      <x:c r="I75" s="26" t="str">
        <x:v>S4_REFERENCE_ONLY_PROHIBITED_HOUSEHOLD</x:v>
      </x:c>
      <x:c r="J75" s="26" t="str">
        <x:v>Только справочное знание и распознавание опасности; бытовое выполнение запрещено.</x:v>
      </x:c>
      <x:c r="K75" s="26" t="str">
        <x:v>SCI-LIFE-06|SCI-METH-13</x:v>
      </x:c>
      <x:c r="L75" s="26" t="n">
        <x:v>1</x:v>
      </x:c>
      <x:c r="M75" s="26" t="n">
        <x:v>1</x:v>
      </x:c>
      <x:c r="N7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5" s="26" t="str">
        <x:v>FRAMEWORK_ONLY_NOT_TRAINED</x:v>
      </x:c>
      <x:c r="P75" s="26" t="str">
        <x:v>0.4</x:v>
      </x:c>
    </x:row>
    <x:row r="76">
      <x:c r="A76" s="53" t="str">
        <x:v>SCI-LIFE-08</x:v>
      </x:c>
      <x:c r="B76" s="53" t="str">
        <x:v>LIFE</x:v>
      </x:c>
      <x:c r="C76" s="53" t="str">
        <x:v>Биология и экология</x:v>
      </x:c>
      <x:c r="D76" s="53" t="str">
        <x:v>Микроскопия готовых безопасных препаратов</x:v>
      </x:c>
      <x:c r="E76" s="53" t="str">
        <x:v>Объяснить базовую модель, выполнить допустимую для класса риска проверку и документировать пределы по теме «Микроскопия готовых безопасных препаратов».</x:v>
      </x:c>
      <x:c r="F76" s="53" t="str">
        <x:v>фокус, масштаб и рисунок готового слайда</x:v>
      </x:c>
      <x:c r="G76" s="53" t="str">
        <x:v>наблюдение/счёт</x:v>
      </x:c>
      <x:c r="H76" s="53" t="str">
        <x:v>SI или явно названный стандарт</x:v>
      </x:c>
      <x:c r="I76" s="53" t="str">
        <x:v>S1_LOW_RISK_HOUSEHOLD</x:v>
      </x:c>
      <x:c r="J7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76" s="53" t="str">
        <x:v>SCI-LIFE-07|SCI-METH-13</x:v>
      </x:c>
      <x:c r="L76" s="53" t="n">
        <x:v>1</x:v>
      </x:c>
      <x:c r="M76" s="53" t="n">
        <x:v>1</x:v>
      </x:c>
      <x:c r="N7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6" s="53" t="str">
        <x:v>FRAMEWORK_ONLY_NOT_TRAINED</x:v>
      </x:c>
      <x:c r="P76" s="53" t="str">
        <x:v>0.4</x:v>
      </x:c>
    </x:row>
    <x:row r="77">
      <x:c r="A77" s="26" t="str">
        <x:v>SCI-LIFE-09</x:v>
      </x:c>
      <x:c r="B77" s="26" t="str">
        <x:v>LIFE</x:v>
      </x:c>
      <x:c r="C77" s="26" t="str">
        <x:v>Биология и экология</x:v>
      </x:c>
      <x:c r="D77" s="26" t="str">
        <x:v>Систематика и определение видов</x:v>
      </x:c>
      <x:c r="E77" s="26" t="str">
        <x:v>Объяснить базовую модель, выполнить допустимую для класса риска проверку и документировать пределы по теме «Систематика и определение видов».</x:v>
      </x:c>
      <x:c r="F77" s="26" t="str">
        <x:v>определение по нескольким признакам с фото и географией</x:v>
      </x:c>
      <x:c r="G77" s="26" t="str">
        <x:v>наблюдение/счёт</x:v>
      </x:c>
      <x:c r="H77" s="26" t="str">
        <x:v>SI или явно названный стандарт</x:v>
      </x:c>
      <x:c r="I77" s="26" t="str">
        <x:v>S0_OBSERVE_READ</x:v>
      </x:c>
      <x:c r="J77" s="26" t="str">
        <x:v>Наблюдение, чтение, расчёт или работа с опубликованным набором данных; физического вмешательства нет.</x:v>
      </x:c>
      <x:c r="K77" s="26" t="str">
        <x:v>SCI-LIFE-08|SCI-METH-13</x:v>
      </x:c>
      <x:c r="L77" s="26" t="n">
        <x:v>1</x:v>
      </x:c>
      <x:c r="M77" s="26" t="n">
        <x:v>1</x:v>
      </x:c>
      <x:c r="N7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7" s="26" t="str">
        <x:v>FRAMEWORK_ONLY_NOT_TRAINED</x:v>
      </x:c>
      <x:c r="P77" s="26" t="str">
        <x:v>0.4</x:v>
      </x:c>
    </x:row>
    <x:row r="78">
      <x:c r="A78" s="53" t="str">
        <x:v>SCI-LIFE-10</x:v>
      </x:c>
      <x:c r="B78" s="53" t="str">
        <x:v>LIFE</x:v>
      </x:c>
      <x:c r="C78" s="53" t="str">
        <x:v>Биология и экология</x:v>
      </x:c>
      <x:c r="D78" s="53" t="str">
        <x:v>Популяции, пищевые сети и экосистемные связи</x:v>
      </x:c>
      <x:c r="E78" s="53" t="str">
        <x:v>Объяснить базовую модель, выполнить допустимую для класса риска проверку и документировать пределы по теме «Популяции, пищевые сети и экосистемные связи».</x:v>
      </x:c>
      <x:c r="F78" s="53" t="str">
        <x:v>наблюдательный маршрут с повторяемыми точками</x:v>
      </x:c>
      <x:c r="G78" s="53" t="str">
        <x:v>наблюдение/счёт</x:v>
      </x:c>
      <x:c r="H78" s="53" t="str">
        <x:v>SI или явно названный стандарт</x:v>
      </x:c>
      <x:c r="I78" s="53" t="str">
        <x:v>S0_OBSERVE_READ</x:v>
      </x:c>
      <x:c r="J78" s="53" t="str">
        <x:v>Наблюдение, чтение, расчёт или работа с опубликованным набором данных; физического вмешательства нет.</x:v>
      </x:c>
      <x:c r="K78" s="53" t="str">
        <x:v>SCI-LIFE-09|SCI-METH-13</x:v>
      </x:c>
      <x:c r="L78" s="53" t="n">
        <x:v>1</x:v>
      </x:c>
      <x:c r="M78" s="53" t="n">
        <x:v>1</x:v>
      </x:c>
      <x:c r="N7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8" s="53" t="str">
        <x:v>FRAMEWORK_ONLY_NOT_TRAINED</x:v>
      </x:c>
      <x:c r="P78" s="53" t="str">
        <x:v>0.4</x:v>
      </x:c>
    </x:row>
    <x:row r="79">
      <x:c r="A79" s="26" t="str">
        <x:v>SCI-LIFE-11</x:v>
      </x:c>
      <x:c r="B79" s="26" t="str">
        <x:v>LIFE</x:v>
      </x:c>
      <x:c r="C79" s="26" t="str">
        <x:v>Биология и экология</x:v>
      </x:c>
      <x:c r="D79" s="26" t="str">
        <x:v>Опыление и взаимодействия растение–животное</x:v>
      </x:c>
      <x:c r="E79" s="26" t="str">
        <x:v>Объяснить базовую модель, выполнить допустимую для класса риска проверку и документировать пределы по теме «Опыление и взаимодействия растение–животное».</x:v>
      </x:c>
      <x:c r="F79" s="26" t="str">
        <x:v>счёт посещений без вмешательства в гнёзда</x:v>
      </x:c>
      <x:c r="G79" s="26" t="str">
        <x:v>наблюдение/счёт</x:v>
      </x:c>
      <x:c r="H79" s="26" t="str">
        <x:v>SI или явно названный стандарт</x:v>
      </x:c>
      <x:c r="I79" s="26" t="str">
        <x:v>S0_OBSERVE_READ</x:v>
      </x:c>
      <x:c r="J79" s="26" t="str">
        <x:v>Наблюдение, чтение, расчёт или работа с опубликованным набором данных; физического вмешательства нет.</x:v>
      </x:c>
      <x:c r="K79" s="26" t="str">
        <x:v>SCI-LIFE-10|SCI-METH-13</x:v>
      </x:c>
      <x:c r="L79" s="26" t="n">
        <x:v>1</x:v>
      </x:c>
      <x:c r="M79" s="26" t="n">
        <x:v>1</x:v>
      </x:c>
      <x:c r="N7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79" s="26" t="str">
        <x:v>FRAMEWORK_ONLY_NOT_TRAINED</x:v>
      </x:c>
      <x:c r="P79" s="26" t="str">
        <x:v>0.4</x:v>
      </x:c>
    </x:row>
    <x:row r="80">
      <x:c r="A80" s="53" t="str">
        <x:v>SCI-LIFE-12</x:v>
      </x:c>
      <x:c r="B80" s="53" t="str">
        <x:v>LIFE</x:v>
      </x:c>
      <x:c r="C80" s="53" t="str">
        <x:v>Биология и экология</x:v>
      </x:c>
      <x:c r="D80" s="53" t="str">
        <x:v>Разложение, почвенная биота и круговороты</x:v>
      </x:c>
      <x:c r="E80" s="53" t="str">
        <x:v>Объяснить базовую модель, выполнить допустимую для класса риска проверку и документировать пределы по теме «Разложение, почвенная биота и круговороты».</x:v>
      </x:c>
      <x:c r="F80" s="53" t="str">
        <x:v>закрытый наблюдательный журнал без выращивания неизвестных культур</x:v>
      </x:c>
      <x:c r="G80" s="53" t="str">
        <x:v>наблюдение/счёт</x:v>
      </x:c>
      <x:c r="H80" s="53" t="str">
        <x:v>SI или явно названный стандарт</x:v>
      </x:c>
      <x:c r="I80" s="53" t="str">
        <x:v>S0_OBSERVE_READ</x:v>
      </x:c>
      <x:c r="J80" s="53" t="str">
        <x:v>Наблюдение, чтение, расчёт или работа с опубликованным набором данных; физического вмешательства нет.</x:v>
      </x:c>
      <x:c r="K80" s="53" t="str">
        <x:v>SCI-LIFE-11|SCI-METH-13</x:v>
      </x:c>
      <x:c r="L80" s="53" t="n">
        <x:v>1</x:v>
      </x:c>
      <x:c r="M80" s="53" t="n">
        <x:v>1</x:v>
      </x:c>
      <x:c r="N8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0" s="53" t="str">
        <x:v>FRAMEWORK_ONLY_NOT_TRAINED</x:v>
      </x:c>
      <x:c r="P80" s="53" t="str">
        <x:v>0.4</x:v>
      </x:c>
    </x:row>
    <x:row r="81">
      <x:c r="A81" s="26" t="str">
        <x:v>SCI-LIFE-13</x:v>
      </x:c>
      <x:c r="B81" s="26" t="str">
        <x:v>LIFE</x:v>
      </x:c>
      <x:c r="C81" s="26" t="str">
        <x:v>Биология и экология</x:v>
      </x:c>
      <x:c r="D81" s="26" t="str">
        <x:v>Биоразнообразие и мониторинг участка</x:v>
      </x:c>
      <x:c r="E81" s="26" t="str">
        <x:v>Объяснить базовую модель, выполнить допустимую для класса риска проверку и документировать пределы по теме «Биоразнообразие и мониторинг участка».</x:v>
      </x:c>
      <x:c r="F81" s="26" t="str">
        <x:v>фиксированный маршрут, фото-точки и список видов</x:v>
      </x:c>
      <x:c r="G81" s="26" t="str">
        <x:v>наблюдение/счёт</x:v>
      </x:c>
      <x:c r="H81" s="26" t="str">
        <x:v>SI или явно названный стандарт</x:v>
      </x:c>
      <x:c r="I81" s="26" t="str">
        <x:v>S0_OBSERVE_READ</x:v>
      </x:c>
      <x:c r="J81" s="26" t="str">
        <x:v>Наблюдение, чтение, расчёт или работа с опубликованным набором данных; физического вмешательства нет.</x:v>
      </x:c>
      <x:c r="K81" s="26" t="str">
        <x:v>SCI-LIFE-12|SCI-METH-13</x:v>
      </x:c>
      <x:c r="L81" s="26" t="n">
        <x:v>1</x:v>
      </x:c>
      <x:c r="M81" s="26" t="n">
        <x:v>1</x:v>
      </x:c>
      <x:c r="N8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1" s="26" t="str">
        <x:v>FRAMEWORK_ONLY_NOT_TRAINED</x:v>
      </x:c>
      <x:c r="P81" s="26" t="str">
        <x:v>0.4</x:v>
      </x:c>
    </x:row>
    <x:row r="82">
      <x:c r="A82" s="53" t="str">
        <x:v>SCI-LIFE-14</x:v>
      </x:c>
      <x:c r="B82" s="53" t="str">
        <x:v>LIFE</x:v>
      </x:c>
      <x:c r="C82" s="53" t="str">
        <x:v>Биология и экология</x:v>
      </x:c>
      <x:c r="D82" s="53" t="str">
        <x:v>Биостатистика и экологическое моделирование</x:v>
      </x:c>
      <x:c r="E82" s="53" t="str">
        <x:v>Объяснить базовую модель, выполнить допустимую для класса риска проверку и документировать пределы по теме «Биостатистика и экологическое моделирование».</x:v>
      </x:c>
      <x:c r="F82" s="53" t="str">
        <x:v>повторный анализ открытого набора данных</x:v>
      </x:c>
      <x:c r="G82" s="53" t="str">
        <x:v>наблюдение/счёт</x:v>
      </x:c>
      <x:c r="H82" s="53" t="str">
        <x:v>SI или явно названный стандарт</x:v>
      </x:c>
      <x:c r="I82" s="53" t="str">
        <x:v>S0_OBSERVE_READ</x:v>
      </x:c>
      <x:c r="J82" s="53" t="str">
        <x:v>Наблюдение, чтение, расчёт или работа с опубликованным набором данных; физического вмешательства нет.</x:v>
      </x:c>
      <x:c r="K82" s="53" t="str">
        <x:v>SCI-LIFE-13|SCI-METH-13</x:v>
      </x:c>
      <x:c r="L82" s="53" t="n">
        <x:v>1</x:v>
      </x:c>
      <x:c r="M82" s="53" t="n">
        <x:v>1</x:v>
      </x:c>
      <x:c r="N8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2" s="53" t="str">
        <x:v>FRAMEWORK_ONLY_NOT_TRAINED</x:v>
      </x:c>
      <x:c r="P82" s="53" t="str">
        <x:v>0.4</x:v>
      </x:c>
    </x:row>
    <x:row r="83">
      <x:c r="A83" s="26" t="str">
        <x:v>SCI-LIFE-15</x:v>
      </x:c>
      <x:c r="B83" s="26" t="str">
        <x:v>LIFE</x:v>
      </x:c>
      <x:c r="C83" s="26" t="str">
        <x:v>Биология и экология</x:v>
      </x:c>
      <x:c r="D83" s="26" t="str">
        <x:v>Биоинформатика и работа с открытыми последовательностями</x:v>
      </x:c>
      <x:c r="E83" s="26" t="str">
        <x:v>Объяснить базовую модель, выполнить допустимую для класса риска проверку и документировать пределы по теме «Биоинформатика и работа с открытыми последовательностями».</x:v>
      </x:c>
      <x:c r="F83" s="26" t="str">
        <x:v>воспроизводимый поиск по публичной базе без персональных данных</x:v>
      </x:c>
      <x:c r="G83" s="26" t="str">
        <x:v>наблюдение/счёт</x:v>
      </x:c>
      <x:c r="H83" s="26" t="str">
        <x:v>SI или явно названный стандарт</x:v>
      </x:c>
      <x:c r="I83" s="26" t="str">
        <x:v>S0_OBSERVE_READ</x:v>
      </x:c>
      <x:c r="J83" s="26" t="str">
        <x:v>Наблюдение, чтение, расчёт или работа с опубликованным набором данных; физического вмешательства нет.</x:v>
      </x:c>
      <x:c r="K83" s="26" t="str">
        <x:v>SCI-LIFE-14|SCI-METH-13</x:v>
      </x:c>
      <x:c r="L83" s="26" t="n">
        <x:v>1</x:v>
      </x:c>
      <x:c r="M83" s="26" t="n">
        <x:v>1</x:v>
      </x:c>
      <x:c r="N8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3" s="26" t="str">
        <x:v>FRAMEWORK_ONLY_NOT_TRAINED</x:v>
      </x:c>
      <x:c r="P83" s="26" t="str">
        <x:v>0.4</x:v>
      </x:c>
    </x:row>
    <x:row r="84">
      <x:c r="A84" s="53" t="str">
        <x:v>SCI-LIFE-16</x:v>
      </x:c>
      <x:c r="B84" s="53" t="str">
        <x:v>LIFE</x:v>
      </x:c>
      <x:c r="C84" s="53" t="str">
        <x:v>Биология и экология</x:v>
      </x:c>
      <x:c r="D84" s="53" t="str">
        <x:v>Охрана природы, инвазивные виды и правовые границы</x:v>
      </x:c>
      <x:c r="E84" s="53" t="str">
        <x:v>Объяснить базовую модель, выполнить допустимую для класса риска проверку и документировать пределы по теме «Охрана природы, инвазивные виды и правовые границы».</x:v>
      </x:c>
      <x:c r="F84" s="53" t="str">
        <x:v>карта наблюдений и передача компетентному органу</x:v>
      </x:c>
      <x:c r="G84" s="53" t="str">
        <x:v>наблюдение/счёт</x:v>
      </x:c>
      <x:c r="H84" s="53" t="str">
        <x:v>SI или явно названный стандарт</x:v>
      </x:c>
      <x:c r="I84" s="53" t="str">
        <x:v>S0_OBSERVE_READ</x:v>
      </x:c>
      <x:c r="J84" s="53" t="str">
        <x:v>Наблюдение, чтение, расчёт или работа с опубликованным набором данных; физического вмешательства нет.</x:v>
      </x:c>
      <x:c r="K84" s="53" t="str">
        <x:v>SCI-LIFE-15|SCI-METH-13</x:v>
      </x:c>
      <x:c r="L84" s="53" t="n">
        <x:v>1</x:v>
      </x:c>
      <x:c r="M84" s="53" t="n">
        <x:v>1</x:v>
      </x:c>
      <x:c r="N8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4" s="53" t="str">
        <x:v>FRAMEWORK_ONLY_NOT_TRAINED</x:v>
      </x:c>
      <x:c r="P84" s="53" t="str">
        <x:v>0.4</x:v>
      </x:c>
    </x:row>
    <x:row r="85">
      <x:c r="A85" s="26" t="str">
        <x:v>SCI-HEALTH-01</x:v>
      </x:c>
      <x:c r="B85" s="26" t="str">
        <x:v>HEALTH</x:v>
      </x:c>
      <x:c r="C85" s="26" t="str">
        <x:v>Здоровье и общественное здоровье</x:v>
      </x:c>
      <x:c r="D85" s="26" t="str">
        <x:v>Анатомия, физиология и медицинская терминология</x:v>
      </x:c>
      <x:c r="E85" s="26" t="str">
        <x:v>Объяснить базовую модель, выполнить допустимую для класса риска проверку и документировать пределы по теме «Анатомия, физиология и медицинская терминология».</x:v>
      </x:c>
      <x:c r="F85" s="26" t="str">
        <x:v>объяснение нормальной функции без постановки диагноза</x:v>
      </x:c>
      <x:c r="G85" s="26" t="str">
        <x:v>официальный маршрут/неинвазивное наблюдение</x:v>
      </x:c>
      <x:c r="H85" s="26" t="str">
        <x:v>SI или явно названный стандарт</x:v>
      </x:c>
      <x:c r="I85" s="26" t="str">
        <x:v>S0_OBSERVE_READ</x:v>
      </x:c>
      <x:c r="J85" s="26" t="str">
        <x:v>Наблюдение, чтение, расчёт или работа с опубликованным набором данных; физического вмешательства нет.</x:v>
      </x:c>
      <x:c r="K85" s="26" t="str">
        <x:v>SCI-METH-01|SCI-METH-07|SCI-METH-14</x:v>
      </x:c>
      <x:c r="L85" s="26" t="n">
        <x:v>1</x:v>
      </x:c>
      <x:c r="M85" s="26" t="n">
        <x:v>1</x:v>
      </x:c>
      <x:c r="N8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5" s="26" t="str">
        <x:v>FRAMEWORK_ONLY_NOT_TRAINED</x:v>
      </x:c>
      <x:c r="P85" s="26" t="str">
        <x:v>0.4</x:v>
      </x:c>
    </x:row>
    <x:row r="86">
      <x:c r="A86" s="53" t="str">
        <x:v>SCI-HEALTH-02</x:v>
      </x:c>
      <x:c r="B86" s="53" t="str">
        <x:v>HEALTH</x:v>
      </x:c>
      <x:c r="C86" s="53" t="str">
        <x:v>Здоровье и общественное здоровье</x:v>
      </x:c>
      <x:c r="D86" s="53" t="str">
        <x:v>Навигация по системе здравоохранения и красные флаги</x:v>
      </x:c>
      <x:c r="E86" s="53" t="str">
        <x:v>Объяснить базовую модель, выполнить допустимую для класса риска проверку и документировать пределы по теме «Навигация по системе здравоохранения и красные флаги».</x:v>
      </x:c>
      <x:c r="F86" s="53" t="str">
        <x:v>правильный маршрут 112/SNS24/профильная служба по учебному сценарию</x:v>
      </x:c>
      <x:c r="G86" s="53" t="str">
        <x:v>официальный маршрут/неинвазивное наблюдение</x:v>
      </x:c>
      <x:c r="H86" s="53" t="str">
        <x:v>SI или явно названный стандарт</x:v>
      </x:c>
      <x:c r="I86" s="53" t="str">
        <x:v>S0_OBSERVE_READ</x:v>
      </x:c>
      <x:c r="J86" s="53" t="str">
        <x:v>Наблюдение, чтение, расчёт или работа с опубликованным набором данных; физического вмешательства нет.</x:v>
      </x:c>
      <x:c r="K86" s="53" t="str">
        <x:v>SCI-HEALTH-01|SCI-METH-13</x:v>
      </x:c>
      <x:c r="L86" s="53" t="n">
        <x:v>1</x:v>
      </x:c>
      <x:c r="M86" s="53" t="n">
        <x:v>1</x:v>
      </x:c>
      <x:c r="N8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6" s="53" t="str">
        <x:v>FRAMEWORK_ONLY_NOT_TRAINED</x:v>
      </x:c>
      <x:c r="P86" s="53" t="str">
        <x:v>0.4</x:v>
      </x:c>
    </x:row>
    <x:row r="87">
      <x:c r="A87" s="26" t="str">
        <x:v>SCI-HEALTH-03</x:v>
      </x:c>
      <x:c r="B87" s="26" t="str">
        <x:v>HEALTH</x:v>
      </x:c>
      <x:c r="C87" s="26" t="str">
        <x:v>Здоровье и общественное здоровье</x:v>
      </x:c>
      <x:c r="D87" s="26" t="str">
        <x:v>Безопасное измерение температуры, пульса и частоты дыхания</x:v>
      </x:c>
      <x:c r="E87" s="26" t="str">
        <x:v>Объяснить базовую модель, выполнить допустимую для класса риска проверку и документировать пределы по теме «Безопасное измерение температуры, пульса и частоты дыхания».</x:v>
      </x:c>
      <x:c r="F87" s="26" t="str">
        <x:v>повтор измерения согласно инструкции прибора без диагностики</x:v>
      </x:c>
      <x:c r="G87" s="26" t="str">
        <x:v>официальный маршрут/неинвазивное наблюдение</x:v>
      </x:c>
      <x:c r="H87" s="26" t="str">
        <x:v>SI или явно названный стандарт</x:v>
      </x:c>
      <x:c r="I87" s="26" t="str">
        <x:v>S1_LOW_RISK_HOUSEHOLD</x:v>
      </x:c>
      <x:c r="J8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87" s="26" t="str">
        <x:v>SCI-HEALTH-02|SCI-METH-13</x:v>
      </x:c>
      <x:c r="L87" s="26" t="n">
        <x:v>1</x:v>
      </x:c>
      <x:c r="M87" s="26" t="n">
        <x:v>1</x:v>
      </x:c>
      <x:c r="N8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7" s="26" t="str">
        <x:v>FRAMEWORK_ONLY_NOT_TRAINED</x:v>
      </x:c>
      <x:c r="P87" s="26" t="str">
        <x:v>0.4</x:v>
      </x:c>
    </x:row>
    <x:row r="88">
      <x:c r="A88" s="53" t="str">
        <x:v>SCI-HEALTH-04</x:v>
      </x:c>
      <x:c r="B88" s="53" t="str">
        <x:v>HEALTH</x:v>
      </x:c>
      <x:c r="C88" s="53" t="str">
        <x:v>Здоровье и общественное здоровье</x:v>
      </x:c>
      <x:c r="D88" s="53" t="str">
        <x:v>Первая помощь, BLS/AED и удушье</x:v>
      </x:c>
      <x:c r="E88" s="53" t="str">
        <x:v>Объяснить базовую модель, выполнить допустимую для класса риска проверку и документировать пределы по теме «Первая помощь, BLS/AED и удушье».</x:v>
      </x:c>
      <x:c r="F88" s="53" t="str">
        <x:v>только сертифицированное обучение и манекен</x:v>
      </x:c>
      <x:c r="G88" s="53" t="str">
        <x:v>официальный маршрут/неинвазивное наблюдение</x:v>
      </x:c>
      <x:c r="H88" s="53" t="str">
        <x:v>SI или явно названный стандарт</x:v>
      </x:c>
      <x:c r="I88" s="53" t="str">
        <x:v>S2_TRAINED_SUPERVISED</x:v>
      </x:c>
      <x:c r="J88" s="53" t="str">
        <x:v>Только после обучения и под компетентным надзором; бытовая самостоятельная импровизация запрещена.</x:v>
      </x:c>
      <x:c r="K88" s="53" t="str">
        <x:v>SCI-HEALTH-03|SCI-METH-13</x:v>
      </x:c>
      <x:c r="L88" s="53" t="n">
        <x:v>1</x:v>
      </x:c>
      <x:c r="M88" s="53" t="n">
        <x:v>1</x:v>
      </x:c>
      <x:c r="N8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8" s="53" t="str">
        <x:v>FRAMEWORK_ONLY_NOT_TRAINED</x:v>
      </x:c>
      <x:c r="P88" s="53" t="str">
        <x:v>0.4</x:v>
      </x:c>
    </x:row>
    <x:row r="89">
      <x:c r="A89" s="26" t="str">
        <x:v>SCI-HEALTH-05</x:v>
      </x:c>
      <x:c r="B89" s="26" t="str">
        <x:v>HEALTH</x:v>
      </x:c>
      <x:c r="C89" s="26" t="str">
        <x:v>Здоровье и общественное здоровье</x:v>
      </x:c>
      <x:c r="D89" s="26" t="str">
        <x:v>Инфекционный контроль, руки, поверхности и вентиляция</x:v>
      </x:c>
      <x:c r="E89" s="26" t="str">
        <x:v>Объяснить базовую модель, выполнить допустимую для класса риска проверку и документировать пределы по теме «Инфекционный контроль, руки, поверхности и вентиляция».</x:v>
      </x:c>
      <x:c r="F89" s="26" t="str">
        <x:v>аудит процесса без культивирования микроорганизмов</x:v>
      </x:c>
      <x:c r="G89" s="26" t="str">
        <x:v>официальный маршрут/неинвазивное наблюдение</x:v>
      </x:c>
      <x:c r="H89" s="26" t="str">
        <x:v>SI или явно названный стандарт</x:v>
      </x:c>
      <x:c r="I89" s="26" t="str">
        <x:v>S1_LOW_RISK_HOUSEHOLD</x:v>
      </x:c>
      <x:c r="J8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89" s="26" t="str">
        <x:v>SCI-HEALTH-04|SCI-METH-13</x:v>
      </x:c>
      <x:c r="L89" s="26" t="n">
        <x:v>1</x:v>
      </x:c>
      <x:c r="M89" s="26" t="n">
        <x:v>1</x:v>
      </x:c>
      <x:c r="N8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89" s="26" t="str">
        <x:v>FRAMEWORK_ONLY_NOT_TRAINED</x:v>
      </x:c>
      <x:c r="P89" s="26" t="str">
        <x:v>0.4</x:v>
      </x:c>
    </x:row>
    <x:row r="90">
      <x:c r="A90" s="53" t="str">
        <x:v>SCI-HEALTH-06</x:v>
      </x:c>
      <x:c r="B90" s="53" t="str">
        <x:v>HEALTH</x:v>
      </x:c>
      <x:c r="C90" s="53" t="str">
        <x:v>Здоровье и общественное здоровье</x:v>
      </x:c>
      <x:c r="D90" s="53" t="str">
        <x:v>Эпидемиология и интерпретация риска</x:v>
      </x:c>
      <x:c r="E90" s="53" t="str">
        <x:v>Объяснить базовую модель, выполнить допустимую для класса риска проверку и документировать пределы по теме «Эпидемиология и интерпретация риска».</x:v>
      </x:c>
      <x:c r="F90" s="53" t="str">
        <x:v>расчёт показателей по обезличенным опубликованным данным</x:v>
      </x:c>
      <x:c r="G90" s="53" t="str">
        <x:v>официальный маршрут/неинвазивное наблюдение</x:v>
      </x:c>
      <x:c r="H90" s="53" t="str">
        <x:v>SI или явно названный стандарт</x:v>
      </x:c>
      <x:c r="I90" s="53" t="str">
        <x:v>S0_OBSERVE_READ</x:v>
      </x:c>
      <x:c r="J90" s="53" t="str">
        <x:v>Наблюдение, чтение, расчёт или работа с опубликованным набором данных; физического вмешательства нет.</x:v>
      </x:c>
      <x:c r="K90" s="53" t="str">
        <x:v>SCI-HEALTH-05|SCI-METH-13</x:v>
      </x:c>
      <x:c r="L90" s="53" t="n">
        <x:v>1</x:v>
      </x:c>
      <x:c r="M90" s="53" t="n">
        <x:v>1</x:v>
      </x:c>
      <x:c r="N9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0" s="53" t="str">
        <x:v>FRAMEWORK_ONLY_NOT_TRAINED</x:v>
      </x:c>
      <x:c r="P90" s="53" t="str">
        <x:v>0.4</x:v>
      </x:c>
    </x:row>
    <x:row r="91">
      <x:c r="A91" s="26" t="str">
        <x:v>SCI-HEALTH-07</x:v>
      </x:c>
      <x:c r="B91" s="26" t="str">
        <x:v>HEALTH</x:v>
      </x:c>
      <x:c r="C91" s="26" t="str">
        <x:v>Здоровье и общественное здоровье</x:v>
      </x:c>
      <x:c r="D91" s="26" t="str">
        <x:v>Питание, пищевой дневник и дефициты</x:v>
      </x:c>
      <x:c r="E91" s="26" t="str">
        <x:v>Объяснить базовую модель, выполнить допустимую для класса риска проверку и документировать пределы по теме «Питание, пищевой дневник и дефициты».</x:v>
      </x:c>
      <x:c r="F91" s="26" t="str">
        <x:v>сбалансированный рацион по официальным рекомендациям без лечебной диеты</x:v>
      </x:c>
      <x:c r="G91" s="26" t="str">
        <x:v>официальный маршрут/неинвазивное наблюдение</x:v>
      </x:c>
      <x:c r="H91" s="26" t="str">
        <x:v>SI или явно названный стандарт</x:v>
      </x:c>
      <x:c r="I91" s="26" t="str">
        <x:v>S0_OBSERVE_READ</x:v>
      </x:c>
      <x:c r="J91" s="26" t="str">
        <x:v>Наблюдение, чтение, расчёт или работа с опубликованным набором данных; физического вмешательства нет.</x:v>
      </x:c>
      <x:c r="K91" s="26" t="str">
        <x:v>SCI-HEALTH-06|SCI-METH-13</x:v>
      </x:c>
      <x:c r="L91" s="26" t="n">
        <x:v>1</x:v>
      </x:c>
      <x:c r="M91" s="26" t="n">
        <x:v>1</x:v>
      </x:c>
      <x:c r="N9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1" s="26" t="str">
        <x:v>FRAMEWORK_ONLY_NOT_TRAINED</x:v>
      </x:c>
      <x:c r="P91" s="26" t="str">
        <x:v>0.4</x:v>
      </x:c>
    </x:row>
    <x:row r="92">
      <x:c r="A92" s="53" t="str">
        <x:v>SCI-HEALTH-08</x:v>
      </x:c>
      <x:c r="B92" s="53" t="str">
        <x:v>HEALTH</x:v>
      </x:c>
      <x:c r="C92" s="53" t="str">
        <x:v>Здоровье и общественное здоровье</x:v>
      </x:c>
      <x:c r="D92" s="53" t="str">
        <x:v>Психологическая первая помощь и поддерживающее общение</x:v>
      </x:c>
      <x:c r="E92" s="53" t="str">
        <x:v>Объяснить базовую модель, выполнить допустимую для класса риска проверку и документировать пределы по теме «Психологическая первая помощь и поддерживающее общение».</x:v>
      </x:c>
      <x:c r="F92" s="53" t="str">
        <x:v>сценарий слушания, безопасности и направления за помощью</x:v>
      </x:c>
      <x:c r="G92" s="53" t="str">
        <x:v>официальный маршрут/неинвазивное наблюдение</x:v>
      </x:c>
      <x:c r="H92" s="53" t="str">
        <x:v>SI или явно названный стандарт</x:v>
      </x:c>
      <x:c r="I92" s="53" t="str">
        <x:v>S1_LOW_RISK_HOUSEHOLD</x:v>
      </x:c>
      <x:c r="J92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92" s="53" t="str">
        <x:v>SCI-HEALTH-07|SCI-METH-13</x:v>
      </x:c>
      <x:c r="L92" s="53" t="n">
        <x:v>1</x:v>
      </x:c>
      <x:c r="M92" s="53" t="n">
        <x:v>1</x:v>
      </x:c>
      <x:c r="N9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2" s="53" t="str">
        <x:v>FRAMEWORK_ONLY_NOT_TRAINED</x:v>
      </x:c>
      <x:c r="P92" s="53" t="str">
        <x:v>0.4</x:v>
      </x:c>
    </x:row>
    <x:row r="93">
      <x:c r="A93" s="26" t="str">
        <x:v>SCI-HEALTH-09</x:v>
      </x:c>
      <x:c r="B93" s="26" t="str">
        <x:v>HEALTH</x:v>
      </x:c>
      <x:c r="C93" s="26" t="str">
        <x:v>Здоровье и общественное здоровье</x:v>
      </x:c>
      <x:c r="D93" s="26" t="str">
        <x:v>Непрерывность хронического лечения</x:v>
      </x:c>
      <x:c r="E93" s="26" t="str">
        <x:v>Объяснить базовую модель, выполнить допустимую для класса риска проверку и документировать пределы по теме «Непрерывность хронического лечения».</x:v>
      </x:c>
      <x:c r="F93" s="26" t="str">
        <x:v>сверенный с врачом/фармацевтом личный план без изменения доз</x:v>
      </x:c>
      <x:c r="G93" s="26" t="str">
        <x:v>официальный маршрут/неинвазивное наблюдение</x:v>
      </x:c>
      <x:c r="H93" s="26" t="str">
        <x:v>SI или явно названный стандарт</x:v>
      </x:c>
      <x:c r="I93" s="26" t="str">
        <x:v>S2_TRAINED_SUPERVISED</x:v>
      </x:c>
      <x:c r="J93" s="26" t="str">
        <x:v>Только после обучения и под компетентным надзором; бытовая самостоятельная импровизация запрещена.</x:v>
      </x:c>
      <x:c r="K93" s="26" t="str">
        <x:v>SCI-HEALTH-08|SCI-METH-13</x:v>
      </x:c>
      <x:c r="L93" s="26" t="n">
        <x:v>1</x:v>
      </x:c>
      <x:c r="M93" s="26" t="n">
        <x:v>1</x:v>
      </x:c>
      <x:c r="N9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3" s="26" t="str">
        <x:v>FRAMEWORK_ONLY_NOT_TRAINED</x:v>
      </x:c>
      <x:c r="P93" s="26" t="str">
        <x:v>0.4</x:v>
      </x:c>
    </x:row>
    <x:row r="94">
      <x:c r="A94" s="53" t="str">
        <x:v>SCI-HEALTH-10</x:v>
      </x:c>
      <x:c r="B94" s="53" t="str">
        <x:v>HEALTH</x:v>
      </x:c>
      <x:c r="C94" s="53" t="str">
        <x:v>Здоровье и общественное здоровье</x:v>
      </x:c>
      <x:c r="D94" s="53" t="str">
        <x:v>Материнство, ребёнок и развитие</x:v>
      </x:c>
      <x:c r="E94" s="53" t="str">
        <x:v>Объяснить базовую модель, выполнить допустимую для класса риска проверку и документировать пределы по теме «Материнство, ребёнок и развитие».</x:v>
      </x:c>
      <x:c r="F94" s="53" t="str">
        <x:v>распознавание повода для профессиональной помощи</x:v>
      </x:c>
      <x:c r="G94" s="53" t="str">
        <x:v>официальный маршрут/неинвазивное наблюдение</x:v>
      </x:c>
      <x:c r="H94" s="53" t="str">
        <x:v>SI или явно названный стандарт</x:v>
      </x:c>
      <x:c r="I94" s="53" t="str">
        <x:v>S2_TRAINED_SUPERVISED</x:v>
      </x:c>
      <x:c r="J94" s="53" t="str">
        <x:v>Только после обучения и под компетентным надзором; бытовая самостоятельная импровизация запрещена.</x:v>
      </x:c>
      <x:c r="K94" s="53" t="str">
        <x:v>SCI-HEALTH-09|SCI-METH-13</x:v>
      </x:c>
      <x:c r="L94" s="53" t="n">
        <x:v>1</x:v>
      </x:c>
      <x:c r="M94" s="53" t="n">
        <x:v>1</x:v>
      </x:c>
      <x:c r="N9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4" s="53" t="str">
        <x:v>FRAMEWORK_ONLY_NOT_TRAINED</x:v>
      </x:c>
      <x:c r="P94" s="53" t="str">
        <x:v>0.4</x:v>
      </x:c>
    </x:row>
    <x:row r="95">
      <x:c r="A95" s="26" t="str">
        <x:v>SCI-HEALTH-11</x:v>
      </x:c>
      <x:c r="B95" s="26" t="str">
        <x:v>HEALTH</x:v>
      </x:c>
      <x:c r="C95" s="26" t="str">
        <x:v>Здоровье и общественное здоровье</x:v>
      </x:c>
      <x:c r="D95" s="26" t="str">
        <x:v>Старение, инвалидность и доступность</x:v>
      </x:c>
      <x:c r="E95" s="26" t="str">
        <x:v>Объяснить базовую модель, выполнить допустимую для класса риска проверку и документировать пределы по теме «Старение, инвалидность и доступность».</x:v>
      </x:c>
      <x:c r="F95" s="26" t="str">
        <x:v>аудит барьеров и безопасной поддержки без подъёма человека в одиночку</x:v>
      </x:c>
      <x:c r="G95" s="26" t="str">
        <x:v>официальный маршрут/неинвазивное наблюдение</x:v>
      </x:c>
      <x:c r="H95" s="26" t="str">
        <x:v>SI или явно названный стандарт</x:v>
      </x:c>
      <x:c r="I95" s="26" t="str">
        <x:v>S1_LOW_RISK_HOUSEHOLD</x:v>
      </x:c>
      <x:c r="J9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95" s="26" t="str">
        <x:v>SCI-HEALTH-10|SCI-METH-13</x:v>
      </x:c>
      <x:c r="L95" s="26" t="n">
        <x:v>1</x:v>
      </x:c>
      <x:c r="M95" s="26" t="n">
        <x:v>1</x:v>
      </x:c>
      <x:c r="N9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5" s="26" t="str">
        <x:v>FRAMEWORK_ONLY_NOT_TRAINED</x:v>
      </x:c>
      <x:c r="P95" s="26" t="str">
        <x:v>0.4</x:v>
      </x:c>
    </x:row>
    <x:row r="96">
      <x:c r="A96" s="53" t="str">
        <x:v>SCI-HEALTH-12</x:v>
      </x:c>
      <x:c r="B96" s="53" t="str">
        <x:v>HEALTH</x:v>
      </x:c>
      <x:c r="C96" s="53" t="str">
        <x:v>Здоровье и общественное здоровье</x:v>
      </x:c>
      <x:c r="D96" s="53" t="str">
        <x:v>Профилактическая стоматология</x:v>
      </x:c>
      <x:c r="E96" s="53" t="str">
        <x:v>Объяснить базовую модель, выполнить допустимую для класса риска проверку и документировать пределы по теме «Профилактическая стоматология».</x:v>
      </x:c>
      <x:c r="F96" s="53" t="str">
        <x:v>гигиена и распознавание срочности; процедуры запрещены</x:v>
      </x:c>
      <x:c r="G96" s="53" t="str">
        <x:v>официальный маршрут/неинвазивное наблюдение</x:v>
      </x:c>
      <x:c r="H96" s="53" t="str">
        <x:v>SI или явно названный стандарт</x:v>
      </x:c>
      <x:c r="I96" s="53" t="str">
        <x:v>S1_LOW_RISK_HOUSEHOLD</x:v>
      </x:c>
      <x:c r="J9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96" s="53" t="str">
        <x:v>SCI-HEALTH-11|SCI-METH-13</x:v>
      </x:c>
      <x:c r="L96" s="53" t="n">
        <x:v>1</x:v>
      </x:c>
      <x:c r="M96" s="53" t="n">
        <x:v>1</x:v>
      </x:c>
      <x:c r="N9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6" s="53" t="str">
        <x:v>FRAMEWORK_ONLY_NOT_TRAINED</x:v>
      </x:c>
      <x:c r="P96" s="53" t="str">
        <x:v>0.4</x:v>
      </x:c>
    </x:row>
    <x:row r="97">
      <x:c r="A97" s="26" t="str">
        <x:v>SCI-HEALTH-13</x:v>
      </x:c>
      <x:c r="B97" s="26" t="str">
        <x:v>HEALTH</x:v>
      </x:c>
      <x:c r="C97" s="26" t="str">
        <x:v>Здоровье и общественное здоровье</x:v>
      </x:c>
      <x:c r="D97" s="26" t="str">
        <x:v>Эргономика, усталость и профессиональные риски</x:v>
      </x:c>
      <x:c r="E97" s="26" t="str">
        <x:v>Объяснить базовую модель, выполнить допустимую для класса риска проверку и документировать пределы по теме «Эргономика, усталость и профессиональные риски».</x:v>
      </x:c>
      <x:c r="F97" s="26" t="str">
        <x:v>наблюдение рабочей позы, нагрузки и отдыха</x:v>
      </x:c>
      <x:c r="G97" s="26" t="str">
        <x:v>официальный маршрут/неинвазивное наблюдение</x:v>
      </x:c>
      <x:c r="H97" s="26" t="str">
        <x:v>SI или явно названный стандарт</x:v>
      </x:c>
      <x:c r="I97" s="26" t="str">
        <x:v>S0_OBSERVE_READ</x:v>
      </x:c>
      <x:c r="J97" s="26" t="str">
        <x:v>Наблюдение, чтение, расчёт или работа с опубликованным набором данных; физического вмешательства нет.</x:v>
      </x:c>
      <x:c r="K97" s="26" t="str">
        <x:v>SCI-HEALTH-12|SCI-METH-13</x:v>
      </x:c>
      <x:c r="L97" s="26" t="n">
        <x:v>1</x:v>
      </x:c>
      <x:c r="M97" s="26" t="n">
        <x:v>1</x:v>
      </x:c>
      <x:c r="N9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7" s="26" t="str">
        <x:v>FRAMEWORK_ONLY_NOT_TRAINED</x:v>
      </x:c>
      <x:c r="P97" s="26" t="str">
        <x:v>0.4</x:v>
      </x:c>
    </x:row>
    <x:row r="98">
      <x:c r="A98" s="53" t="str">
        <x:v>SCI-HEALTH-14</x:v>
      </x:c>
      <x:c r="B98" s="53" t="str">
        <x:v>HEALTH</x:v>
      </x:c>
      <x:c r="C98" s="53" t="str">
        <x:v>Здоровье и общественное здоровье</x:v>
      </x:c>
      <x:c r="D98" s="53" t="str">
        <x:v>Токсикологическая информация и обращение в CIAV</x:v>
      </x:c>
      <x:c r="E98" s="53" t="str">
        <x:v>Объяснить базовую модель, выполнить допустимую для класса риска проверку и документировать пределы по теме «Токсикологическая информация и обращение в CIAV».</x:v>
      </x:c>
      <x:c r="F98" s="53" t="str">
        <x:v>идентификация продукта и подготовка точных данных; лечение не импровизируется</x:v>
      </x:c>
      <x:c r="G98" s="53" t="str">
        <x:v>официальный маршрут/неинвазивное наблюдение</x:v>
      </x:c>
      <x:c r="H98" s="53" t="str">
        <x:v>SI или явно названный стандарт</x:v>
      </x:c>
      <x:c r="I98" s="53" t="str">
        <x:v>S0_OBSERVE_READ</x:v>
      </x:c>
      <x:c r="J98" s="53" t="str">
        <x:v>Наблюдение, чтение, расчёт или работа с опубликованным набором данных; физического вмешательства нет.</x:v>
      </x:c>
      <x:c r="K98" s="53" t="str">
        <x:v>SCI-HEALTH-13|SCI-METH-13</x:v>
      </x:c>
      <x:c r="L98" s="53" t="n">
        <x:v>1</x:v>
      </x:c>
      <x:c r="M98" s="53" t="n">
        <x:v>1</x:v>
      </x:c>
      <x:c r="N9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8" s="53" t="str">
        <x:v>FRAMEWORK_ONLY_NOT_TRAINED</x:v>
      </x:c>
      <x:c r="P98" s="53" t="str">
        <x:v>0.4</x:v>
      </x:c>
    </x:row>
    <x:row r="99">
      <x:c r="A99" s="26" t="str">
        <x:v>SCI-HEALTH-15</x:v>
      </x:c>
      <x:c r="B99" s="26" t="str">
        <x:v>HEALTH</x:v>
      </x:c>
      <x:c r="C99" s="26" t="str">
        <x:v>Здоровье и общественное здоровье</x:v>
      </x:c>
      <x:c r="D99" s="26" t="str">
        <x:v>Ветеринарное общественное здоровье и благополучие животных</x:v>
      </x:c>
      <x:c r="E99" s="26" t="str">
        <x:v>Объяснить базовую модель, выполнить допустимую для класса риска проверку и документировать пределы по теме «Ветеринарное общественное здоровье и благополучие животных».</x:v>
      </x:c>
      <x:c r="F99" s="26" t="str">
        <x:v>маршрут к ветеринару и наблюдательный журнал без процедур</x:v>
      </x:c>
      <x:c r="G99" s="26" t="str">
        <x:v>официальный маршрут/неинвазивное наблюдение</x:v>
      </x:c>
      <x:c r="H99" s="26" t="str">
        <x:v>SI или явно названный стандарт</x:v>
      </x:c>
      <x:c r="I99" s="26" t="str">
        <x:v>S2_TRAINED_SUPERVISED</x:v>
      </x:c>
      <x:c r="J99" s="26" t="str">
        <x:v>Только после обучения и под компетентным надзором; бытовая самостоятельная импровизация запрещена.</x:v>
      </x:c>
      <x:c r="K99" s="26" t="str">
        <x:v>SCI-HEALTH-14|SCI-METH-13</x:v>
      </x:c>
      <x:c r="L99" s="26" t="n">
        <x:v>1</x:v>
      </x:c>
      <x:c r="M99" s="26" t="n">
        <x:v>1</x:v>
      </x:c>
      <x:c r="N9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99" s="26" t="str">
        <x:v>FRAMEWORK_ONLY_NOT_TRAINED</x:v>
      </x:c>
      <x:c r="P99" s="26" t="str">
        <x:v>0.4</x:v>
      </x:c>
    </x:row>
    <x:row r="100">
      <x:c r="A100" s="53" t="str">
        <x:v>SCI-HEALTH-16</x:v>
      </x:c>
      <x:c r="B100" s="53" t="str">
        <x:v>HEALTH</x:v>
      </x:c>
      <x:c r="C100" s="53" t="str">
        <x:v>Здоровье и общественное здоровье</x:v>
      </x:c>
      <x:c r="D100" s="53" t="str">
        <x:v>Медицинские записи, приватность и передача информации</x:v>
      </x:c>
      <x:c r="E100" s="53" t="str">
        <x:v>Объяснить базовую модель, выполнить допустимую для класса риска проверку и документировать пределы по теме «Медицинские записи, приватность и передача информации».</x:v>
      </x:c>
      <x:c r="F100" s="53" t="str">
        <x:v>структурированный список лекарств/аллергий с контролем доступа</x:v>
      </x:c>
      <x:c r="G100" s="53" t="str">
        <x:v>официальный маршрут/неинвазивное наблюдение</x:v>
      </x:c>
      <x:c r="H100" s="53" t="str">
        <x:v>SI или явно названный стандарт</x:v>
      </x:c>
      <x:c r="I100" s="53" t="str">
        <x:v>S0_OBSERVE_READ</x:v>
      </x:c>
      <x:c r="J100" s="53" t="str">
        <x:v>Наблюдение, чтение, расчёт или работа с опубликованным набором данных; физического вмешательства нет.</x:v>
      </x:c>
      <x:c r="K100" s="53" t="str">
        <x:v>SCI-HEALTH-15|SCI-METH-13</x:v>
      </x:c>
      <x:c r="L100" s="53" t="n">
        <x:v>1</x:v>
      </x:c>
      <x:c r="M100" s="53" t="n">
        <x:v>1</x:v>
      </x:c>
      <x:c r="N10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0" s="53" t="str">
        <x:v>FRAMEWORK_ONLY_NOT_TRAINED</x:v>
      </x:c>
      <x:c r="P100" s="53" t="str">
        <x:v>0.4</x:v>
      </x:c>
    </x:row>
    <x:row r="101">
      <x:c r="A101" s="26" t="str">
        <x:v>SCI-EARTH-01</x:v>
      </x:c>
      <x:c r="B101" s="26" t="str">
        <x:v>EARTH</x:v>
      </x:c>
      <x:c r="C101" s="26" t="str">
        <x:v>Науки о Земле и окружающей среде</x:v>
      </x:c>
      <x:c r="D101" s="26" t="str">
        <x:v>Минералы, горные породы и геологические процессы</x:v>
      </x:c>
      <x:c r="E101" s="26" t="str">
        <x:v>Объяснить базовую модель, выполнить допустимую для класса риска проверку и документировать пределы по теме «Минералы, горные породы и геологические процессы».</x:v>
      </x:c>
      <x:c r="F101" s="26" t="str">
        <x:v>неразрушающее описание образца без шахт/обрывов</x:v>
      </x:c>
      <x:c r="G101" s="26" t="str">
        <x:v>пространственно-временной ряд</x:v>
      </x:c>
      <x:c r="H101" s="26" t="str">
        <x:v>SI или явно названный стандарт</x:v>
      </x:c>
      <x:c r="I101" s="26" t="str">
        <x:v>S1_LOW_RISK_HOUSEHOLD</x:v>
      </x:c>
      <x:c r="J10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01" s="26" t="str">
        <x:v>SCI-METH-01|SCI-METH-07|SCI-METH-14</x:v>
      </x:c>
      <x:c r="L101" s="26" t="n">
        <x:v>1</x:v>
      </x:c>
      <x:c r="M101" s="26" t="n">
        <x:v>1</x:v>
      </x:c>
      <x:c r="N10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1" s="26" t="str">
        <x:v>FRAMEWORK_ONLY_NOT_TRAINED</x:v>
      </x:c>
      <x:c r="P101" s="26" t="str">
        <x:v>0.4</x:v>
      </x:c>
    </x:row>
    <x:row r="102">
      <x:c r="A102" s="53" t="str">
        <x:v>SCI-EARTH-02</x:v>
      </x:c>
      <x:c r="B102" s="53" t="str">
        <x:v>EARTH</x:v>
      </x:c>
      <x:c r="C102" s="53" t="str">
        <x:v>Науки о Земле и окружающей среде</x:v>
      </x:c>
      <x:c r="D102" s="53" t="str">
        <x:v>Рельеф, эрозия и геоморфология</x:v>
      </x:c>
      <x:c r="E102" s="53" t="str">
        <x:v>Объяснить базовую модель, выполнить допустимую для класса риска проверку и документировать пределы по теме «Рельеф, эрозия и геоморфология».</x:v>
      </x:c>
      <x:c r="F102" s="53" t="str">
        <x:v>повторная фото-точка безопасного склона/берега</x:v>
      </x:c>
      <x:c r="G102" s="53" t="str">
        <x:v>пространственно-временной ряд</x:v>
      </x:c>
      <x:c r="H102" s="53" t="str">
        <x:v>SI или явно названный стандарт</x:v>
      </x:c>
      <x:c r="I102" s="53" t="str">
        <x:v>S1_LOW_RISK_HOUSEHOLD</x:v>
      </x:c>
      <x:c r="J102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02" s="53" t="str">
        <x:v>SCI-EARTH-01|SCI-METH-13</x:v>
      </x:c>
      <x:c r="L102" s="53" t="n">
        <x:v>1</x:v>
      </x:c>
      <x:c r="M102" s="53" t="n">
        <x:v>1</x:v>
      </x:c>
      <x:c r="N10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2" s="53" t="str">
        <x:v>FRAMEWORK_ONLY_NOT_TRAINED</x:v>
      </x:c>
      <x:c r="P102" s="53" t="str">
        <x:v>0.4</x:v>
      </x:c>
    </x:row>
    <x:row r="103">
      <x:c r="A103" s="26" t="str">
        <x:v>SCI-EARTH-03</x:v>
      </x:c>
      <x:c r="B103" s="26" t="str">
        <x:v>EARTH</x:v>
      </x:c>
      <x:c r="C103" s="26" t="str">
        <x:v>Науки о Земле и окружающей среде</x:v>
      </x:c>
      <x:c r="D103" s="26" t="str">
        <x:v>Почва: горизонты, текстура и структура</x:v>
      </x:c>
      <x:c r="E103" s="26" t="str">
        <x:v>Объяснить базовую модель, выполнить допустимую для класса риска проверку и документировать пределы по теме «Почва: горизонты, текстура и структура».</x:v>
      </x:c>
      <x:c r="F103" s="26" t="str">
        <x:v>полевое описание неглубокой безопасной пробы</x:v>
      </x:c>
      <x:c r="G103" s="26" t="str">
        <x:v>пространственно-временной ряд</x:v>
      </x:c>
      <x:c r="H103" s="26" t="str">
        <x:v>SI или явно названный стандарт</x:v>
      </x:c>
      <x:c r="I103" s="26" t="str">
        <x:v>S1_LOW_RISK_HOUSEHOLD</x:v>
      </x:c>
      <x:c r="J103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03" s="26" t="str">
        <x:v>SCI-EARTH-02|SCI-METH-13</x:v>
      </x:c>
      <x:c r="L103" s="26" t="n">
        <x:v>1</x:v>
      </x:c>
      <x:c r="M103" s="26" t="n">
        <x:v>1</x:v>
      </x:c>
      <x:c r="N10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3" s="26" t="str">
        <x:v>FRAMEWORK_ONLY_NOT_TRAINED</x:v>
      </x:c>
      <x:c r="P103" s="26" t="str">
        <x:v>0.4</x:v>
      </x:c>
    </x:row>
    <x:row r="104">
      <x:c r="A104" s="53" t="str">
        <x:v>SCI-EARTH-04</x:v>
      </x:c>
      <x:c r="B104" s="53" t="str">
        <x:v>EARTH</x:v>
      </x:c>
      <x:c r="C104" s="53" t="str">
        <x:v>Науки о Земле и окружающей среде</x:v>
      </x:c>
      <x:c r="D104" s="53" t="str">
        <x:v>Поверхностная вода, водосбор и сток</x:v>
      </x:c>
      <x:c r="E104" s="53" t="str">
        <x:v>Объяснить базовую модель, выполнить допустимую для класса риска проверку и документировать пределы по теме «Поверхностная вода, водосбор и сток».</x:v>
      </x:c>
      <x:c r="F104" s="53" t="str">
        <x:v>карта водосбора и наблюдение потока без входа в паводковую воду</x:v>
      </x:c>
      <x:c r="G104" s="53" t="str">
        <x:v>пространственно-временной ряд</x:v>
      </x:c>
      <x:c r="H104" s="53" t="str">
        <x:v>SI или явно названный стандарт</x:v>
      </x:c>
      <x:c r="I104" s="53" t="str">
        <x:v>S1_LOW_RISK_HOUSEHOLD</x:v>
      </x:c>
      <x:c r="J104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04" s="53" t="str">
        <x:v>SCI-EARTH-03|SCI-METH-13</x:v>
      </x:c>
      <x:c r="L104" s="53" t="n">
        <x:v>1</x:v>
      </x:c>
      <x:c r="M104" s="53" t="n">
        <x:v>1</x:v>
      </x:c>
      <x:c r="N10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4" s="53" t="str">
        <x:v>FRAMEWORK_ONLY_NOT_TRAINED</x:v>
      </x:c>
      <x:c r="P104" s="53" t="str">
        <x:v>0.4</x:v>
      </x:c>
    </x:row>
    <x:row r="105">
      <x:c r="A105" s="26" t="str">
        <x:v>SCI-EARTH-05</x:v>
      </x:c>
      <x:c r="B105" s="26" t="str">
        <x:v>EARTH</x:v>
      </x:c>
      <x:c r="C105" s="26" t="str">
        <x:v>Науки о Земле и окружающей среде</x:v>
      </x:c>
      <x:c r="D105" s="26" t="str">
        <x:v>Грунтовые воды и уязвимость источников</x:v>
      </x:c>
      <x:c r="E105" s="26" t="str">
        <x:v>Объяснить базовую модель, выполнить допустимую для класса риска проверку и документировать пределы по теме «Грунтовые воды и уязвимость источников».</x:v>
      </x:c>
      <x:c r="F105" s="26" t="str">
        <x:v>интерпретация официальной гидрогеологической карты</x:v>
      </x:c>
      <x:c r="G105" s="26" t="str">
        <x:v>пространственно-временной ряд</x:v>
      </x:c>
      <x:c r="H105" s="26" t="str">
        <x:v>SI или явно названный стандарт</x:v>
      </x:c>
      <x:c r="I105" s="26" t="str">
        <x:v>S0_OBSERVE_READ</x:v>
      </x:c>
      <x:c r="J105" s="26" t="str">
        <x:v>Наблюдение, чтение, расчёт или работа с опубликованным набором данных; физического вмешательства нет.</x:v>
      </x:c>
      <x:c r="K105" s="26" t="str">
        <x:v>SCI-EARTH-04|SCI-METH-13</x:v>
      </x:c>
      <x:c r="L105" s="26" t="n">
        <x:v>1</x:v>
      </x:c>
      <x:c r="M105" s="26" t="n">
        <x:v>1</x:v>
      </x:c>
      <x:c r="N10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5" s="26" t="str">
        <x:v>FRAMEWORK_ONLY_NOT_TRAINED</x:v>
      </x:c>
      <x:c r="P105" s="26" t="str">
        <x:v>0.4</x:v>
      </x:c>
    </x:row>
    <x:row r="106">
      <x:c r="A106" s="53" t="str">
        <x:v>SCI-EARTH-06</x:v>
      </x:c>
      <x:c r="B106" s="53" t="str">
        <x:v>EARTH</x:v>
      </x:c>
      <x:c r="C106" s="53" t="str">
        <x:v>Науки о Земле и окружающей среде</x:v>
      </x:c>
      <x:c r="D106" s="53" t="str">
        <x:v>Погода, наблюдения и прогноз</x:v>
      </x:c>
      <x:c r="E106" s="53" t="str">
        <x:v>Объяснить базовую модель, выполнить допустимую для класса риска проверку и документировать пределы по теме «Погода, наблюдения и прогноз».</x:v>
      </x:c>
      <x:c r="F106" s="53" t="str">
        <x:v>ежедневный ряд температуры, давления и осадков</x:v>
      </x:c>
      <x:c r="G106" s="53" t="str">
        <x:v>пространственно-временной ряд</x:v>
      </x:c>
      <x:c r="H106" s="53" t="str">
        <x:v>SI или явно названный стандарт</x:v>
      </x:c>
      <x:c r="I106" s="53" t="str">
        <x:v>S1_LOW_RISK_HOUSEHOLD</x:v>
      </x:c>
      <x:c r="J10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06" s="53" t="str">
        <x:v>SCI-EARTH-05|SCI-METH-13</x:v>
      </x:c>
      <x:c r="L106" s="53" t="n">
        <x:v>1</x:v>
      </x:c>
      <x:c r="M106" s="53" t="n">
        <x:v>1</x:v>
      </x:c>
      <x:c r="N10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6" s="53" t="str">
        <x:v>FRAMEWORK_ONLY_NOT_TRAINED</x:v>
      </x:c>
      <x:c r="P106" s="53" t="str">
        <x:v>0.4</x:v>
      </x:c>
    </x:row>
    <x:row r="107">
      <x:c r="A107" s="26" t="str">
        <x:v>SCI-EARTH-07</x:v>
      </x:c>
      <x:c r="B107" s="26" t="str">
        <x:v>EARTH</x:v>
      </x:c>
      <x:c r="C107" s="26" t="str">
        <x:v>Науки о Земле и окружающей среде</x:v>
      </x:c>
      <x:c r="D107" s="26" t="str">
        <x:v>Климат, нормы и экстремумы</x:v>
      </x:c>
      <x:c r="E107" s="26" t="str">
        <x:v>Объяснить базовую модель, выполнить допустимую для класса риска проверку и документировать пределы по теме «Климат, нормы и экстремумы».</x:v>
      </x:c>
      <x:c r="F107" s="26" t="str">
        <x:v>сравнение локального ряда с официальной климатической нормой</x:v>
      </x:c>
      <x:c r="G107" s="26" t="str">
        <x:v>пространственно-временной ряд</x:v>
      </x:c>
      <x:c r="H107" s="26" t="str">
        <x:v>SI или явно названный стандарт</x:v>
      </x:c>
      <x:c r="I107" s="26" t="str">
        <x:v>S1_LOW_RISK_HOUSEHOLD</x:v>
      </x:c>
      <x:c r="J10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07" s="26" t="str">
        <x:v>SCI-EARTH-06|SCI-METH-13</x:v>
      </x:c>
      <x:c r="L107" s="26" t="n">
        <x:v>1</x:v>
      </x:c>
      <x:c r="M107" s="26" t="n">
        <x:v>1</x:v>
      </x:c>
      <x:c r="N10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7" s="26" t="str">
        <x:v>FRAMEWORK_ONLY_NOT_TRAINED</x:v>
      </x:c>
      <x:c r="P107" s="26" t="str">
        <x:v>0.4</x:v>
      </x:c>
    </x:row>
    <x:row r="108">
      <x:c r="A108" s="53" t="str">
        <x:v>SCI-EARTH-08</x:v>
      </x:c>
      <x:c r="B108" s="53" t="str">
        <x:v>EARTH</x:v>
      </x:c>
      <x:c r="C108" s="53" t="str">
        <x:v>Науки о Земле и окружающей среде</x:v>
      </x:c>
      <x:c r="D108" s="53" t="str">
        <x:v>Океан, приливы, волны и побережье</x:v>
      </x:c>
      <x:c r="E108" s="53" t="str">
        <x:v>Объяснить базовую модель, выполнить допустимую для класса риска проверку и документировать пределы по теме «Океан, приливы, волны и побережье».</x:v>
      </x:c>
      <x:c r="F108" s="53" t="str">
        <x:v>работа с официальными данными; наблюдение только из безопасной зоны</x:v>
      </x:c>
      <x:c r="G108" s="53" t="str">
        <x:v>пространственно-временной ряд</x:v>
      </x:c>
      <x:c r="H108" s="53" t="str">
        <x:v>SI или явно названный стандарт</x:v>
      </x:c>
      <x:c r="I108" s="53" t="str">
        <x:v>S0_OBSERVE_READ</x:v>
      </x:c>
      <x:c r="J108" s="53" t="str">
        <x:v>Наблюдение, чтение, расчёт или работа с опубликованным набором данных; физического вмешательства нет.</x:v>
      </x:c>
      <x:c r="K108" s="53" t="str">
        <x:v>SCI-EARTH-07|SCI-METH-13</x:v>
      </x:c>
      <x:c r="L108" s="53" t="n">
        <x:v>1</x:v>
      </x:c>
      <x:c r="M108" s="53" t="n">
        <x:v>1</x:v>
      </x:c>
      <x:c r="N10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8" s="53" t="str">
        <x:v>FRAMEWORK_ONLY_NOT_TRAINED</x:v>
      </x:c>
      <x:c r="P108" s="53" t="str">
        <x:v>0.4</x:v>
      </x:c>
    </x:row>
    <x:row r="109">
      <x:c r="A109" s="26" t="str">
        <x:v>SCI-EARTH-09</x:v>
      </x:c>
      <x:c r="B109" s="26" t="str">
        <x:v>EARTH</x:v>
      </x:c>
      <x:c r="C109" s="26" t="str">
        <x:v>Науки о Земле и окружающей среде</x:v>
      </x:c>
      <x:c r="D109" s="26" t="str">
        <x:v>Землетрясения, оползни, вулканы и цунами</x:v>
      </x:c>
      <x:c r="E109" s="26" t="str">
        <x:v>Объяснить базовую модель, выполнить допустимую для класса риска проверку и документировать пределы по теме «Землетрясения, оползни, вулканы и цунами».</x:v>
      </x:c>
      <x:c r="F109" s="26" t="str">
        <x:v>сценарная карта и официальные признаки; физическое приближение запрещено</x:v>
      </x:c>
      <x:c r="G109" s="26" t="str">
        <x:v>пространственно-временной ряд</x:v>
      </x:c>
      <x:c r="H109" s="26" t="str">
        <x:v>SI или явно названный стандарт</x:v>
      </x:c>
      <x:c r="I109" s="26" t="str">
        <x:v>S0_OBSERVE_READ</x:v>
      </x:c>
      <x:c r="J109" s="26" t="str">
        <x:v>Наблюдение, чтение, расчёт или работа с опубликованным набором данных; физического вмешательства нет.</x:v>
      </x:c>
      <x:c r="K109" s="26" t="str">
        <x:v>SCI-EARTH-08|SCI-METH-13</x:v>
      </x:c>
      <x:c r="L109" s="26" t="n">
        <x:v>1</x:v>
      </x:c>
      <x:c r="M109" s="26" t="n">
        <x:v>1</x:v>
      </x:c>
      <x:c r="N10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09" s="26" t="str">
        <x:v>FRAMEWORK_ONLY_NOT_TRAINED</x:v>
      </x:c>
      <x:c r="P109" s="26" t="str">
        <x:v>0.4</x:v>
      </x:c>
    </x:row>
    <x:row r="110">
      <x:c r="A110" s="53" t="str">
        <x:v>SCI-EARTH-10</x:v>
      </x:c>
      <x:c r="B110" s="53" t="str">
        <x:v>EARTH</x:v>
      </x:c>
      <x:c r="C110" s="53" t="str">
        <x:v>Науки о Земле и окружающей среде</x:v>
      </x:c>
      <x:c r="D110" s="53" t="str">
        <x:v>Дистанционное зондирование и спутниковые данные</x:v>
      </x:c>
      <x:c r="E110" s="53" t="str">
        <x:v>Объяснить базовую модель, выполнить допустимую для класса риска проверку и документировать пределы по теме «Дистанционное зондирование и спутниковые данные».</x:v>
      </x:c>
      <x:c r="F110" s="53" t="str">
        <x:v>сравнение двух дат открытого снимка</x:v>
      </x:c>
      <x:c r="G110" s="53" t="str">
        <x:v>пространственно-временной ряд</x:v>
      </x:c>
      <x:c r="H110" s="53" t="str">
        <x:v>SI или явно названный стандарт</x:v>
      </x:c>
      <x:c r="I110" s="53" t="str">
        <x:v>S1_LOW_RISK_HOUSEHOLD</x:v>
      </x:c>
      <x:c r="J11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0" s="53" t="str">
        <x:v>SCI-EARTH-09|SCI-METH-13</x:v>
      </x:c>
      <x:c r="L110" s="53" t="n">
        <x:v>1</x:v>
      </x:c>
      <x:c r="M110" s="53" t="n">
        <x:v>1</x:v>
      </x:c>
      <x:c r="N11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0" s="53" t="str">
        <x:v>FRAMEWORK_ONLY_NOT_TRAINED</x:v>
      </x:c>
      <x:c r="P110" s="53" t="str">
        <x:v>0.4</x:v>
      </x:c>
    </x:row>
    <x:row r="111">
      <x:c r="A111" s="26" t="str">
        <x:v>SCI-EARTH-11</x:v>
      </x:c>
      <x:c r="B111" s="26" t="str">
        <x:v>EARTH</x:v>
      </x:c>
      <x:c r="C111" s="26" t="str">
        <x:v>Науки о Земле и окружающей среде</x:v>
      </x:c>
      <x:c r="D111" s="26" t="str">
        <x:v>Картография, GIS, CRS и погрешность положения</x:v>
      </x:c>
      <x:c r="E111" s="26" t="str">
        <x:v>Объяснить базовую модель, выполнить допустимую для класса риска проверку и документировать пределы по теме «Картография, GIS, CRS и погрешность положения».</x:v>
      </x:c>
      <x:c r="F111" s="26" t="str">
        <x:v>репроекция слоя и контроль известной точки</x:v>
      </x:c>
      <x:c r="G111" s="26" t="str">
        <x:v>пространственно-временной ряд</x:v>
      </x:c>
      <x:c r="H111" s="26" t="str">
        <x:v>SI или явно названный стандарт</x:v>
      </x:c>
      <x:c r="I111" s="26" t="str">
        <x:v>S1_LOW_RISK_HOUSEHOLD</x:v>
      </x:c>
      <x:c r="J11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1" s="26" t="str">
        <x:v>SCI-EARTH-10|SCI-METH-13</x:v>
      </x:c>
      <x:c r="L111" s="26" t="n">
        <x:v>1</x:v>
      </x:c>
      <x:c r="M111" s="26" t="n">
        <x:v>1</x:v>
      </x:c>
      <x:c r="N11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1" s="26" t="str">
        <x:v>FRAMEWORK_ONLY_NOT_TRAINED</x:v>
      </x:c>
      <x:c r="P111" s="26" t="str">
        <x:v>0.4</x:v>
      </x:c>
    </x:row>
    <x:row r="112">
      <x:c r="A112" s="53" t="str">
        <x:v>SCI-EARTH-12</x:v>
      </x:c>
      <x:c r="B112" s="53" t="str">
        <x:v>EARTH</x:v>
      </x:c>
      <x:c r="C112" s="53" t="str">
        <x:v>Науки о Земле и окружающей среде</x:v>
      </x:c>
      <x:c r="D112" s="53" t="str">
        <x:v>Мониторинг воздуха, воды, шума и света</x:v>
      </x:c>
      <x:c r="E112" s="53" t="str">
        <x:v>Объяснить базовую модель, выполнить допустимую для класса риска проверку и документировать пределы по теме «Мониторинг воздуха, воды, шума и света».</x:v>
      </x:c>
      <x:c r="F112" s="53" t="str">
        <x:v>протокол с оговоркой о классе и калибровке датчика</x:v>
      </x:c>
      <x:c r="G112" s="53" t="str">
        <x:v>пространственно-временной ряд</x:v>
      </x:c>
      <x:c r="H112" s="53" t="str">
        <x:v>SI или явно названный стандарт</x:v>
      </x:c>
      <x:c r="I112" s="53" t="str">
        <x:v>S1_LOW_RISK_HOUSEHOLD</x:v>
      </x:c>
      <x:c r="J112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2" s="53" t="str">
        <x:v>SCI-EARTH-11|SCI-METH-13</x:v>
      </x:c>
      <x:c r="L112" s="53" t="n">
        <x:v>1</x:v>
      </x:c>
      <x:c r="M112" s="53" t="n">
        <x:v>1</x:v>
      </x:c>
      <x:c r="N11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2" s="53" t="str">
        <x:v>FRAMEWORK_ONLY_NOT_TRAINED</x:v>
      </x:c>
      <x:c r="P112" s="53" t="str">
        <x:v>0.4</x:v>
      </x:c>
    </x:row>
    <x:row r="113">
      <x:c r="A113" s="26" t="str">
        <x:v>SCI-EARTH-13</x:v>
      </x:c>
      <x:c r="B113" s="26" t="str">
        <x:v>EARTH</x:v>
      </x:c>
      <x:c r="C113" s="26" t="str">
        <x:v>Науки о Земле и окружающей среде</x:v>
      </x:c>
      <x:c r="D113" s="26" t="str">
        <x:v>Отходы, загрязнение и материальные потоки</x:v>
      </x:c>
      <x:c r="E113" s="26" t="str">
        <x:v>Объяснить базовую модель, выполнить допустимую для класса риска проверку и документировать пределы по теме «Отходы, загрязнение и материальные потоки».</x:v>
      </x:c>
      <x:c r="F113" s="26" t="str">
        <x:v>аудит входов/выходов без контакта с опасными отходами</x:v>
      </x:c>
      <x:c r="G113" s="26" t="str">
        <x:v>пространственно-временной ряд</x:v>
      </x:c>
      <x:c r="H113" s="26" t="str">
        <x:v>SI или явно названный стандарт</x:v>
      </x:c>
      <x:c r="I113" s="26" t="str">
        <x:v>S1_LOW_RISK_HOUSEHOLD</x:v>
      </x:c>
      <x:c r="J113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3" s="26" t="str">
        <x:v>SCI-EARTH-12|SCI-METH-13</x:v>
      </x:c>
      <x:c r="L113" s="26" t="n">
        <x:v>1</x:v>
      </x:c>
      <x:c r="M113" s="26" t="n">
        <x:v>1</x:v>
      </x:c>
      <x:c r="N11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3" s="26" t="str">
        <x:v>FRAMEWORK_ONLY_NOT_TRAINED</x:v>
      </x:c>
      <x:c r="P113" s="26" t="str">
        <x:v>0.4</x:v>
      </x:c>
    </x:row>
    <x:row r="114">
      <x:c r="A114" s="53" t="str">
        <x:v>SCI-EARTH-14</x:v>
      </x:c>
      <x:c r="B114" s="53" t="str">
        <x:v>EARTH</x:v>
      </x:c>
      <x:c r="C114" s="53" t="str">
        <x:v>Науки о Земле и окружающей среде</x:v>
      </x:c>
      <x:c r="D114" s="53" t="str">
        <x:v>Экологическое право и сообщение о наблюдении</x:v>
      </x:c>
      <x:c r="E114" s="53" t="str">
        <x:v>Объяснить базовую модель, выполнить допустимую для класса риска проверку и документировать пределы по теме «Экологическое право и сообщение о наблюдении».</x:v>
      </x:c>
      <x:c r="F114" s="53" t="str">
        <x:v>пакет дата–место–фото–метод без обвинительного вывода</x:v>
      </x:c>
      <x:c r="G114" s="53" t="str">
        <x:v>пространственно-временной ряд</x:v>
      </x:c>
      <x:c r="H114" s="53" t="str">
        <x:v>SI или явно названный стандарт</x:v>
      </x:c>
      <x:c r="I114" s="53" t="str">
        <x:v>S0_OBSERVE_READ</x:v>
      </x:c>
      <x:c r="J114" s="53" t="str">
        <x:v>Наблюдение, чтение, расчёт или работа с опубликованным набором данных; физического вмешательства нет.</x:v>
      </x:c>
      <x:c r="K114" s="53" t="str">
        <x:v>SCI-EARTH-13|SCI-METH-13</x:v>
      </x:c>
      <x:c r="L114" s="53" t="n">
        <x:v>1</x:v>
      </x:c>
      <x:c r="M114" s="53" t="n">
        <x:v>1</x:v>
      </x:c>
      <x:c r="N11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4" s="53" t="str">
        <x:v>FRAMEWORK_ONLY_NOT_TRAINED</x:v>
      </x:c>
      <x:c r="P114" s="53" t="str">
        <x:v>0.4</x:v>
      </x:c>
    </x:row>
    <x:row r="115">
      <x:c r="A115" s="26" t="str">
        <x:v>SCI-AGRI-01</x:v>
      </x:c>
      <x:c r="B115" s="26" t="str">
        <x:v>AGRI</x:v>
      </x:c>
      <x:c r="C115" s="26" t="str">
        <x:v>Сельское хозяйство, вода и пища</x:v>
      </x:c>
      <x:c r="D115" s="26" t="str">
        <x:v>Полевое обследование и безопасный отбор почвы</x:v>
      </x:c>
      <x:c r="E115" s="26" t="str">
        <x:v>Объяснить базовую модель, выполнить допустимую для класса риска проверку и документировать пределы по теме «Полевое обследование и безопасный отбор почвы».</x:v>
      </x:c>
      <x:c r="F115" s="26" t="str">
        <x:v>составная проба с картой точек и чистым инструментом</x:v>
      </x:c>
      <x:c r="G115" s="26" t="str">
        <x:v>урожай/вода/почва</x:v>
      </x:c>
      <x:c r="H115" s="26" t="str">
        <x:v>SI или явно названный стандарт</x:v>
      </x:c>
      <x:c r="I115" s="26" t="str">
        <x:v>S1_LOW_RISK_HOUSEHOLD</x:v>
      </x:c>
      <x:c r="J11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5" s="26" t="str">
        <x:v>SCI-METH-01|SCI-METH-07|SCI-METH-14</x:v>
      </x:c>
      <x:c r="L115" s="26" t="n">
        <x:v>1</x:v>
      </x:c>
      <x:c r="M115" s="26" t="n">
        <x:v>1</x:v>
      </x:c>
      <x:c r="N11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5" s="26" t="str">
        <x:v>FRAMEWORK_ONLY_NOT_TRAINED</x:v>
      </x:c>
      <x:c r="P115" s="26" t="str">
        <x:v>0.4</x:v>
      </x:c>
    </x:row>
    <x:row r="116">
      <x:c r="A116" s="53" t="str">
        <x:v>SCI-AGRI-02</x:v>
      </x:c>
      <x:c r="B116" s="53" t="str">
        <x:v>AGRI</x:v>
      </x:c>
      <x:c r="C116" s="53" t="str">
        <x:v>Сельское хозяйство, вода и пища</x:v>
      </x:c>
      <x:c r="D116" s="53" t="str">
        <x:v>Семенная партия, происхождение и доступ</x:v>
      </x:c>
      <x:c r="E116" s="53" t="str">
        <x:v>Объяснить базовую модель, выполнить допустимую для класса риска проверку и документировать пределы по теме «Семенная партия, происхождение и доступ».</x:v>
      </x:c>
      <x:c r="F116" s="53" t="str">
        <x:v>паспорт accession, условия хранения и правовой статус</x:v>
      </x:c>
      <x:c r="G116" s="53" t="str">
        <x:v>урожай/вода/почва</x:v>
      </x:c>
      <x:c r="H116" s="53" t="str">
        <x:v>SI или явно названный стандарт</x:v>
      </x:c>
      <x:c r="I116" s="53" t="str">
        <x:v>S1_LOW_RISK_HOUSEHOLD</x:v>
      </x:c>
      <x:c r="J11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6" s="53" t="str">
        <x:v>SCI-AGRI-01|SCI-METH-13</x:v>
      </x:c>
      <x:c r="L116" s="53" t="n">
        <x:v>1</x:v>
      </x:c>
      <x:c r="M116" s="53" t="n">
        <x:v>1</x:v>
      </x:c>
      <x:c r="N11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6" s="53" t="str">
        <x:v>FRAMEWORK_ONLY_NOT_TRAINED</x:v>
      </x:c>
      <x:c r="P116" s="53" t="str">
        <x:v>0.4</x:v>
      </x:c>
    </x:row>
    <x:row r="117">
      <x:c r="A117" s="26" t="str">
        <x:v>SCI-AGRI-03</x:v>
      </x:c>
      <x:c r="B117" s="26" t="str">
        <x:v>AGRI</x:v>
      </x:c>
      <x:c r="C117" s="26" t="str">
        <x:v>Сельское хозяйство, вода и пища</x:v>
      </x:c>
      <x:c r="D117" s="26" t="str">
        <x:v>Тест всхожести и жизнеспособности</x:v>
      </x:c>
      <x:c r="E117" s="26" t="str">
        <x:v>Объяснить базовую модель, выполнить допустимую для класса риска проверку и документировать пределы по теме «Тест всхожести и жизнеспособности».</x:v>
      </x:c>
      <x:c r="F117" s="26" t="str">
        <x:v>контролируемый тест разрешённых семян с долей всходов</x:v>
      </x:c>
      <x:c r="G117" s="26" t="str">
        <x:v>урожай/вода/почва</x:v>
      </x:c>
      <x:c r="H117" s="26" t="str">
        <x:v>SI или явно названный стандарт</x:v>
      </x:c>
      <x:c r="I117" s="26" t="str">
        <x:v>S1_LOW_RISK_HOUSEHOLD</x:v>
      </x:c>
      <x:c r="J11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7" s="26" t="str">
        <x:v>SCI-AGRI-02|SCI-METH-13</x:v>
      </x:c>
      <x:c r="L117" s="26" t="n">
        <x:v>1</x:v>
      </x:c>
      <x:c r="M117" s="26" t="n">
        <x:v>1</x:v>
      </x:c>
      <x:c r="N11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7" s="26" t="str">
        <x:v>FRAMEWORK_ONLY_NOT_TRAINED</x:v>
      </x:c>
      <x:c r="P117" s="26" t="str">
        <x:v>0.4</x:v>
      </x:c>
    </x:row>
    <x:row r="118">
      <x:c r="A118" s="53" t="str">
        <x:v>SCI-AGRI-04</x:v>
      </x:c>
      <x:c r="B118" s="53" t="str">
        <x:v>AGRI</x:v>
      </x:c>
      <x:c r="C118" s="53" t="str">
        <x:v>Сельское хозяйство, вода и пища</x:v>
      </x:c>
      <x:c r="D118" s="53" t="str">
        <x:v>Севооборот, календарь и планирование площади</x:v>
      </x:c>
      <x:c r="E118" s="53" t="str">
        <x:v>Объяснить базовую модель, выполнить допустимую для класса риска проверку и документировать пределы по теме «Севооборот, календарь и планирование площади».</x:v>
      </x:c>
      <x:c r="F118" s="53" t="str">
        <x:v>план культуры по воде, сезону и рискам</x:v>
      </x:c>
      <x:c r="G118" s="53" t="str">
        <x:v>урожай/вода/почва</x:v>
      </x:c>
      <x:c r="H118" s="53" t="str">
        <x:v>SI или явно названный стандарт</x:v>
      </x:c>
      <x:c r="I118" s="53" t="str">
        <x:v>S1_LOW_RISK_HOUSEHOLD</x:v>
      </x:c>
      <x:c r="J11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8" s="53" t="str">
        <x:v>SCI-AGRI-03|SCI-METH-13</x:v>
      </x:c>
      <x:c r="L118" s="53" t="n">
        <x:v>1</x:v>
      </x:c>
      <x:c r="M118" s="53" t="n">
        <x:v>1</x:v>
      </x:c>
      <x:c r="N11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8" s="53" t="str">
        <x:v>FRAMEWORK_ONLY_NOT_TRAINED</x:v>
      </x:c>
      <x:c r="P118" s="53" t="str">
        <x:v>0.4</x:v>
      </x:c>
    </x:row>
    <x:row r="119">
      <x:c r="A119" s="26" t="str">
        <x:v>SCI-AGRI-05</x:v>
      </x:c>
      <x:c r="B119" s="26" t="str">
        <x:v>AGRI</x:v>
      </x:c>
      <x:c r="C119" s="26" t="str">
        <x:v>Сельское хозяйство, вода и пища</x:v>
      </x:c>
      <x:c r="D119" s="26" t="str">
        <x:v>Овощеводство и питомник</x:v>
      </x:c>
      <x:c r="E119" s="26" t="str">
        <x:v>Объяснить базовую модель, выполнить допустимую для класса риска проверку и документировать пределы по теме «Овощеводство и питомник».</x:v>
      </x:c>
      <x:c r="F119" s="26" t="str">
        <x:v>журнал посева, пересадки, роста и потерь</x:v>
      </x:c>
      <x:c r="G119" s="26" t="str">
        <x:v>урожай/вода/почва</x:v>
      </x:c>
      <x:c r="H119" s="26" t="str">
        <x:v>SI или явно названный стандарт</x:v>
      </x:c>
      <x:c r="I119" s="26" t="str">
        <x:v>S1_LOW_RISK_HOUSEHOLD</x:v>
      </x:c>
      <x:c r="J11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19" s="26" t="str">
        <x:v>SCI-AGRI-04|SCI-METH-13</x:v>
      </x:c>
      <x:c r="L119" s="26" t="n">
        <x:v>1</x:v>
      </x:c>
      <x:c r="M119" s="26" t="n">
        <x:v>1</x:v>
      </x:c>
      <x:c r="N11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19" s="26" t="str">
        <x:v>FRAMEWORK_ONLY_NOT_TRAINED</x:v>
      </x:c>
      <x:c r="P119" s="26" t="str">
        <x:v>0.4</x:v>
      </x:c>
    </x:row>
    <x:row r="120">
      <x:c r="A120" s="53" t="str">
        <x:v>SCI-AGRI-06</x:v>
      </x:c>
      <x:c r="B120" s="53" t="str">
        <x:v>AGRI</x:v>
      </x:c>
      <x:c r="C120" s="53" t="str">
        <x:v>Сельское хозяйство, вода и пища</x:v>
      </x:c>
      <x:c r="D120" s="53" t="str">
        <x:v>Ирригация, влажность и водный баланс</x:v>
      </x:c>
      <x:c r="E120" s="53" t="str">
        <x:v>Объяснить базовую модель, выполнить допустимую для класса риска проверку и документировать пределы по теме «Ирригация, влажность и водный баланс».</x:v>
      </x:c>
      <x:c r="F120" s="53" t="str">
        <x:v>объём воды, площадь, погода и состояние растения</x:v>
      </x:c>
      <x:c r="G120" s="53" t="str">
        <x:v>урожай/вода/почва</x:v>
      </x:c>
      <x:c r="H120" s="53" t="str">
        <x:v>SI или явно названный стандарт</x:v>
      </x:c>
      <x:c r="I120" s="53" t="str">
        <x:v>S1_LOW_RISK_HOUSEHOLD</x:v>
      </x:c>
      <x:c r="J12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20" s="53" t="str">
        <x:v>SCI-AGRI-05|SCI-METH-13</x:v>
      </x:c>
      <x:c r="L120" s="53" t="n">
        <x:v>1</x:v>
      </x:c>
      <x:c r="M120" s="53" t="n">
        <x:v>1</x:v>
      </x:c>
      <x:c r="N12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0" s="53" t="str">
        <x:v>FRAMEWORK_ONLY_NOT_TRAINED</x:v>
      </x:c>
      <x:c r="P120" s="53" t="str">
        <x:v>0.4</x:v>
      </x:c>
    </x:row>
    <x:row r="121">
      <x:c r="A121" s="26" t="str">
        <x:v>SCI-AGRI-07</x:v>
      </x:c>
      <x:c r="B121" s="26" t="str">
        <x:v>AGRI</x:v>
      </x:c>
      <x:c r="C121" s="26" t="str">
        <x:v>Сельское хозяйство, вода и пища</x:v>
      </x:c>
      <x:c r="D121" s="26" t="str">
        <x:v>Компостирование и санитарные границы</x:v>
      </x:c>
      <x:c r="E121" s="26" t="str">
        <x:v>Объяснить базовую модель, выполнить допустимую для класса риска проверку и документировать пределы по теме «Компостирование и санитарные границы».</x:v>
      </x:c>
      <x:c r="F121" s="26" t="str">
        <x:v>температурный журнал растительного компоста; животные/медицинские отходы исключены</x:v>
      </x:c>
      <x:c r="G121" s="26" t="str">
        <x:v>урожай/вода/почва</x:v>
      </x:c>
      <x:c r="H121" s="26" t="str">
        <x:v>SI или явно названный стандарт</x:v>
      </x:c>
      <x:c r="I121" s="26" t="str">
        <x:v>S1_LOW_RISK_HOUSEHOLD</x:v>
      </x:c>
      <x:c r="J12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21" s="26" t="str">
        <x:v>SCI-AGRI-06|SCI-METH-13</x:v>
      </x:c>
      <x:c r="L121" s="26" t="n">
        <x:v>1</x:v>
      </x:c>
      <x:c r="M121" s="26" t="n">
        <x:v>1</x:v>
      </x:c>
      <x:c r="N12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1" s="26" t="str">
        <x:v>FRAMEWORK_ONLY_NOT_TRAINED</x:v>
      </x:c>
      <x:c r="P121" s="26" t="str">
        <x:v>0.4</x:v>
      </x:c>
    </x:row>
    <x:row r="122">
      <x:c r="A122" s="53" t="str">
        <x:v>SCI-AGRI-08</x:v>
      </x:c>
      <x:c r="B122" s="53" t="str">
        <x:v>AGRI</x:v>
      </x:c>
      <x:c r="C122" s="53" t="str">
        <x:v>Сельское хозяйство, вода и пища</x:v>
      </x:c>
      <x:c r="D122" s="53" t="str">
        <x:v>Питательность почвы и безопасное внесение</x:v>
      </x:c>
      <x:c r="E122" s="53" t="str">
        <x:v>Объяснить базовую модель, выполнить допустимую для класса риска проверку и документировать пределы по теме «Питательность почвы и безопасное внесение».</x:v>
      </x:c>
      <x:c r="F122" s="53" t="str">
        <x:v>решение по лабораторному анализу и этикетке; без самодельной химии</x:v>
      </x:c>
      <x:c r="G122" s="53" t="str">
        <x:v>урожай/вода/почва</x:v>
      </x:c>
      <x:c r="H122" s="53" t="str">
        <x:v>SI или явно названный стандарт</x:v>
      </x:c>
      <x:c r="I122" s="53" t="str">
        <x:v>S2_TRAINED_SUPERVISED</x:v>
      </x:c>
      <x:c r="J122" s="53" t="str">
        <x:v>Только после обучения и под компетентным надзором; бытовая самостоятельная импровизация запрещена.</x:v>
      </x:c>
      <x:c r="K122" s="53" t="str">
        <x:v>SCI-AGRI-07|SCI-METH-13</x:v>
      </x:c>
      <x:c r="L122" s="53" t="n">
        <x:v>1</x:v>
      </x:c>
      <x:c r="M122" s="53" t="n">
        <x:v>1</x:v>
      </x:c>
      <x:c r="N12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2" s="53" t="str">
        <x:v>FRAMEWORK_ONLY_NOT_TRAINED</x:v>
      </x:c>
      <x:c r="P122" s="53" t="str">
        <x:v>0.4</x:v>
      </x:c>
    </x:row>
    <x:row r="123">
      <x:c r="A123" s="26" t="str">
        <x:v>SCI-AGRI-09</x:v>
      </x:c>
      <x:c r="B123" s="26" t="str">
        <x:v>AGRI</x:v>
      </x:c>
      <x:c r="C123" s="26" t="str">
        <x:v>Сельское хозяйство, вода и пища</x:v>
      </x:c>
      <x:c r="D123" s="26" t="str">
        <x:v>Интегрированная защита растений</x:v>
      </x:c>
      <x:c r="E123" s="26" t="str">
        <x:v>Объяснить базовую модель, выполнить допустимую для класса риска проверку и документировать пределы по теме «Интегрированная защита растений».</x:v>
      </x:c>
      <x:c r="F123" s="26" t="str">
        <x:v>порог наблюдения, идентификация и минимальное законное вмешательство</x:v>
      </x:c>
      <x:c r="G123" s="26" t="str">
        <x:v>урожай/вода/почва</x:v>
      </x:c>
      <x:c r="H123" s="26" t="str">
        <x:v>SI или явно названный стандарт</x:v>
      </x:c>
      <x:c r="I123" s="26" t="str">
        <x:v>S2_TRAINED_SUPERVISED</x:v>
      </x:c>
      <x:c r="J123" s="26" t="str">
        <x:v>Только после обучения и под компетентным надзором; бытовая самостоятельная импровизация запрещена.</x:v>
      </x:c>
      <x:c r="K123" s="26" t="str">
        <x:v>SCI-AGRI-08|SCI-METH-13</x:v>
      </x:c>
      <x:c r="L123" s="26" t="n">
        <x:v>1</x:v>
      </x:c>
      <x:c r="M123" s="26" t="n">
        <x:v>1</x:v>
      </x:c>
      <x:c r="N12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3" s="26" t="str">
        <x:v>FRAMEWORK_ONLY_NOT_TRAINED</x:v>
      </x:c>
      <x:c r="P123" s="26" t="str">
        <x:v>0.4</x:v>
      </x:c>
    </x:row>
    <x:row r="124">
      <x:c r="A124" s="53" t="str">
        <x:v>SCI-AGRI-10</x:v>
      </x:c>
      <x:c r="B124" s="53" t="str">
        <x:v>AGRI</x:v>
      </x:c>
      <x:c r="C124" s="53" t="str">
        <x:v>Сельское хозяйство, вода и пища</x:v>
      </x:c>
      <x:c r="D124" s="53" t="str">
        <x:v>Болезни растений и карантин</x:v>
      </x:c>
      <x:c r="E124" s="53" t="str">
        <x:v>Объяснить базовую модель, выполнить допустимую для класса риска проверку и документировать пределы по теме «Болезни растений и карантин».</x:v>
      </x:c>
      <x:c r="F124" s="53" t="str">
        <x:v>фото, изоляция, очистка инструмента и обращение к официальной службе</x:v>
      </x:c>
      <x:c r="G124" s="53" t="str">
        <x:v>урожай/вода/почва</x:v>
      </x:c>
      <x:c r="H124" s="53" t="str">
        <x:v>SI или явно названный стандарт</x:v>
      </x:c>
      <x:c r="I124" s="53" t="str">
        <x:v>S2_TRAINED_SUPERVISED</x:v>
      </x:c>
      <x:c r="J124" s="53" t="str">
        <x:v>Только после обучения и под компетентным надзором; бытовая самостоятельная импровизация запрещена.</x:v>
      </x:c>
      <x:c r="K124" s="53" t="str">
        <x:v>SCI-AGRI-09|SCI-METH-13</x:v>
      </x:c>
      <x:c r="L124" s="53" t="n">
        <x:v>1</x:v>
      </x:c>
      <x:c r="M124" s="53" t="n">
        <x:v>1</x:v>
      </x:c>
      <x:c r="N12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4" s="53" t="str">
        <x:v>FRAMEWORK_ONLY_NOT_TRAINED</x:v>
      </x:c>
      <x:c r="P124" s="53" t="str">
        <x:v>0.4</x:v>
      </x:c>
    </x:row>
    <x:row r="125">
      <x:c r="A125" s="26" t="str">
        <x:v>SCI-AGRI-11</x:v>
      </x:c>
      <x:c r="B125" s="26" t="str">
        <x:v>AGRI</x:v>
      </x:c>
      <x:c r="C125" s="26" t="str">
        <x:v>Сельское хозяйство, вода и пища</x:v>
      </x:c>
      <x:c r="D125" s="26" t="str">
        <x:v>Теплица, вентиляция и микроклимат</x:v>
      </x:c>
      <x:c r="E125" s="26" t="str">
        <x:v>Объяснить базовую модель, выполнить допустимую для класса риска проверку и документировать пределы по теме «Теплица, вентиляция и микроклимат».</x:v>
      </x:c>
      <x:c r="F125" s="26" t="str">
        <x:v>температура/влажность и безопасный режим вентиляции</x:v>
      </x:c>
      <x:c r="G125" s="26" t="str">
        <x:v>урожай/вода/почва</x:v>
      </x:c>
      <x:c r="H125" s="26" t="str">
        <x:v>SI или явно названный стандарт</x:v>
      </x:c>
      <x:c r="I125" s="26" t="str">
        <x:v>S1_LOW_RISK_HOUSEHOLD</x:v>
      </x:c>
      <x:c r="J12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25" s="26" t="str">
        <x:v>SCI-AGRI-10|SCI-METH-13</x:v>
      </x:c>
      <x:c r="L125" s="26" t="n">
        <x:v>1</x:v>
      </x:c>
      <x:c r="M125" s="26" t="n">
        <x:v>1</x:v>
      </x:c>
      <x:c r="N12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5" s="26" t="str">
        <x:v>FRAMEWORK_ONLY_NOT_TRAINED</x:v>
      </x:c>
      <x:c r="P125" s="26" t="str">
        <x:v>0.4</x:v>
      </x:c>
    </x:row>
    <x:row r="126">
      <x:c r="A126" s="53" t="str">
        <x:v>SCI-AGRI-12</x:v>
      </x:c>
      <x:c r="B126" s="53" t="str">
        <x:v>AGRI</x:v>
      </x:c>
      <x:c r="C126" s="53" t="str">
        <x:v>Сельское хозяйство, вода и пища</x:v>
      </x:c>
      <x:c r="D126" s="53" t="str">
        <x:v>Лес, агролесоводство и пожарный интерфейс</x:v>
      </x:c>
      <x:c r="E126" s="53" t="str">
        <x:v>Объяснить базовую модель, выполнить допустимую для класса риска проверку и документировать пределы по теме «Лес, агролесоводство и пожарный интерфейс».</x:v>
      </x:c>
      <x:c r="F126" s="53" t="str">
        <x:v>карта топлива и легальная профилактика без самостоятельного огня</x:v>
      </x:c>
      <x:c r="G126" s="53" t="str">
        <x:v>урожай/вода/почва</x:v>
      </x:c>
      <x:c r="H126" s="53" t="str">
        <x:v>SI или явно названный стандарт</x:v>
      </x:c>
      <x:c r="I126" s="53" t="str">
        <x:v>S2_TRAINED_SUPERVISED</x:v>
      </x:c>
      <x:c r="J126" s="53" t="str">
        <x:v>Только после обучения и под компетентным надзором; бытовая самостоятельная импровизация запрещена.</x:v>
      </x:c>
      <x:c r="K126" s="53" t="str">
        <x:v>SCI-AGRI-11|SCI-METH-13</x:v>
      </x:c>
      <x:c r="L126" s="53" t="n">
        <x:v>1</x:v>
      </x:c>
      <x:c r="M126" s="53" t="n">
        <x:v>1</x:v>
      </x:c>
      <x:c r="N12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6" s="53" t="str">
        <x:v>FRAMEWORK_ONLY_NOT_TRAINED</x:v>
      </x:c>
      <x:c r="P126" s="53" t="str">
        <x:v>0.4</x:v>
      </x:c>
    </x:row>
    <x:row r="127">
      <x:c r="A127" s="26" t="str">
        <x:v>SCI-AGRI-13</x:v>
      </x:c>
      <x:c r="B127" s="26" t="str">
        <x:v>AGRI</x:v>
      </x:c>
      <x:c r="C127" s="26" t="str">
        <x:v>Сельское хозяйство, вода и пища</x:v>
      </x:c>
      <x:c r="D127" s="26" t="str">
        <x:v>Содержание животных и welfare</x:v>
      </x:c>
      <x:c r="E127" s="26" t="str">
        <x:v>Объяснить базовую модель, выполнить допустимую для класса риска проверку и документировать пределы по теме «Содержание животных и welfare».</x:v>
      </x:c>
      <x:c r="F127" s="26" t="str">
        <x:v>вода, корм, поведение, укрытие и вызов ветеринара</x:v>
      </x:c>
      <x:c r="G127" s="26" t="str">
        <x:v>урожай/вода/почва</x:v>
      </x:c>
      <x:c r="H127" s="26" t="str">
        <x:v>SI или явно названный стандарт</x:v>
      </x:c>
      <x:c r="I127" s="26" t="str">
        <x:v>S2_TRAINED_SUPERVISED</x:v>
      </x:c>
      <x:c r="J127" s="26" t="str">
        <x:v>Только после обучения и под компетентным надзором; бытовая самостоятельная импровизация запрещена.</x:v>
      </x:c>
      <x:c r="K127" s="26" t="str">
        <x:v>SCI-AGRI-12|SCI-METH-13</x:v>
      </x:c>
      <x:c r="L127" s="26" t="n">
        <x:v>1</x:v>
      </x:c>
      <x:c r="M127" s="26" t="n">
        <x:v>1</x:v>
      </x:c>
      <x:c r="N12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7" s="26" t="str">
        <x:v>FRAMEWORK_ONLY_NOT_TRAINED</x:v>
      </x:c>
      <x:c r="P127" s="26" t="str">
        <x:v>0.4</x:v>
      </x:c>
    </x:row>
    <x:row r="128">
      <x:c r="A128" s="53" t="str">
        <x:v>SCI-AGRI-14</x:v>
      </x:c>
      <x:c r="B128" s="53" t="str">
        <x:v>AGRI</x:v>
      </x:c>
      <x:c r="C128" s="53" t="str">
        <x:v>Сельское хозяйство, вода и пища</x:v>
      </x:c>
      <x:c r="D128" s="53" t="str">
        <x:v>Пастбище, корм и хранение</x:v>
      </x:c>
      <x:c r="E128" s="53" t="str">
        <x:v>Объяснить базовую модель, выполнить допустимую для класса риска проверку и документировать пределы по теме «Пастбище, корм и хранение».</x:v>
      </x:c>
      <x:c r="F128" s="53" t="str">
        <x:v>инвентарный баланс и признаки порчи без кормления сомнительным материалом</x:v>
      </x:c>
      <x:c r="G128" s="53" t="str">
        <x:v>урожай/вода/почва</x:v>
      </x:c>
      <x:c r="H128" s="53" t="str">
        <x:v>SI или явно названный стандарт</x:v>
      </x:c>
      <x:c r="I128" s="53" t="str">
        <x:v>S1_LOW_RISK_HOUSEHOLD</x:v>
      </x:c>
      <x:c r="J12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28" s="53" t="str">
        <x:v>SCI-AGRI-13|SCI-METH-13</x:v>
      </x:c>
      <x:c r="L128" s="53" t="n">
        <x:v>1</x:v>
      </x:c>
      <x:c r="M128" s="53" t="n">
        <x:v>1</x:v>
      </x:c>
      <x:c r="N12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8" s="53" t="str">
        <x:v>FRAMEWORK_ONLY_NOT_TRAINED</x:v>
      </x:c>
      <x:c r="P128" s="53" t="str">
        <x:v>0.4</x:v>
      </x:c>
    </x:row>
    <x:row r="129">
      <x:c r="A129" s="26" t="str">
        <x:v>SCI-AGRI-15</x:v>
      </x:c>
      <x:c r="B129" s="26" t="str">
        <x:v>AGRI</x:v>
      </x:c>
      <x:c r="C129" s="26" t="str">
        <x:v>Сельское хозяйство, вода и пища</x:v>
      </x:c>
      <x:c r="D129" s="26" t="str">
        <x:v>Гигиена пищи, холодовая цепь и прослеживаемость</x:v>
      </x:c>
      <x:c r="E129" s="26" t="str">
        <x:v>Объяснить базовую модель, выполнить допустимую для класса риска проверку и документировать пределы по теме «Гигиена пищи, холодовая цепь и прослеживаемость».</x:v>
      </x:c>
      <x:c r="F129" s="26" t="str">
        <x:v>температурный журнал и lot trace</x:v>
      </x:c>
      <x:c r="G129" s="26" t="str">
        <x:v>урожай/вода/почва</x:v>
      </x:c>
      <x:c r="H129" s="26" t="str">
        <x:v>SI или явно названный стандарт</x:v>
      </x:c>
      <x:c r="I129" s="26" t="str">
        <x:v>S1_LOW_RISK_HOUSEHOLD</x:v>
      </x:c>
      <x:c r="J12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29" s="26" t="str">
        <x:v>SCI-AGRI-14|SCI-METH-13</x:v>
      </x:c>
      <x:c r="L129" s="26" t="n">
        <x:v>1</x:v>
      </x:c>
      <x:c r="M129" s="26" t="n">
        <x:v>1</x:v>
      </x:c>
      <x:c r="N12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29" s="26" t="str">
        <x:v>FRAMEWORK_ONLY_NOT_TRAINED</x:v>
      </x:c>
      <x:c r="P129" s="26" t="str">
        <x:v>0.4</x:v>
      </x:c>
    </x:row>
    <x:row r="130">
      <x:c r="A130" s="53" t="str">
        <x:v>SCI-AGRI-16</x:v>
      </x:c>
      <x:c r="B130" s="53" t="str">
        <x:v>AGRI</x:v>
      </x:c>
      <x:c r="C130" s="53" t="str">
        <x:v>Сельское хозяйство, вода и пища</x:v>
      </x:c>
      <x:c r="D130" s="53" t="str">
        <x:v>Консервирование только по валидированному процессу</x:v>
      </x:c>
      <x:c r="E130" s="53" t="str">
        <x:v>Объяснить базовую модель, выполнить допустимую для класса риска проверку и документировать пределы по теме «Консервирование только по валидированному процессу».</x:v>
      </x:c>
      <x:c r="F130" s="53" t="str">
        <x:v>следование официальному рецепту; низкокислотные продукты без валидированного pressure-canning запрещены</x:v>
      </x:c>
      <x:c r="G130" s="53" t="str">
        <x:v>урожай/вода/почва</x:v>
      </x:c>
      <x:c r="H130" s="53" t="str">
        <x:v>SI или явно названный стандарт</x:v>
      </x:c>
      <x:c r="I130" s="53" t="str">
        <x:v>S2_TRAINED_SUPERVISED</x:v>
      </x:c>
      <x:c r="J130" s="53" t="str">
        <x:v>Только после обучения и под компетентным надзором; бытовая самостоятельная импровизация запрещена.</x:v>
      </x:c>
      <x:c r="K130" s="53" t="str">
        <x:v>SCI-AGRI-15|SCI-METH-13</x:v>
      </x:c>
      <x:c r="L130" s="53" t="n">
        <x:v>1</x:v>
      </x:c>
      <x:c r="M130" s="53" t="n">
        <x:v>1</x:v>
      </x:c>
      <x:c r="N13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0" s="53" t="str">
        <x:v>FRAMEWORK_ONLY_NOT_TRAINED</x:v>
      </x:c>
      <x:c r="P130" s="53" t="str">
        <x:v>0.4</x:v>
      </x:c>
    </x:row>
    <x:row r="131">
      <x:c r="A131" s="26" t="str">
        <x:v>SCI-CIVIL-01</x:v>
      </x:c>
      <x:c r="B131" s="26" t="str">
        <x:v>CIVIL</x:v>
      </x:c>
      <x:c r="C131" s="26" t="str">
        <x:v>Строительство, вода и инфраструктура</x:v>
      </x:c>
      <x:c r="D131" s="26" t="str">
        <x:v>Съёмка, уровни, координаты и исполнительная схема</x:v>
      </x:c>
      <x:c r="E131" s="26" t="str">
        <x:v>Объяснить базовую модель, выполнить допустимую для класса риска проверку и документировать пределы по теме «Съёмка, уровни, координаты и исполнительная схема».</x:v>
      </x:c>
      <x:c r="F131" s="26" t="str">
        <x:v>замкнутый безопасный ход на участке</x:v>
      </x:c>
      <x:c r="G131" s="26" t="str">
        <x:v>размер/состояние/поток</x:v>
      </x:c>
      <x:c r="H131" s="26" t="str">
        <x:v>SI или явно названный стандарт</x:v>
      </x:c>
      <x:c r="I131" s="26" t="str">
        <x:v>S1_LOW_RISK_HOUSEHOLD</x:v>
      </x:c>
      <x:c r="J13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31" s="26" t="str">
        <x:v>SCI-METH-01|SCI-METH-07|SCI-METH-14</x:v>
      </x:c>
      <x:c r="L131" s="26" t="n">
        <x:v>1</x:v>
      </x:c>
      <x:c r="M131" s="26" t="n">
        <x:v>1</x:v>
      </x:c>
      <x:c r="N13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1" s="26" t="str">
        <x:v>FRAMEWORK_ONLY_NOT_TRAINED</x:v>
      </x:c>
      <x:c r="P131" s="26" t="str">
        <x:v>0.4</x:v>
      </x:c>
    </x:row>
    <x:row r="132">
      <x:c r="A132" s="53" t="str">
        <x:v>SCI-CIVIL-02</x:v>
      </x:c>
      <x:c r="B132" s="53" t="str">
        <x:v>CIVIL</x:v>
      </x:c>
      <x:c r="C132" s="53" t="str">
        <x:v>Строительство, вода и инфраструктура</x:v>
      </x:c>
      <x:c r="D132" s="53" t="str">
        <x:v>Технический чертёж, размеры и допуски</x:v>
      </x:c>
      <x:c r="E132" s="53" t="str">
        <x:v>Объяснить базовую модель, выполнить допустимую для класса риска проверку и документировать пределы по теме «Технический чертёж, размеры и допуски».</x:v>
      </x:c>
      <x:c r="F132" s="53" t="str">
        <x:v>чертёж существующей безопасной детали</x:v>
      </x:c>
      <x:c r="G132" s="53" t="str">
        <x:v>размер/состояние/поток</x:v>
      </x:c>
      <x:c r="H132" s="53" t="str">
        <x:v>SI или явно названный стандарт</x:v>
      </x:c>
      <x:c r="I132" s="53" t="str">
        <x:v>S1_LOW_RISK_HOUSEHOLD</x:v>
      </x:c>
      <x:c r="J132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32" s="53" t="str">
        <x:v>SCI-CIVIL-01|SCI-METH-13</x:v>
      </x:c>
      <x:c r="L132" s="53" t="n">
        <x:v>1</x:v>
      </x:c>
      <x:c r="M132" s="53" t="n">
        <x:v>1</x:v>
      </x:c>
      <x:c r="N13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2" s="53" t="str">
        <x:v>FRAMEWORK_ONLY_NOT_TRAINED</x:v>
      </x:c>
      <x:c r="P132" s="53" t="str">
        <x:v>0.4</x:v>
      </x:c>
    </x:row>
    <x:row r="133">
      <x:c r="A133" s="26" t="str">
        <x:v>SCI-CIVIL-03</x:v>
      </x:c>
      <x:c r="B133" s="26" t="str">
        <x:v>CIVIL</x:v>
      </x:c>
      <x:c r="C133" s="26" t="str">
        <x:v>Строительство, вода и инфраструктура</x:v>
      </x:c>
      <x:c r="D133" s="26" t="str">
        <x:v>Строительная физика: тепло, воздух и влага</x:v>
      </x:c>
      <x:c r="E133" s="26" t="str">
        <x:v>Объяснить базовую модель, выполнить допустимую для класса риска проверку и документировать пределы по теме «Строительная физика: тепло, воздух и влага».</x:v>
      </x:c>
      <x:c r="F133" s="26" t="str">
        <x:v>наблюдательный температурно-влажностный профиль</x:v>
      </x:c>
      <x:c r="G133" s="26" t="str">
        <x:v>размер/состояние/поток</x:v>
      </x:c>
      <x:c r="H133" s="26" t="str">
        <x:v>SI или явно названный стандарт</x:v>
      </x:c>
      <x:c r="I133" s="26" t="str">
        <x:v>S1_LOW_RISK_HOUSEHOLD</x:v>
      </x:c>
      <x:c r="J133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33" s="26" t="str">
        <x:v>SCI-CIVIL-02|SCI-METH-13</x:v>
      </x:c>
      <x:c r="L133" s="26" t="n">
        <x:v>1</x:v>
      </x:c>
      <x:c r="M133" s="26" t="n">
        <x:v>1</x:v>
      </x:c>
      <x:c r="N13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3" s="26" t="str">
        <x:v>FRAMEWORK_ONLY_NOT_TRAINED</x:v>
      </x:c>
      <x:c r="P133" s="26" t="str">
        <x:v>0.4</x:v>
      </x:c>
    </x:row>
    <x:row r="134">
      <x:c r="A134" s="53" t="str">
        <x:v>SCI-CIVIL-04</x:v>
      </x:c>
      <x:c r="B134" s="53" t="str">
        <x:v>CIVIL</x:v>
      </x:c>
      <x:c r="C134" s="53" t="str">
        <x:v>Строительство, вода и инфраструктура</x:v>
      </x:c>
      <x:c r="D134" s="53" t="str">
        <x:v>Конденсация, сырость и плесень</x:v>
      </x:c>
      <x:c r="E134" s="53" t="str">
        <x:v>Объяснить базовую модель, выполнить допустимую для класса риска проверку и документировать пределы по теме «Конденсация, сырость и плесень».</x:v>
      </x:c>
      <x:c r="F134" s="53" t="str">
        <x:v>неинвазивная карта условий; опасное/обширное поражение — специалист</x:v>
      </x:c>
      <x:c r="G134" s="53" t="str">
        <x:v>размер/состояние/поток</x:v>
      </x:c>
      <x:c r="H134" s="53" t="str">
        <x:v>SI или явно названный стандарт</x:v>
      </x:c>
      <x:c r="I134" s="53" t="str">
        <x:v>S1_LOW_RISK_HOUSEHOLD</x:v>
      </x:c>
      <x:c r="J134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34" s="53" t="str">
        <x:v>SCI-CIVIL-03|SCI-METH-13</x:v>
      </x:c>
      <x:c r="L134" s="53" t="n">
        <x:v>1</x:v>
      </x:c>
      <x:c r="M134" s="53" t="n">
        <x:v>1</x:v>
      </x:c>
      <x:c r="N13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4" s="53" t="str">
        <x:v>FRAMEWORK_ONLY_NOT_TRAINED</x:v>
      </x:c>
      <x:c r="P134" s="53" t="str">
        <x:v>0.4</x:v>
      </x:c>
    </x:row>
    <x:row r="135">
      <x:c r="A135" s="26" t="str">
        <x:v>SCI-CIVIL-05</x:v>
      </x:c>
      <x:c r="B135" s="26" t="str">
        <x:v>CIVIL</x:v>
      </x:c>
      <x:c r="C135" s="26" t="str">
        <x:v>Строительство, вода и инфраструктура</x:v>
      </x:c>
      <x:c r="D135" s="26" t="str">
        <x:v>Нагрузки, путь передачи сил и устойчивость</x:v>
      </x:c>
      <x:c r="E135" s="26" t="str">
        <x:v>Объяснить базовую модель, выполнить допустимую для класса риска проверку и документировать пределы по теме «Нагрузки, путь передачи сил и устойчивость».</x:v>
      </x:c>
      <x:c r="F135" s="26" t="str">
        <x:v>анализ схемы; изменение несущих конструкций запрещено</x:v>
      </x:c>
      <x:c r="G135" s="26" t="str">
        <x:v>размер/состояние/поток</x:v>
      </x:c>
      <x:c r="H135" s="26" t="str">
        <x:v>SI или явно названный стандарт</x:v>
      </x:c>
      <x:c r="I135" s="26" t="str">
        <x:v>S3_LICENSED_PROFESSIONAL</x:v>
      </x:c>
      <x:c r="J135" s="26" t="str">
        <x:v>Только квалифицированный/лицензированный специалист в подходящей среде и по действующим нормам.</x:v>
      </x:c>
      <x:c r="K135" s="26" t="str">
        <x:v>SCI-CIVIL-04|SCI-METH-13</x:v>
      </x:c>
      <x:c r="L135" s="26" t="n">
        <x:v>1</x:v>
      </x:c>
      <x:c r="M135" s="26" t="n">
        <x:v>1</x:v>
      </x:c>
      <x:c r="N13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5" s="26" t="str">
        <x:v>FRAMEWORK_ONLY_NOT_TRAINED</x:v>
      </x:c>
      <x:c r="P135" s="26" t="str">
        <x:v>0.4</x:v>
      </x:c>
    </x:row>
    <x:row r="136">
      <x:c r="A136" s="53" t="str">
        <x:v>SCI-CIVIL-06</x:v>
      </x:c>
      <x:c r="B136" s="53" t="str">
        <x:v>CIVIL</x:v>
      </x:c>
      <x:c r="C136" s="53" t="str">
        <x:v>Строительство, вода и инфраструктура</x:v>
      </x:c>
      <x:c r="D136" s="53" t="str">
        <x:v>Грунты, фундаменты и склоновые риски</x:v>
      </x:c>
      <x:c r="E136" s="53" t="str">
        <x:v>Объяснить базовую модель, выполнить допустимую для класса риска проверку и документировать пределы по теме «Грунты, фундаменты и склоновые риски».</x:v>
      </x:c>
      <x:c r="F136" s="53" t="str">
        <x:v>чтение инженерного отчёта; раскопки/укрепления — специалист</x:v>
      </x:c>
      <x:c r="G136" s="53" t="str">
        <x:v>размер/состояние/поток</x:v>
      </x:c>
      <x:c r="H136" s="53" t="str">
        <x:v>SI или явно названный стандарт</x:v>
      </x:c>
      <x:c r="I136" s="53" t="str">
        <x:v>S3_LICENSED_PROFESSIONAL</x:v>
      </x:c>
      <x:c r="J136" s="53" t="str">
        <x:v>Только квалифицированный/лицензированный специалист в подходящей среде и по действующим нормам.</x:v>
      </x:c>
      <x:c r="K136" s="53" t="str">
        <x:v>SCI-CIVIL-05|SCI-METH-13</x:v>
      </x:c>
      <x:c r="L136" s="53" t="n">
        <x:v>1</x:v>
      </x:c>
      <x:c r="M136" s="53" t="n">
        <x:v>1</x:v>
      </x:c>
      <x:c r="N13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6" s="53" t="str">
        <x:v>FRAMEWORK_ONLY_NOT_TRAINED</x:v>
      </x:c>
      <x:c r="P136" s="53" t="str">
        <x:v>0.4</x:v>
      </x:c>
    </x:row>
    <x:row r="137">
      <x:c r="A137" s="26" t="str">
        <x:v>SCI-CIVIL-07</x:v>
      </x:c>
      <x:c r="B137" s="26" t="str">
        <x:v>CIVIL</x:v>
      </x:c>
      <x:c r="C137" s="26" t="str">
        <x:v>Строительство, вода и инфраструктура</x:v>
      </x:c>
      <x:c r="D137" s="26" t="str">
        <x:v>Водоснабжение, давление и защита от обратного тока</x:v>
      </x:c>
      <x:c r="E137" s="26" t="str">
        <x:v>Объяснить базовую модель, выполнить допустимую для класса риска проверку и документировать пределы по теме «Водоснабжение, давление и защита от обратного тока».</x:v>
      </x:c>
      <x:c r="F137" s="26" t="str">
        <x:v>схема и визуальный аудит; изменение сети — по закону</x:v>
      </x:c>
      <x:c r="G137" s="26" t="str">
        <x:v>размер/состояние/поток</x:v>
      </x:c>
      <x:c r="H137" s="26" t="str">
        <x:v>SI или явно названный стандарт</x:v>
      </x:c>
      <x:c r="I137" s="26" t="str">
        <x:v>S3_LICENSED_PROFESSIONAL</x:v>
      </x:c>
      <x:c r="J137" s="26" t="str">
        <x:v>Только квалифицированный/лицензированный специалист в подходящей среде и по действующим нормам.</x:v>
      </x:c>
      <x:c r="K137" s="26" t="str">
        <x:v>SCI-CIVIL-06|SCI-METH-13</x:v>
      </x:c>
      <x:c r="L137" s="26" t="n">
        <x:v>1</x:v>
      </x:c>
      <x:c r="M137" s="26" t="n">
        <x:v>1</x:v>
      </x:c>
      <x:c r="N13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7" s="26" t="str">
        <x:v>FRAMEWORK_ONLY_NOT_TRAINED</x:v>
      </x:c>
      <x:c r="P137" s="26" t="str">
        <x:v>0.4</x:v>
      </x:c>
    </x:row>
    <x:row r="138">
      <x:c r="A138" s="53" t="str">
        <x:v>SCI-CIVIL-08</x:v>
      </x:c>
      <x:c r="B138" s="53" t="str">
        <x:v>CIVIL</x:v>
      </x:c>
      <x:c r="C138" s="53" t="str">
        <x:v>Строительство, вода и инфраструктура</x:v>
      </x:c>
      <x:c r="D138" s="53" t="str">
        <x:v>Санитария, туалеты и безопасное разделение потоков</x:v>
      </x:c>
      <x:c r="E138" s="53" t="str">
        <x:v>Объяснить базовую модель, выполнить допустимую для класса риска проверку и документировать пределы по теме «Санитария, туалеты и безопасное разделение потоков».</x:v>
      </x:c>
      <x:c r="F138" s="53" t="str">
        <x:v>план потоков и санитарный аудит</x:v>
      </x:c>
      <x:c r="G138" s="53" t="str">
        <x:v>размер/состояние/поток</x:v>
      </x:c>
      <x:c r="H138" s="53" t="str">
        <x:v>SI или явно названный стандарт</x:v>
      </x:c>
      <x:c r="I138" s="53" t="str">
        <x:v>S2_TRAINED_SUPERVISED</x:v>
      </x:c>
      <x:c r="J138" s="53" t="str">
        <x:v>Только после обучения и под компетентным надзором; бытовая самостоятельная импровизация запрещена.</x:v>
      </x:c>
      <x:c r="K138" s="53" t="str">
        <x:v>SCI-CIVIL-07|SCI-METH-13</x:v>
      </x:c>
      <x:c r="L138" s="53" t="n">
        <x:v>1</x:v>
      </x:c>
      <x:c r="M138" s="53" t="n">
        <x:v>1</x:v>
      </x:c>
      <x:c r="N13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8" s="53" t="str">
        <x:v>FRAMEWORK_ONLY_NOT_TRAINED</x:v>
      </x:c>
      <x:c r="P138" s="53" t="str">
        <x:v>0.4</x:v>
      </x:c>
    </x:row>
    <x:row r="139">
      <x:c r="A139" s="26" t="str">
        <x:v>SCI-CIVIL-09</x:v>
      </x:c>
      <x:c r="B139" s="26" t="str">
        <x:v>CIVIL</x:v>
      </x:c>
      <x:c r="C139" s="26" t="str">
        <x:v>Строительство, вода и инфраструктура</x:v>
      </x:c>
      <x:c r="D139" s="26" t="str">
        <x:v>Сточные воды и очистка</x:v>
      </x:c>
      <x:c r="E139" s="26" t="str">
        <x:v>Объяснить базовую модель, выполнить допустимую для класса риска проверку и документировать пределы по теме «Сточные воды и очистка».</x:v>
      </x:c>
      <x:c r="F139" s="26" t="str">
        <x:v>только схема/контроль; вход в колодцы и контакт со стоками запрещены</x:v>
      </x:c>
      <x:c r="G139" s="26" t="str">
        <x:v>размер/состояние/поток</x:v>
      </x:c>
      <x:c r="H139" s="26" t="str">
        <x:v>SI или явно названный стандарт</x:v>
      </x:c>
      <x:c r="I139" s="26" t="str">
        <x:v>S4_REFERENCE_ONLY_PROHIBITED_HOUSEHOLD</x:v>
      </x:c>
      <x:c r="J139" s="26" t="str">
        <x:v>Только справочное знание и распознавание опасности; бытовое выполнение запрещено.</x:v>
      </x:c>
      <x:c r="K139" s="26" t="str">
        <x:v>SCI-CIVIL-08|SCI-METH-13</x:v>
      </x:c>
      <x:c r="L139" s="26" t="n">
        <x:v>1</x:v>
      </x:c>
      <x:c r="M139" s="26" t="n">
        <x:v>1</x:v>
      </x:c>
      <x:c r="N13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39" s="26" t="str">
        <x:v>FRAMEWORK_ONLY_NOT_TRAINED</x:v>
      </x:c>
      <x:c r="P139" s="26" t="str">
        <x:v>0.4</x:v>
      </x:c>
    </x:row>
    <x:row r="140">
      <x:c r="A140" s="53" t="str">
        <x:v>SCI-CIVIL-10</x:v>
      </x:c>
      <x:c r="B140" s="53" t="str">
        <x:v>CIVIL</x:v>
      </x:c>
      <x:c r="C140" s="53" t="str">
        <x:v>Строительство, вода и инфраструктура</x:v>
      </x:c>
      <x:c r="D140" s="53" t="str">
        <x:v>Дренаж, ливневый сток и паводковая устойчивость</x:v>
      </x:c>
      <x:c r="E140" s="53" t="str">
        <x:v>Объяснить базовую модель, выполнить допустимую для класса риска проверку и документировать пределы по теме «Дренаж, ливневый сток и паводковая устойчивость».</x:v>
      </x:c>
      <x:c r="F140" s="53" t="str">
        <x:v>наблюдение безопасного дождя и карта путей воды</x:v>
      </x:c>
      <x:c r="G140" s="53" t="str">
        <x:v>размер/состояние/поток</x:v>
      </x:c>
      <x:c r="H140" s="53" t="str">
        <x:v>SI или явно названный стандарт</x:v>
      </x:c>
      <x:c r="I140" s="53" t="str">
        <x:v>S2_TRAINED_SUPERVISED</x:v>
      </x:c>
      <x:c r="J140" s="53" t="str">
        <x:v>Только после обучения и под компетентным надзором; бытовая самостоятельная импровизация запрещена.</x:v>
      </x:c>
      <x:c r="K140" s="53" t="str">
        <x:v>SCI-CIVIL-09|SCI-METH-13</x:v>
      </x:c>
      <x:c r="L140" s="53" t="n">
        <x:v>1</x:v>
      </x:c>
      <x:c r="M140" s="53" t="n">
        <x:v>1</x:v>
      </x:c>
      <x:c r="N14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0" s="53" t="str">
        <x:v>FRAMEWORK_ONLY_NOT_TRAINED</x:v>
      </x:c>
      <x:c r="P140" s="53" t="str">
        <x:v>0.4</x:v>
      </x:c>
    </x:row>
    <x:row r="141">
      <x:c r="A141" s="26" t="str">
        <x:v>SCI-CIVIL-11</x:v>
      </x:c>
      <x:c r="B141" s="26" t="str">
        <x:v>CIVIL</x:v>
      </x:c>
      <x:c r="C141" s="26" t="str">
        <x:v>Строительство, вода и инфраструктура</x:v>
      </x:c>
      <x:c r="D141" s="26" t="str">
        <x:v>Пожарная безопасность, эвакуация и compartmentation</x:v>
      </x:c>
      <x:c r="E141" s="26" t="str">
        <x:v>Объяснить базовую модель, выполнить допустимую для класса риска проверку и документировать пределы по теме «Пожарная безопасность, эвакуация и compartmentation».</x:v>
      </x:c>
      <x:c r="F141" s="26" t="str">
        <x:v>аудит выхода/детектора; испытания огнём запрещены</x:v>
      </x:c>
      <x:c r="G141" s="26" t="str">
        <x:v>размер/состояние/поток</x:v>
      </x:c>
      <x:c r="H141" s="26" t="str">
        <x:v>SI или явно названный стандарт</x:v>
      </x:c>
      <x:c r="I141" s="26" t="str">
        <x:v>S2_TRAINED_SUPERVISED</x:v>
      </x:c>
      <x:c r="J141" s="26" t="str">
        <x:v>Только после обучения и под компетентным надзором; бытовая самостоятельная импровизация запрещена.</x:v>
      </x:c>
      <x:c r="K141" s="26" t="str">
        <x:v>SCI-CIVIL-10|SCI-METH-13</x:v>
      </x:c>
      <x:c r="L141" s="26" t="n">
        <x:v>1</x:v>
      </x:c>
      <x:c r="M141" s="26" t="n">
        <x:v>1</x:v>
      </x:c>
      <x:c r="N14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1" s="26" t="str">
        <x:v>FRAMEWORK_ONLY_NOT_TRAINED</x:v>
      </x:c>
      <x:c r="P141" s="26" t="str">
        <x:v>0.4</x:v>
      </x:c>
    </x:row>
    <x:row r="142">
      <x:c r="A142" s="53" t="str">
        <x:v>SCI-CIVIL-12</x:v>
      </x:c>
      <x:c r="B142" s="53" t="str">
        <x:v>CIVIL</x:v>
      </x:c>
      <x:c r="C142" s="53" t="str">
        <x:v>Строительство, вода и инфраструктура</x:v>
      </x:c>
      <x:c r="D142" s="53" t="str">
        <x:v>Вентиляция, отопление и качество воздуха</x:v>
      </x:c>
      <x:c r="E142" s="53" t="str">
        <x:v>Объяснить базовую модель, выполнить допустимую для класса риска проверку и документировать пределы по теме «Вентиляция, отопление и качество воздуха».</x:v>
      </x:c>
      <x:c r="F142" s="53" t="str">
        <x:v>измерительный аудит без вмешательства в газ/дымоход</x:v>
      </x:c>
      <x:c r="G142" s="53" t="str">
        <x:v>размер/состояние/поток</x:v>
      </x:c>
      <x:c r="H142" s="53" t="str">
        <x:v>SI или явно названный стандарт</x:v>
      </x:c>
      <x:c r="I142" s="53" t="str">
        <x:v>S2_TRAINED_SUPERVISED</x:v>
      </x:c>
      <x:c r="J142" s="53" t="str">
        <x:v>Только после обучения и под компетентным надзором; бытовая самостоятельная импровизация запрещена.</x:v>
      </x:c>
      <x:c r="K142" s="53" t="str">
        <x:v>SCI-CIVIL-11|SCI-METH-13</x:v>
      </x:c>
      <x:c r="L142" s="53" t="n">
        <x:v>1</x:v>
      </x:c>
      <x:c r="M142" s="53" t="n">
        <x:v>1</x:v>
      </x:c>
      <x:c r="N14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2" s="53" t="str">
        <x:v>FRAMEWORK_ONLY_NOT_TRAINED</x:v>
      </x:c>
      <x:c r="P142" s="53" t="str">
        <x:v>0.4</x:v>
      </x:c>
    </x:row>
    <x:row r="143">
      <x:c r="A143" s="26" t="str">
        <x:v>SCI-CIVIL-13</x:v>
      </x:c>
      <x:c r="B143" s="26" t="str">
        <x:v>CIVIL</x:v>
      </x:c>
      <x:c r="C143" s="26" t="str">
        <x:v>Строительство, вода и инфраструктура</x:v>
      </x:c>
      <x:c r="D143" s="26" t="str">
        <x:v>Сантехника, арматура и обнаружение утечек</x:v>
      </x:c>
      <x:c r="E143" s="26" t="str">
        <x:v>Объяснить базовую модель, выполнить допустимую для класса риска проверку и документировать пределы по теме «Сантехника, арматура и обнаружение утечек».</x:v>
      </x:c>
      <x:c r="F143" s="26" t="str">
        <x:v>безопасная визуальная проверка и изоляция по инструкции</x:v>
      </x:c>
      <x:c r="G143" s="26" t="str">
        <x:v>размер/состояние/поток</x:v>
      </x:c>
      <x:c r="H143" s="26" t="str">
        <x:v>SI или явно названный стандарт</x:v>
      </x:c>
      <x:c r="I143" s="26" t="str">
        <x:v>S2_TRAINED_SUPERVISED</x:v>
      </x:c>
      <x:c r="J143" s="26" t="str">
        <x:v>Только после обучения и под компетентным надзором; бытовая самостоятельная импровизация запрещена.</x:v>
      </x:c>
      <x:c r="K143" s="26" t="str">
        <x:v>SCI-CIVIL-12|SCI-METH-13</x:v>
      </x:c>
      <x:c r="L143" s="26" t="n">
        <x:v>1</x:v>
      </x:c>
      <x:c r="M143" s="26" t="n">
        <x:v>1</x:v>
      </x:c>
      <x:c r="N14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3" s="26" t="str">
        <x:v>FRAMEWORK_ONLY_NOT_TRAINED</x:v>
      </x:c>
      <x:c r="P143" s="26" t="str">
        <x:v>0.4</x:v>
      </x:c>
    </x:row>
    <x:row r="144">
      <x:c r="A144" s="53" t="str">
        <x:v>SCI-CIVIL-14</x:v>
      </x:c>
      <x:c r="B144" s="53" t="str">
        <x:v>CIVIL</x:v>
      </x:c>
      <x:c r="C144" s="53" t="str">
        <x:v>Строительство, вода и инфраструктура</x:v>
      </x:c>
      <x:c r="D144" s="53" t="str">
        <x:v>Дороги, мосты и транспортные сооружения</x:v>
      </x:c>
      <x:c r="E144" s="53" t="str">
        <x:v>Объяснить базовую модель, выполнить допустимую для класса риска проверку и документировать пределы по теме «Дороги, мосты и транспортные сооружения».</x:v>
      </x:c>
      <x:c r="F144" s="53" t="str">
        <x:v>визуальное распознавание дефекта без заключения о безопасности</x:v>
      </x:c>
      <x:c r="G144" s="53" t="str">
        <x:v>размер/состояние/поток</x:v>
      </x:c>
      <x:c r="H144" s="53" t="str">
        <x:v>SI или явно названный стандарт</x:v>
      </x:c>
      <x:c r="I144" s="53" t="str">
        <x:v>S3_LICENSED_PROFESSIONAL</x:v>
      </x:c>
      <x:c r="J144" s="53" t="str">
        <x:v>Только квалифицированный/лицензированный специалист в подходящей среде и по действующим нормам.</x:v>
      </x:c>
      <x:c r="K144" s="53" t="str">
        <x:v>SCI-CIVIL-13|SCI-METH-13</x:v>
      </x:c>
      <x:c r="L144" s="53" t="n">
        <x:v>1</x:v>
      </x:c>
      <x:c r="M144" s="53" t="n">
        <x:v>1</x:v>
      </x:c>
      <x:c r="N14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4" s="53" t="str">
        <x:v>FRAMEWORK_ONLY_NOT_TRAINED</x:v>
      </x:c>
      <x:c r="P144" s="53" t="str">
        <x:v>0.4</x:v>
      </x:c>
    </x:row>
    <x:row r="145">
      <x:c r="A145" s="26" t="str">
        <x:v>SCI-CIVIL-15</x:v>
      </x:c>
      <x:c r="B145" s="26" t="str">
        <x:v>CIVIL</x:v>
      </x:c>
      <x:c r="C145" s="26" t="str">
        <x:v>Строительство, вода и инфраструктура</x:v>
      </x:c>
      <x:c r="D145" s="26" t="str">
        <x:v>Строительные материалы и неразрушающий контроль</x:v>
      </x:c>
      <x:c r="E145" s="26" t="str">
        <x:v>Объяснить базовую модель, выполнить допустимую для класса риска проверку и документировать пределы по теме «Строительные материалы и неразрушающий контроль».</x:v>
      </x:c>
      <x:c r="F145" s="26" t="str">
        <x:v>документированный осмотр без разрушительного испытания</x:v>
      </x:c>
      <x:c r="G145" s="26" t="str">
        <x:v>размер/состояние/поток</x:v>
      </x:c>
      <x:c r="H145" s="26" t="str">
        <x:v>SI или явно названный стандарт</x:v>
      </x:c>
      <x:c r="I145" s="26" t="str">
        <x:v>S2_TRAINED_SUPERVISED</x:v>
      </x:c>
      <x:c r="J145" s="26" t="str">
        <x:v>Только после обучения и под компетентным надзором; бытовая самостоятельная импровизация запрещена.</x:v>
      </x:c>
      <x:c r="K145" s="26" t="str">
        <x:v>SCI-CIVIL-14|SCI-METH-13</x:v>
      </x:c>
      <x:c r="L145" s="26" t="n">
        <x:v>1</x:v>
      </x:c>
      <x:c r="M145" s="26" t="n">
        <x:v>1</x:v>
      </x:c>
      <x:c r="N14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5" s="26" t="str">
        <x:v>FRAMEWORK_ONLY_NOT_TRAINED</x:v>
      </x:c>
      <x:c r="P145" s="26" t="str">
        <x:v>0.4</x:v>
      </x:c>
    </x:row>
    <x:row r="146">
      <x:c r="A146" s="53" t="str">
        <x:v>SCI-CIVIL-16</x:v>
      </x:c>
      <x:c r="B146" s="53" t="str">
        <x:v>CIVIL</x:v>
      </x:c>
      <x:c r="C146" s="53" t="str">
        <x:v>Строительство, вода и инфраструктура</x:v>
      </x:c>
      <x:c r="D146" s="53" t="str">
        <x:v>Плановое обслуживание и журнал здания</x:v>
      </x:c>
      <x:c r="E146" s="53" t="str">
        <x:v>Объяснить базовую модель, выполнить допустимую для класса риска проверку и документировать пределы по теме «Плановое обслуживание и журнал здания».</x:v>
      </x:c>
      <x:c r="F146" s="53" t="str">
        <x:v>паспорт узла, интервал, дефект и эскалация</x:v>
      </x:c>
      <x:c r="G146" s="53" t="str">
        <x:v>размер/состояние/поток</x:v>
      </x:c>
      <x:c r="H146" s="53" t="str">
        <x:v>SI или явно названный стандарт</x:v>
      </x:c>
      <x:c r="I146" s="53" t="str">
        <x:v>S1_LOW_RISK_HOUSEHOLD</x:v>
      </x:c>
      <x:c r="J14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46" s="53" t="str">
        <x:v>SCI-CIVIL-15|SCI-METH-13</x:v>
      </x:c>
      <x:c r="L146" s="53" t="n">
        <x:v>1</x:v>
      </x:c>
      <x:c r="M146" s="53" t="n">
        <x:v>1</x:v>
      </x:c>
      <x:c r="N14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6" s="53" t="str">
        <x:v>FRAMEWORK_ONLY_NOT_TRAINED</x:v>
      </x:c>
      <x:c r="P146" s="53" t="str">
        <x:v>0.4</x:v>
      </x:c>
    </x:row>
    <x:row r="147">
      <x:c r="A147" s="26" t="str">
        <x:v>SCI-MECH-01</x:v>
      </x:c>
      <x:c r="B147" s="26" t="str">
        <x:v>MECH</x:v>
      </x:c>
      <x:c r="C147" s="26" t="str">
        <x:v>Механика, производство и ремонт</x:v>
      </x:c>
      <x:c r="D147" s="26" t="str">
        <x:v>Ручной инструмент, подбор и безопасная работа</x:v>
      </x:c>
      <x:c r="E147" s="26" t="str">
        <x:v>Объяснить базовую модель, выполнить допустимую для класса риска проверку и документировать пределы по теме «Ручной инструмент, подбор и безопасная работа».</x:v>
      </x:c>
      <x:c r="F147" s="26" t="str">
        <x:v>предпусковой осмотр и низкорисковая учебная операция</x:v>
      </x:c>
      <x:c r="G147" s="26" t="str">
        <x:v>размер/сила/состояние</x:v>
      </x:c>
      <x:c r="H147" s="26" t="str">
        <x:v>SI или явно названный стандарт</x:v>
      </x:c>
      <x:c r="I147" s="26" t="str">
        <x:v>S1_LOW_RISK_HOUSEHOLD</x:v>
      </x:c>
      <x:c r="J14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47" s="26" t="str">
        <x:v>SCI-METH-01|SCI-METH-07|SCI-METH-14</x:v>
      </x:c>
      <x:c r="L147" s="26" t="n">
        <x:v>1</x:v>
      </x:c>
      <x:c r="M147" s="26" t="n">
        <x:v>1</x:v>
      </x:c>
      <x:c r="N14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7" s="26" t="str">
        <x:v>FRAMEWORK_ONLY_NOT_TRAINED</x:v>
      </x:c>
      <x:c r="P147" s="26" t="str">
        <x:v>0.4</x:v>
      </x:c>
    </x:row>
    <x:row r="148">
      <x:c r="A148" s="53" t="str">
        <x:v>SCI-MECH-02</x:v>
      </x:c>
      <x:c r="B148" s="53" t="str">
        <x:v>MECH</x:v>
      </x:c>
      <x:c r="C148" s="53" t="str">
        <x:v>Механика, производство и ремонт</x:v>
      </x:c>
      <x:c r="D148" s="53" t="str">
        <x:v>Линейные/угловые измерения и допуски</x:v>
      </x:c>
      <x:c r="E148" s="53" t="str">
        <x:v>Объяснить базовую модель, выполнить допустимую для класса риска проверку и документировать пределы по теме «Линейные/угловые измерения и допуски».</x:v>
      </x:c>
      <x:c r="F148" s="53" t="str">
        <x:v>три повтора штангенциркулем/линейкой на безопасной детали</x:v>
      </x:c>
      <x:c r="G148" s="53" t="str">
        <x:v>размер/сила/состояние</x:v>
      </x:c>
      <x:c r="H148" s="53" t="str">
        <x:v>SI или явно названный стандарт</x:v>
      </x:c>
      <x:c r="I148" s="53" t="str">
        <x:v>S1_LOW_RISK_HOUSEHOLD</x:v>
      </x:c>
      <x:c r="J14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48" s="53" t="str">
        <x:v>SCI-MECH-01|SCI-METH-13</x:v>
      </x:c>
      <x:c r="L148" s="53" t="n">
        <x:v>1</x:v>
      </x:c>
      <x:c r="M148" s="53" t="n">
        <x:v>1</x:v>
      </x:c>
      <x:c r="N14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8" s="53" t="str">
        <x:v>FRAMEWORK_ONLY_NOT_TRAINED</x:v>
      </x:c>
      <x:c r="P148" s="53" t="str">
        <x:v>0.4</x:v>
      </x:c>
    </x:row>
    <x:row r="149">
      <x:c r="A149" s="26" t="str">
        <x:v>SCI-MECH-03</x:v>
      </x:c>
      <x:c r="B149" s="26" t="str">
        <x:v>MECH</x:v>
      </x:c>
      <x:c r="C149" s="26" t="str">
        <x:v>Механика, производство и ремонт</x:v>
      </x:c>
      <x:c r="D149" s="26" t="str">
        <x:v>Резьба, крепёж, момент и фиксация</x:v>
      </x:c>
      <x:c r="E149" s="26" t="str">
        <x:v>Объяснить базовую модель, выполнить допустимую для класса риска проверку и документировать пределы по теме «Резьба, крепёж, момент и фиксация».</x:v>
      </x:c>
      <x:c r="F149" s="26" t="str">
        <x:v>идентификация и сборка учебного соединения по спецификации</x:v>
      </x:c>
      <x:c r="G149" s="26" t="str">
        <x:v>размер/сила/состояние</x:v>
      </x:c>
      <x:c r="H149" s="26" t="str">
        <x:v>SI или явно названный стандарт</x:v>
      </x:c>
      <x:c r="I149" s="26" t="str">
        <x:v>S2_TRAINED_SUPERVISED</x:v>
      </x:c>
      <x:c r="J149" s="26" t="str">
        <x:v>Только после обучения и под компетентным надзором; бытовая самостоятельная импровизация запрещена.</x:v>
      </x:c>
      <x:c r="K149" s="26" t="str">
        <x:v>SCI-MECH-02|SCI-METH-13</x:v>
      </x:c>
      <x:c r="L149" s="26" t="n">
        <x:v>1</x:v>
      </x:c>
      <x:c r="M149" s="26" t="n">
        <x:v>1</x:v>
      </x:c>
      <x:c r="N14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49" s="26" t="str">
        <x:v>FRAMEWORK_ONLY_NOT_TRAINED</x:v>
      </x:c>
      <x:c r="P149" s="26" t="str">
        <x:v>0.4</x:v>
      </x:c>
    </x:row>
    <x:row r="150">
      <x:c r="A150" s="53" t="str">
        <x:v>SCI-MECH-04</x:v>
      </x:c>
      <x:c r="B150" s="53" t="str">
        <x:v>MECH</x:v>
      </x:c>
      <x:c r="C150" s="53" t="str">
        <x:v>Механика, производство и ремонт</x:v>
      </x:c>
      <x:c r="D150" s="53" t="str">
        <x:v>Механизмы, рычаги, передачи и кинематика</x:v>
      </x:c>
      <x:c r="E150" s="53" t="str">
        <x:v>Объяснить базовую модель, выполнить допустимую для класса риска проверку и документировать пределы по теме «Механизмы, рычаги, передачи и кинематика».</x:v>
      </x:c>
      <x:c r="F150" s="53" t="str">
        <x:v>настольная безопасная модель</x:v>
      </x:c>
      <x:c r="G150" s="53" t="str">
        <x:v>размер/сила/состояние</x:v>
      </x:c>
      <x:c r="H150" s="53" t="str">
        <x:v>SI или явно названный стандарт</x:v>
      </x:c>
      <x:c r="I150" s="53" t="str">
        <x:v>S1_LOW_RISK_HOUSEHOLD</x:v>
      </x:c>
      <x:c r="J15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50" s="53" t="str">
        <x:v>SCI-MECH-03|SCI-METH-13</x:v>
      </x:c>
      <x:c r="L150" s="53" t="n">
        <x:v>1</x:v>
      </x:c>
      <x:c r="M150" s="53" t="n">
        <x:v>1</x:v>
      </x:c>
      <x:c r="N15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0" s="53" t="str">
        <x:v>FRAMEWORK_ONLY_NOT_TRAINED</x:v>
      </x:c>
      <x:c r="P150" s="53" t="str">
        <x:v>0.4</x:v>
      </x:c>
    </x:row>
    <x:row r="151">
      <x:c r="A151" s="26" t="str">
        <x:v>SCI-MECH-05</x:v>
      </x:c>
      <x:c r="B151" s="26" t="str">
        <x:v>MECH</x:v>
      </x:c>
      <x:c r="C151" s="26" t="str">
        <x:v>Механика, производство и ремонт</x:v>
      </x:c>
      <x:c r="D151" s="26" t="str">
        <x:v>Валы, муфты, цепи, ремни и ограждения</x:v>
      </x:c>
      <x:c r="E151" s="26" t="str">
        <x:v>Объяснить базовую модель, выполнить допустимую для класса риска проверку и документировать пределы по теме «Валы, муфты, цепи, ремни и ограждения».</x:v>
      </x:c>
      <x:c r="F151" s="26" t="str">
        <x:v>осмотр отключённой учебной системы; lockout обязателен</x:v>
      </x:c>
      <x:c r="G151" s="26" t="str">
        <x:v>размер/сила/состояние</x:v>
      </x:c>
      <x:c r="H151" s="26" t="str">
        <x:v>SI или явно названный стандарт</x:v>
      </x:c>
      <x:c r="I151" s="26" t="str">
        <x:v>S2_TRAINED_SUPERVISED</x:v>
      </x:c>
      <x:c r="J151" s="26" t="str">
        <x:v>Только после обучения и под компетентным надзором; бытовая самостоятельная импровизация запрещена.</x:v>
      </x:c>
      <x:c r="K151" s="26" t="str">
        <x:v>SCI-MECH-04|SCI-METH-13</x:v>
      </x:c>
      <x:c r="L151" s="26" t="n">
        <x:v>1</x:v>
      </x:c>
      <x:c r="M151" s="26" t="n">
        <x:v>1</x:v>
      </x:c>
      <x:c r="N15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1" s="26" t="str">
        <x:v>FRAMEWORK_ONLY_NOT_TRAINED</x:v>
      </x:c>
      <x:c r="P151" s="26" t="str">
        <x:v>0.4</x:v>
      </x:c>
    </x:row>
    <x:row r="152">
      <x:c r="A152" s="53" t="str">
        <x:v>SCI-MECH-06</x:v>
      </x:c>
      <x:c r="B152" s="53" t="str">
        <x:v>MECH</x:v>
      </x:c>
      <x:c r="C152" s="53" t="str">
        <x:v>Механика, производство и ремонт</x:v>
      </x:c>
      <x:c r="D152" s="53" t="str">
        <x:v>Насосы, кавитация и рабочая точка</x:v>
      </x:c>
      <x:c r="E152" s="53" t="str">
        <x:v>Объяснить базовую модель, выполнить допустимую для класса риска проверку и документировать пределы по теме «Насосы, кавитация и рабочая точка».</x:v>
      </x:c>
      <x:c r="F152" s="53" t="str">
        <x:v>измерение маломощного водяного насоса</x:v>
      </x:c>
      <x:c r="G152" s="53" t="str">
        <x:v>размер/сила/состояние</x:v>
      </x:c>
      <x:c r="H152" s="53" t="str">
        <x:v>SI или явно названный стандарт</x:v>
      </x:c>
      <x:c r="I152" s="53" t="str">
        <x:v>S2_TRAINED_SUPERVISED</x:v>
      </x:c>
      <x:c r="J152" s="53" t="str">
        <x:v>Только после обучения и под компетентным надзором; бытовая самостоятельная импровизация запрещена.</x:v>
      </x:c>
      <x:c r="K152" s="53" t="str">
        <x:v>SCI-MECH-05|SCI-METH-13</x:v>
      </x:c>
      <x:c r="L152" s="53" t="n">
        <x:v>1</x:v>
      </x:c>
      <x:c r="M152" s="53" t="n">
        <x:v>1</x:v>
      </x:c>
      <x:c r="N15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2" s="53" t="str">
        <x:v>FRAMEWORK_ONLY_NOT_TRAINED</x:v>
      </x:c>
      <x:c r="P152" s="53" t="str">
        <x:v>0.4</x:v>
      </x:c>
    </x:row>
    <x:row r="153">
      <x:c r="A153" s="26" t="str">
        <x:v>SCI-MECH-07</x:v>
      </x:c>
      <x:c r="B153" s="26" t="str">
        <x:v>MECH</x:v>
      </x:c>
      <x:c r="C153" s="26" t="str">
        <x:v>Механика, производство и ремонт</x:v>
      </x:c>
      <x:c r="D153" s="26" t="str">
        <x:v>Клапаны, уплотнения и утечки</x:v>
      </x:c>
      <x:c r="E153" s="26" t="str">
        <x:v>Объяснить базовую модель, выполнить допустимую для класса риска проверку и документировать пределы по теме «Клапаны, уплотнения и утечки».</x:v>
      </x:c>
      <x:c r="F153" s="26" t="str">
        <x:v>осмотр безопасной разгерметизированной водной системы</x:v>
      </x:c>
      <x:c r="G153" s="26" t="str">
        <x:v>размер/сила/состояние</x:v>
      </x:c>
      <x:c r="H153" s="26" t="str">
        <x:v>SI или явно названный стандарт</x:v>
      </x:c>
      <x:c r="I153" s="26" t="str">
        <x:v>S2_TRAINED_SUPERVISED</x:v>
      </x:c>
      <x:c r="J153" s="26" t="str">
        <x:v>Только после обучения и под компетентным надзором; бытовая самостоятельная импровизация запрещена.</x:v>
      </x:c>
      <x:c r="K153" s="26" t="str">
        <x:v>SCI-MECH-06|SCI-METH-13</x:v>
      </x:c>
      <x:c r="L153" s="26" t="n">
        <x:v>1</x:v>
      </x:c>
      <x:c r="M153" s="26" t="n">
        <x:v>1</x:v>
      </x:c>
      <x:c r="N15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3" s="26" t="str">
        <x:v>FRAMEWORK_ONLY_NOT_TRAINED</x:v>
      </x:c>
      <x:c r="P153" s="26" t="str">
        <x:v>0.4</x:v>
      </x:c>
    </x:row>
    <x:row r="154">
      <x:c r="A154" s="53" t="str">
        <x:v>SCI-MECH-08</x:v>
      </x:c>
      <x:c r="B154" s="53" t="str">
        <x:v>MECH</x:v>
      </x:c>
      <x:c r="C154" s="53" t="str">
        <x:v>Механика, производство и ремонт</x:v>
      </x:c>
      <x:c r="D154" s="53" t="str">
        <x:v>Подшипники, смазка и загрязнение</x:v>
      </x:c>
      <x:c r="E154" s="53" t="str">
        <x:v>Объяснить базовую модель, выполнить допустимую для класса риска проверку и документировать пределы по теме «Подшипники, смазка и загрязнение».</x:v>
      </x:c>
      <x:c r="F154" s="53" t="str">
        <x:v>журнал состояния отключённого узла</x:v>
      </x:c>
      <x:c r="G154" s="53" t="str">
        <x:v>размер/сила/состояние</x:v>
      </x:c>
      <x:c r="H154" s="53" t="str">
        <x:v>SI или явно названный стандарт</x:v>
      </x:c>
      <x:c r="I154" s="53" t="str">
        <x:v>S2_TRAINED_SUPERVISED</x:v>
      </x:c>
      <x:c r="J154" s="53" t="str">
        <x:v>Только после обучения и под компетентным надзором; бытовая самостоятельная импровизация запрещена.</x:v>
      </x:c>
      <x:c r="K154" s="53" t="str">
        <x:v>SCI-MECH-07|SCI-METH-13</x:v>
      </x:c>
      <x:c r="L154" s="53" t="n">
        <x:v>1</x:v>
      </x:c>
      <x:c r="M154" s="53" t="n">
        <x:v>1</x:v>
      </x:c>
      <x:c r="N15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4" s="53" t="str">
        <x:v>FRAMEWORK_ONLY_NOT_TRAINED</x:v>
      </x:c>
      <x:c r="P154" s="53" t="str">
        <x:v>0.4</x:v>
      </x:c>
    </x:row>
    <x:row r="155">
      <x:c r="A155" s="26" t="str">
        <x:v>SCI-MECH-09</x:v>
      </x:c>
      <x:c r="B155" s="26" t="str">
        <x:v>MECH</x:v>
      </x:c>
      <x:c r="C155" s="26" t="str">
        <x:v>Механика, производство и ремонт</x:v>
      </x:c>
      <x:c r="D155" s="26" t="str">
        <x:v>Велосипед: осмотр, тормоза и привод</x:v>
      </x:c>
      <x:c r="E155" s="26" t="str">
        <x:v>Объяснить базовую модель, выполнить допустимую для класса риска проверку и документировать пределы по теме «Велосипед: осмотр, тормоза и привод».</x:v>
      </x:c>
      <x:c r="F155" s="26" t="str">
        <x:v>контрольный чек после обучения; дорожный тест в безопасной зоне</x:v>
      </x:c>
      <x:c r="G155" s="26" t="str">
        <x:v>размер/сила/состояние</x:v>
      </x:c>
      <x:c r="H155" s="26" t="str">
        <x:v>SI или явно названный стандарт</x:v>
      </x:c>
      <x:c r="I155" s="26" t="str">
        <x:v>S2_TRAINED_SUPERVISED</x:v>
      </x:c>
      <x:c r="J155" s="26" t="str">
        <x:v>Только после обучения и под компетентным надзором; бытовая самостоятельная импровизация запрещена.</x:v>
      </x:c>
      <x:c r="K155" s="26" t="str">
        <x:v>SCI-MECH-08|SCI-METH-13</x:v>
      </x:c>
      <x:c r="L155" s="26" t="n">
        <x:v>1</x:v>
      </x:c>
      <x:c r="M155" s="26" t="n">
        <x:v>1</x:v>
      </x:c>
      <x:c r="N15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5" s="26" t="str">
        <x:v>FRAMEWORK_ONLY_NOT_TRAINED</x:v>
      </x:c>
      <x:c r="P155" s="26" t="str">
        <x:v>0.4</x:v>
      </x:c>
    </x:row>
    <x:row r="156">
      <x:c r="A156" s="53" t="str">
        <x:v>SCI-MECH-10</x:v>
      </x:c>
      <x:c r="B156" s="53" t="str">
        <x:v>MECH</x:v>
      </x:c>
      <x:c r="C156" s="53" t="str">
        <x:v>Механика, производство и ремонт</x:v>
      </x:c>
      <x:c r="D156" s="53" t="str">
        <x:v>Двигатели внутреннего сгорания и выхлоп</x:v>
      </x:c>
      <x:c r="E156" s="53" t="str">
        <x:v>Объяснить базовую модель, выполнить допустимую для класса риска проверку и документировать пределы по теме «Двигатели внутреннего сгорания и выхлоп».</x:v>
      </x:c>
      <x:c r="F156" s="53" t="str">
        <x:v>только устройство и сервисная документация; работа в помещении запрещена</x:v>
      </x:c>
      <x:c r="G156" s="53" t="str">
        <x:v>размер/сила/состояние</x:v>
      </x:c>
      <x:c r="H156" s="53" t="str">
        <x:v>SI или явно названный стандарт</x:v>
      </x:c>
      <x:c r="I156" s="53" t="str">
        <x:v>S3_LICENSED_PROFESSIONAL</x:v>
      </x:c>
      <x:c r="J156" s="53" t="str">
        <x:v>Только квалифицированный/лицензированный специалист в подходящей среде и по действующим нормам.</x:v>
      </x:c>
      <x:c r="K156" s="53" t="str">
        <x:v>SCI-MECH-09|SCI-METH-13</x:v>
      </x:c>
      <x:c r="L156" s="53" t="n">
        <x:v>1</x:v>
      </x:c>
      <x:c r="M156" s="53" t="n">
        <x:v>1</x:v>
      </x:c>
      <x:c r="N15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6" s="53" t="str">
        <x:v>FRAMEWORK_ONLY_NOT_TRAINED</x:v>
      </x:c>
      <x:c r="P156" s="53" t="str">
        <x:v>0.4</x:v>
      </x:c>
    </x:row>
    <x:row r="157">
      <x:c r="A157" s="26" t="str">
        <x:v>SCI-MECH-11</x:v>
      </x:c>
      <x:c r="B157" s="26" t="str">
        <x:v>MECH</x:v>
      </x:c>
      <x:c r="C157" s="26" t="str">
        <x:v>Механика, производство и ремонт</x:v>
      </x:c>
      <x:c r="D157" s="26" t="str">
        <x:v>Холодильный контур и тепловой насос</x:v>
      </x:c>
      <x:c r="E157" s="26" t="str">
        <x:v>Объяснить базовую модель, выполнить допустимую для класса риска проверку и документировать пределы по теме «Холодильный контур и тепловой насос».</x:v>
      </x:c>
      <x:c r="F157" s="26" t="str">
        <x:v>наблюдение температур; хладагент/давление — специалист</x:v>
      </x:c>
      <x:c r="G157" s="26" t="str">
        <x:v>размер/сила/состояние</x:v>
      </x:c>
      <x:c r="H157" s="26" t="str">
        <x:v>SI или явно названный стандарт</x:v>
      </x:c>
      <x:c r="I157" s="26" t="str">
        <x:v>S3_LICENSED_PROFESSIONAL</x:v>
      </x:c>
      <x:c r="J157" s="26" t="str">
        <x:v>Только квалифицированный/лицензированный специалист в подходящей среде и по действующим нормам.</x:v>
      </x:c>
      <x:c r="K157" s="26" t="str">
        <x:v>SCI-MECH-10|SCI-METH-13</x:v>
      </x:c>
      <x:c r="L157" s="26" t="n">
        <x:v>1</x:v>
      </x:c>
      <x:c r="M157" s="26" t="n">
        <x:v>1</x:v>
      </x:c>
      <x:c r="N15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7" s="26" t="str">
        <x:v>FRAMEWORK_ONLY_NOT_TRAINED</x:v>
      </x:c>
      <x:c r="P157" s="26" t="str">
        <x:v>0.4</x:v>
      </x:c>
    </x:row>
    <x:row r="158">
      <x:c r="A158" s="53" t="str">
        <x:v>SCI-MECH-12</x:v>
      </x:c>
      <x:c r="B158" s="53" t="str">
        <x:v>MECH</x:v>
      </x:c>
      <x:c r="C158" s="53" t="str">
        <x:v>Механика, производство и ремонт</x:v>
      </x:c>
      <x:c r="D158" s="53" t="str">
        <x:v>Дерево, разметка, соединения и ремонт</x:v>
      </x:c>
      <x:c r="E158" s="53" t="str">
        <x:v>Объяснить базовую модель, выполнить допустимую для класса риска проверку и документировать пределы по теме «Дерево, разметка, соединения и ремонт».</x:v>
      </x:c>
      <x:c r="F158" s="53" t="str">
        <x:v>малый проект ручным инструментом после инструктажа</x:v>
      </x:c>
      <x:c r="G158" s="53" t="str">
        <x:v>размер/сила/состояние</x:v>
      </x:c>
      <x:c r="H158" s="53" t="str">
        <x:v>SI или явно названный стандарт</x:v>
      </x:c>
      <x:c r="I158" s="53" t="str">
        <x:v>S2_TRAINED_SUPERVISED</x:v>
      </x:c>
      <x:c r="J158" s="53" t="str">
        <x:v>Только после обучения и под компетентным надзором; бытовая самостоятельная импровизация запрещена.</x:v>
      </x:c>
      <x:c r="K158" s="53" t="str">
        <x:v>SCI-MECH-11|SCI-METH-13</x:v>
      </x:c>
      <x:c r="L158" s="53" t="n">
        <x:v>1</x:v>
      </x:c>
      <x:c r="M158" s="53" t="n">
        <x:v>1</x:v>
      </x:c>
      <x:c r="N15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8" s="53" t="str">
        <x:v>FRAMEWORK_ONLY_NOT_TRAINED</x:v>
      </x:c>
      <x:c r="P158" s="53" t="str">
        <x:v>0.4</x:v>
      </x:c>
    </x:row>
    <x:row r="159">
      <x:c r="A159" s="26" t="str">
        <x:v>SCI-MECH-13</x:v>
      </x:c>
      <x:c r="B159" s="26" t="str">
        <x:v>MECH</x:v>
      </x:c>
      <x:c r="C159" s="26" t="str">
        <x:v>Механика, производство и ремонт</x:v>
      </x:c>
      <x:c r="D159" s="26" t="str">
        <x:v>Металлообработка и снятие материала</x:v>
      </x:c>
      <x:c r="E159" s="26" t="str">
        <x:v>Объяснить базовую модель, выполнить допустимую для класса риска проверку и документировать пределы по теме «Металлообработка и снятие материала».</x:v>
      </x:c>
      <x:c r="F159" s="26" t="str">
        <x:v>только после обучения, ограждений и СИЗ</x:v>
      </x:c>
      <x:c r="G159" s="26" t="str">
        <x:v>размер/сила/состояние</x:v>
      </x:c>
      <x:c r="H159" s="26" t="str">
        <x:v>SI или явно названный стандарт</x:v>
      </x:c>
      <x:c r="I159" s="26" t="str">
        <x:v>S2_TRAINED_SUPERVISED</x:v>
      </x:c>
      <x:c r="J159" s="26" t="str">
        <x:v>Только после обучения и под компетентным надзором; бытовая самостоятельная импровизация запрещена.</x:v>
      </x:c>
      <x:c r="K159" s="26" t="str">
        <x:v>SCI-MECH-12|SCI-METH-13</x:v>
      </x:c>
      <x:c r="L159" s="26" t="n">
        <x:v>1</x:v>
      </x:c>
      <x:c r="M159" s="26" t="n">
        <x:v>1</x:v>
      </x:c>
      <x:c r="N15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59" s="26" t="str">
        <x:v>FRAMEWORK_ONLY_NOT_TRAINED</x:v>
      </x:c>
      <x:c r="P159" s="26" t="str">
        <x:v>0.4</x:v>
      </x:c>
    </x:row>
    <x:row r="160">
      <x:c r="A160" s="53" t="str">
        <x:v>SCI-MECH-14</x:v>
      </x:c>
      <x:c r="B160" s="53" t="str">
        <x:v>MECH</x:v>
      </x:c>
      <x:c r="C160" s="53" t="str">
        <x:v>Механика, производство и ремонт</x:v>
      </x:c>
      <x:c r="D160" s="53" t="str">
        <x:v>Сварка, пайка твёрдым припоем и горячие работы</x:v>
      </x:c>
      <x:c r="E160" s="53" t="str">
        <x:v>Объяснить базовую модель, выполнить допустимую для класса риска проверку и документировать пределы по теме «Сварка, пайка твёрдым припоем и горячие работы».</x:v>
      </x:c>
      <x:c r="F160" s="53" t="str">
        <x:v>только квалифицированная площадка и разрешение</x:v>
      </x:c>
      <x:c r="G160" s="53" t="str">
        <x:v>размер/сила/состояние</x:v>
      </x:c>
      <x:c r="H160" s="53" t="str">
        <x:v>SI или явно названный стандарт</x:v>
      </x:c>
      <x:c r="I160" s="53" t="str">
        <x:v>S3_LICENSED_PROFESSIONAL</x:v>
      </x:c>
      <x:c r="J160" s="53" t="str">
        <x:v>Только квалифицированный/лицензированный специалист в подходящей среде и по действующим нормам.</x:v>
      </x:c>
      <x:c r="K160" s="53" t="str">
        <x:v>SCI-MECH-13|SCI-METH-13</x:v>
      </x:c>
      <x:c r="L160" s="53" t="n">
        <x:v>1</x:v>
      </x:c>
      <x:c r="M160" s="53" t="n">
        <x:v>1</x:v>
      </x:c>
      <x:c r="N16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0" s="53" t="str">
        <x:v>FRAMEWORK_ONLY_NOT_TRAINED</x:v>
      </x:c>
      <x:c r="P160" s="53" t="str">
        <x:v>0.4</x:v>
      </x:c>
    </x:row>
    <x:row r="161">
      <x:c r="A161" s="26" t="str">
        <x:v>SCI-MECH-15</x:v>
      </x:c>
      <x:c r="B161" s="26" t="str">
        <x:v>MECH</x:v>
      </x:c>
      <x:c r="C161" s="26" t="str">
        <x:v>Механика, производство и ремонт</x:v>
      </x:c>
      <x:c r="D161" s="26" t="str">
        <x:v>Текстиль, шитьё, выкройка и ремонт</x:v>
      </x:c>
      <x:c r="E161" s="26" t="str">
        <x:v>Объяснить базовую модель, выполнить допустимую для класса риска проверку и документировать пределы по теме «Текстиль, шитьё, выкройка и ремонт».</x:v>
      </x:c>
      <x:c r="F161" s="26" t="str">
        <x:v>образец шва и проверка прочности без нагрузки на безопасность</x:v>
      </x:c>
      <x:c r="G161" s="26" t="str">
        <x:v>размер/сила/состояние</x:v>
      </x:c>
      <x:c r="H161" s="26" t="str">
        <x:v>SI или явно названный стандарт</x:v>
      </x:c>
      <x:c r="I161" s="26" t="str">
        <x:v>S1_LOW_RISK_HOUSEHOLD</x:v>
      </x:c>
      <x:c r="J161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1" s="26" t="str">
        <x:v>SCI-MECH-14|SCI-METH-13</x:v>
      </x:c>
      <x:c r="L161" s="26" t="n">
        <x:v>1</x:v>
      </x:c>
      <x:c r="M161" s="26" t="n">
        <x:v>1</x:v>
      </x:c>
      <x:c r="N16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1" s="26" t="str">
        <x:v>FRAMEWORK_ONLY_NOT_TRAINED</x:v>
      </x:c>
      <x:c r="P161" s="26" t="str">
        <x:v>0.4</x:v>
      </x:c>
    </x:row>
    <x:row r="162">
      <x:c r="A162" s="53" t="str">
        <x:v>SCI-MECH-16</x:v>
      </x:c>
      <x:c r="B162" s="53" t="str">
        <x:v>MECH</x:v>
      </x:c>
      <x:c r="C162" s="53" t="str">
        <x:v>Механика, производство и ремонт</x:v>
      </x:c>
      <x:c r="D162" s="53" t="str">
        <x:v>Надёжность, отказ, запасные части и preventive maintenance</x:v>
      </x:c>
      <x:c r="E162" s="53" t="str">
        <x:v>Объяснить базовую модель, выполнить допустимую для класса риска проверку и документировать пределы по теме «Надёжность, отказ, запасные части и preventive maintenance».</x:v>
      </x:c>
      <x:c r="F162" s="53" t="str">
        <x:v>FMEA и план обслуживания одного актива</x:v>
      </x:c>
      <x:c r="G162" s="53" t="str">
        <x:v>размер/сила/состояние</x:v>
      </x:c>
      <x:c r="H162" s="53" t="str">
        <x:v>SI или явно названный стандарт</x:v>
      </x:c>
      <x:c r="I162" s="53" t="str">
        <x:v>S0_OBSERVE_READ</x:v>
      </x:c>
      <x:c r="J162" s="53" t="str">
        <x:v>Наблюдение, чтение, расчёт или работа с опубликованным набором данных; физического вмешательства нет.</x:v>
      </x:c>
      <x:c r="K162" s="53" t="str">
        <x:v>SCI-MECH-15|SCI-METH-13</x:v>
      </x:c>
      <x:c r="L162" s="53" t="n">
        <x:v>1</x:v>
      </x:c>
      <x:c r="M162" s="53" t="n">
        <x:v>1</x:v>
      </x:c>
      <x:c r="N16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2" s="53" t="str">
        <x:v>FRAMEWORK_ONLY_NOT_TRAINED</x:v>
      </x:c>
      <x:c r="P162" s="53" t="str">
        <x:v>0.4</x:v>
      </x:c>
    </x:row>
    <x:row r="163">
      <x:c r="A163" s="26" t="str">
        <x:v>SCI-ELEC-01</x:v>
      </x:c>
      <x:c r="B163" s="26" t="str">
        <x:v>ELEC</x:v>
      </x:c>
      <x:c r="C163" s="26" t="str">
        <x:v>Электротехника, электроника и энергия</x:v>
      </x:c>
      <x:c r="D163" s="26" t="str">
        <x:v>Электробезопасность и границы низкого напряжения</x:v>
      </x:c>
      <x:c r="E163" s="26" t="str">
        <x:v>Объяснить базовую модель, выполнить допустимую для класса риска проверку и документировать пределы по теме «Электробезопасность и границы низкого напряжения».</x:v>
      </x:c>
      <x:c r="F163" s="26" t="str">
        <x:v>только на изолированном учебном USB-стенде 5 V с аппаратным ограничением тока ≤100 mA: найти источник, защиту и штатное отключение; сеть, автомобильные/тяговые/литиевые батареи исключены</x:v>
      </x:c>
      <x:c r="G163" s="26" t="str">
        <x:v>V/A/Wh/сигнал</x:v>
      </x:c>
      <x:c r="H163" s="26" t="str">
        <x:v>SI или явно названный стандарт</x:v>
      </x:c>
      <x:c r="I163" s="26" t="str">
        <x:v>S2_TRAINED_SUPERVISED</x:v>
      </x:c>
      <x:c r="J163" s="26" t="str">
        <x:v>Только после обучения и под компетентным надзором; бытовая самостоятельная импровизация запрещена.</x:v>
      </x:c>
      <x:c r="K163" s="26" t="str">
        <x:v>SCI-METH-01|SCI-METH-07|SCI-METH-14</x:v>
      </x:c>
      <x:c r="L163" s="26" t="n">
        <x:v>1</x:v>
      </x:c>
      <x:c r="M163" s="26" t="n">
        <x:v>1</x:v>
      </x:c>
      <x:c r="N16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3" s="26" t="str">
        <x:v>FRAMEWORK_ONLY_NOT_TRAINED</x:v>
      </x:c>
      <x:c r="P163" s="26" t="str">
        <x:v>0.4</x:v>
      </x:c>
    </x:row>
    <x:row r="164">
      <x:c r="A164" s="53" t="str">
        <x:v>SCI-ELEC-02</x:v>
      </x:c>
      <x:c r="B164" s="53" t="str">
        <x:v>ELEC</x:v>
      </x:c>
      <x:c r="C164" s="53" t="str">
        <x:v>Электротехника, электроника и энергия</x:v>
      </x:c>
      <x:c r="D164" s="53" t="str">
        <x:v>Закон Ома, мощность и энергетический баланс</x:v>
      </x:c>
      <x:c r="E164" s="53" t="str">
        <x:v>Объяснить базовую модель, выполнить допустимую для класса риска проверку и документировать пределы по теме «Закон Ома, мощность и энергетический баланс».</x:v>
      </x:c>
      <x:c r="F164" s="53" t="str">
        <x:v>учебная цепь 5 V с аппаратным ограничением тока ≤100 mA, негорючей площадкой и заранее рассчитанной мощностью</x:v>
      </x:c>
      <x:c r="G164" s="53" t="str">
        <x:v>V/A/Wh/сигнал</x:v>
      </x:c>
      <x:c r="H164" s="53" t="str">
        <x:v>SI или явно названный стандарт</x:v>
      </x:c>
      <x:c r="I164" s="53" t="str">
        <x:v>S1_LOW_RISK_HOUSEHOLD</x:v>
      </x:c>
      <x:c r="J164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4" s="53" t="str">
        <x:v>SCI-ELEC-01|SCI-METH-13</x:v>
      </x:c>
      <x:c r="L164" s="53" t="n">
        <x:v>1</x:v>
      </x:c>
      <x:c r="M164" s="53" t="n">
        <x:v>1</x:v>
      </x:c>
      <x:c r="N16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4" s="53" t="str">
        <x:v>FRAMEWORK_ONLY_NOT_TRAINED</x:v>
      </x:c>
      <x:c r="P164" s="53" t="str">
        <x:v>0.4</x:v>
      </x:c>
    </x:row>
    <x:row r="165">
      <x:c r="A165" s="26" t="str">
        <x:v>SCI-ELEC-03</x:v>
      </x:c>
      <x:c r="B165" s="26" t="str">
        <x:v>ELEC</x:v>
      </x:c>
      <x:c r="C165" s="26" t="str">
        <x:v>Электротехника, электроника и энергия</x:v>
      </x:c>
      <x:c r="D165" s="26" t="str">
        <x:v>Мультиметр: напряжение, сопротивление и непрерывность</x:v>
      </x:c>
      <x:c r="E165" s="26" t="str">
        <x:v>Объяснить базовую модель, выполнить допустимую для класса риска проверку и документировать пределы по теме «Мультиметр: напряжение, сопротивление и непрерывность».</x:v>
      </x:c>
      <x:c r="F165" s="26" t="str">
        <x:v>измерение только изолированной низковольтной цепи</x:v>
      </x:c>
      <x:c r="G165" s="26" t="str">
        <x:v>V/A/Wh/сигнал</x:v>
      </x:c>
      <x:c r="H165" s="26" t="str">
        <x:v>SI или явно названный стандарт</x:v>
      </x:c>
      <x:c r="I165" s="26" t="str">
        <x:v>S1_LOW_RISK_HOUSEHOLD</x:v>
      </x:c>
      <x:c r="J16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5" s="26" t="str">
        <x:v>SCI-ELEC-02|SCI-METH-13</x:v>
      </x:c>
      <x:c r="L165" s="26" t="n">
        <x:v>1</x:v>
      </x:c>
      <x:c r="M165" s="26" t="n">
        <x:v>1</x:v>
      </x:c>
      <x:c r="N16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5" s="26" t="str">
        <x:v>FRAMEWORK_ONLY_NOT_TRAINED</x:v>
      </x:c>
      <x:c r="P165" s="26" t="str">
        <x:v>0.4</x:v>
      </x:c>
    </x:row>
    <x:row r="166">
      <x:c r="A166" s="53" t="str">
        <x:v>SCI-ELEC-04</x:v>
      </x:c>
      <x:c r="B166" s="53" t="str">
        <x:v>ELEC</x:v>
      </x:c>
      <x:c r="C166" s="53" t="str">
        <x:v>Электротехника, электроника и энергия</x:v>
      </x:c>
      <x:c r="D166" s="53" t="str">
        <x:v>Пассивные компоненты и схемные обозначения</x:v>
      </x:c>
      <x:c r="E166" s="53" t="str">
        <x:v>Объяснить базовую модель, выполнить допустимую для класса риска проверку и документировать пределы по теме «Пассивные компоненты и схемные обозначения».</x:v>
      </x:c>
      <x:c r="F166" s="53" t="str">
        <x:v>идентификация и измерение безопасных компонентов</x:v>
      </x:c>
      <x:c r="G166" s="53" t="str">
        <x:v>V/A/Wh/сигнал</x:v>
      </x:c>
      <x:c r="H166" s="53" t="str">
        <x:v>SI или явно названный стандарт</x:v>
      </x:c>
      <x:c r="I166" s="53" t="str">
        <x:v>S1_LOW_RISK_HOUSEHOLD</x:v>
      </x:c>
      <x:c r="J166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6" s="53" t="str">
        <x:v>SCI-ELEC-03|SCI-METH-13</x:v>
      </x:c>
      <x:c r="L166" s="53" t="n">
        <x:v>1</x:v>
      </x:c>
      <x:c r="M166" s="53" t="n">
        <x:v>1</x:v>
      </x:c>
      <x:c r="N16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6" s="53" t="str">
        <x:v>FRAMEWORK_ONLY_NOT_TRAINED</x:v>
      </x:c>
      <x:c r="P166" s="53" t="str">
        <x:v>0.4</x:v>
      </x:c>
    </x:row>
    <x:row r="167">
      <x:c r="A167" s="26" t="str">
        <x:v>SCI-ELEC-05</x:v>
      </x:c>
      <x:c r="B167" s="26" t="str">
        <x:v>ELEC</x:v>
      </x:c>
      <x:c r="C167" s="26" t="str">
        <x:v>Электротехника, электроника и энергия</x:v>
      </x:c>
      <x:c r="D167" s="26" t="str">
        <x:v>Диоды, транзисторы и аналоговые узлы</x:v>
      </x:c>
      <x:c r="E167" s="26" t="str">
        <x:v>Объяснить базовую модель, выполнить допустимую для класса риска проверку и документировать пределы по теме «Диоды, транзисторы и аналоговые узлы».</x:v>
      </x:c>
      <x:c r="F167" s="26" t="str">
        <x:v>маломощная макетная схема с ограничением тока</x:v>
      </x:c>
      <x:c r="G167" s="26" t="str">
        <x:v>V/A/Wh/сигнал</x:v>
      </x:c>
      <x:c r="H167" s="26" t="str">
        <x:v>SI или явно названный стандарт</x:v>
      </x:c>
      <x:c r="I167" s="26" t="str">
        <x:v>S1_LOW_RISK_HOUSEHOLD</x:v>
      </x:c>
      <x:c r="J167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7" s="26" t="str">
        <x:v>SCI-ELEC-04|SCI-METH-13</x:v>
      </x:c>
      <x:c r="L167" s="26" t="n">
        <x:v>1</x:v>
      </x:c>
      <x:c r="M167" s="26" t="n">
        <x:v>1</x:v>
      </x:c>
      <x:c r="N16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7" s="26" t="str">
        <x:v>FRAMEWORK_ONLY_NOT_TRAINED</x:v>
      </x:c>
      <x:c r="P167" s="26" t="str">
        <x:v>0.4</x:v>
      </x:c>
    </x:row>
    <x:row r="168">
      <x:c r="A168" s="53" t="str">
        <x:v>SCI-ELEC-06</x:v>
      </x:c>
      <x:c r="B168" s="53" t="str">
        <x:v>ELEC</x:v>
      </x:c>
      <x:c r="C168" s="53" t="str">
        <x:v>Электротехника, электроника и энергия</x:v>
      </x:c>
      <x:c r="D168" s="53" t="str">
        <x:v>Цифровая логика и уровни сигналов</x:v>
      </x:c>
      <x:c r="E168" s="53" t="str">
        <x:v>Объяснить базовую модель, выполнить допустимую для класса риска проверку и документировать пределы по теме «Цифровая логика и уровни сигналов».</x:v>
      </x:c>
      <x:c r="F168" s="53" t="str">
        <x:v>таблица истинности на безопасном учебном модуле</x:v>
      </x:c>
      <x:c r="G168" s="53" t="str">
        <x:v>V/A/Wh/сигнал</x:v>
      </x:c>
      <x:c r="H168" s="53" t="str">
        <x:v>SI или явно названный стандарт</x:v>
      </x:c>
      <x:c r="I168" s="53" t="str">
        <x:v>S1_LOW_RISK_HOUSEHOLD</x:v>
      </x:c>
      <x:c r="J168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8" s="53" t="str">
        <x:v>SCI-ELEC-05|SCI-METH-13</x:v>
      </x:c>
      <x:c r="L168" s="53" t="n">
        <x:v>1</x:v>
      </x:c>
      <x:c r="M168" s="53" t="n">
        <x:v>1</x:v>
      </x:c>
      <x:c r="N16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8" s="53" t="str">
        <x:v>FRAMEWORK_ONLY_NOT_TRAINED</x:v>
      </x:c>
      <x:c r="P168" s="53" t="str">
        <x:v>0.4</x:v>
      </x:c>
    </x:row>
    <x:row r="169">
      <x:c r="A169" s="26" t="str">
        <x:v>SCI-ELEC-07</x:v>
      </x:c>
      <x:c r="B169" s="26" t="str">
        <x:v>ELEC</x:v>
      </x:c>
      <x:c r="C169" s="26" t="str">
        <x:v>Электротехника, электроника и энергия</x:v>
      </x:c>
      <x:c r="D169" s="26" t="str">
        <x:v>Микроконтроллеры и интерфейсы</x:v>
      </x:c>
      <x:c r="E169" s="26" t="str">
        <x:v>Объяснить базовую модель, выполнить допустимую для класса риска проверку и документировать пределы по теме «Микроконтроллеры и интерфейсы».</x:v>
      </x:c>
      <x:c r="F169" s="26" t="str">
        <x:v>считывание безопасного датчика без управления критическим объектом</x:v>
      </x:c>
      <x:c r="G169" s="26" t="str">
        <x:v>V/A/Wh/сигнал</x:v>
      </x:c>
      <x:c r="H169" s="26" t="str">
        <x:v>SI или явно названный стандарт</x:v>
      </x:c>
      <x:c r="I169" s="26" t="str">
        <x:v>S1_LOW_RISK_HOUSEHOLD</x:v>
      </x:c>
      <x:c r="J16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69" s="26" t="str">
        <x:v>SCI-ELEC-06|SCI-METH-13</x:v>
      </x:c>
      <x:c r="L169" s="26" t="n">
        <x:v>1</x:v>
      </x:c>
      <x:c r="M169" s="26" t="n">
        <x:v>1</x:v>
      </x:c>
      <x:c r="N16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69" s="26" t="str">
        <x:v>FRAMEWORK_ONLY_NOT_TRAINED</x:v>
      </x:c>
      <x:c r="P169" s="26" t="str">
        <x:v>0.4</x:v>
      </x:c>
    </x:row>
    <x:row r="170">
      <x:c r="A170" s="53" t="str">
        <x:v>SCI-ELEC-08</x:v>
      </x:c>
      <x:c r="B170" s="53" t="str">
        <x:v>ELEC</x:v>
      </x:c>
      <x:c r="C170" s="53" t="str">
        <x:v>Электротехника, электроника и энергия</x:v>
      </x:c>
      <x:c r="D170" s="53" t="str">
        <x:v>Датчики, преобразование и сбор данных</x:v>
      </x:c>
      <x:c r="E170" s="53" t="str">
        <x:v>Объяснить базовую модель, выполнить допустимую для класса риска проверку и документировать пределы по теме «Датчики, преобразование и сбор данных».</x:v>
      </x:c>
      <x:c r="F170" s="53" t="str">
        <x:v>калибровочная проверка двух точек</x:v>
      </x:c>
      <x:c r="G170" s="53" t="str">
        <x:v>V/A/Wh/сигнал</x:v>
      </x:c>
      <x:c r="H170" s="53" t="str">
        <x:v>SI или явно названный стандарт</x:v>
      </x:c>
      <x:c r="I170" s="53" t="str">
        <x:v>S1_LOW_RISK_HOUSEHOLD</x:v>
      </x:c>
      <x:c r="J170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70" s="53" t="str">
        <x:v>SCI-ELEC-07|SCI-METH-13</x:v>
      </x:c>
      <x:c r="L170" s="53" t="n">
        <x:v>1</x:v>
      </x:c>
      <x:c r="M170" s="53" t="n">
        <x:v>1</x:v>
      </x:c>
      <x:c r="N17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0" s="53" t="str">
        <x:v>FRAMEWORK_ONLY_NOT_TRAINED</x:v>
      </x:c>
      <x:c r="P170" s="53" t="str">
        <x:v>0.4</x:v>
      </x:c>
    </x:row>
    <x:row r="171">
      <x:c r="A171" s="26" t="str">
        <x:v>SCI-ELEC-09</x:v>
      </x:c>
      <x:c r="B171" s="26" t="str">
        <x:v>ELEC</x:v>
      </x:c>
      <x:c r="C171" s="26" t="str">
        <x:v>Электротехника, электроника и энергия</x:v>
      </x:c>
      <x:c r="D171" s="26" t="str">
        <x:v>Обратная связь, управление и safe-state</x:v>
      </x:c>
      <x:c r="E171" s="26" t="str">
        <x:v>Объяснить базовую модель, выполнить допустимую для класса риска проверку и документировать пределы по теме «Обратная связь, управление и safe-state».</x:v>
      </x:c>
      <x:c r="F171" s="26" t="str">
        <x:v>симуляция или маломощный стенд с ручным отключением</x:v>
      </x:c>
      <x:c r="G171" s="26" t="str">
        <x:v>V/A/Wh/сигнал</x:v>
      </x:c>
      <x:c r="H171" s="26" t="str">
        <x:v>SI или явно названный стандарт</x:v>
      </x:c>
      <x:c r="I171" s="26" t="str">
        <x:v>S2_TRAINED_SUPERVISED</x:v>
      </x:c>
      <x:c r="J171" s="26" t="str">
        <x:v>Только после обучения и под компетентным надзором; бытовая самостоятельная импровизация запрещена.</x:v>
      </x:c>
      <x:c r="K171" s="26" t="str">
        <x:v>SCI-ELEC-08|SCI-METH-13</x:v>
      </x:c>
      <x:c r="L171" s="26" t="n">
        <x:v>1</x:v>
      </x:c>
      <x:c r="M171" s="26" t="n">
        <x:v>1</x:v>
      </x:c>
      <x:c r="N17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1" s="26" t="str">
        <x:v>FRAMEWORK_ONLY_NOT_TRAINED</x:v>
      </x:c>
      <x:c r="P171" s="26" t="str">
        <x:v>0.4</x:v>
      </x:c>
    </x:row>
    <x:row r="172">
      <x:c r="A172" s="53" t="str">
        <x:v>SCI-ELEC-10</x:v>
      </x:c>
      <x:c r="B172" s="53" t="str">
        <x:v>ELEC</x:v>
      </x:c>
      <x:c r="C172" s="53" t="str">
        <x:v>Электротехника, электроника и энергия</x:v>
      </x:c>
      <x:c r="D172" s="53" t="str">
        <x:v>Двигатели, генераторы и привод</x:v>
      </x:c>
      <x:c r="E172" s="53" t="str">
        <x:v>Объяснить базовую модель, выполнить допустимую для класса риска проверку и документировать пределы по теме «Двигатели, генераторы и привод».</x:v>
      </x:c>
      <x:c r="F172" s="53" t="str">
        <x:v>учебный маломощный мотор с ограждением</x:v>
      </x:c>
      <x:c r="G172" s="53" t="str">
        <x:v>V/A/Wh/сигнал</x:v>
      </x:c>
      <x:c r="H172" s="53" t="str">
        <x:v>SI или явно названный стандарт</x:v>
      </x:c>
      <x:c r="I172" s="53" t="str">
        <x:v>S2_TRAINED_SUPERVISED</x:v>
      </x:c>
      <x:c r="J172" s="53" t="str">
        <x:v>Только после обучения и под компетентным надзором; бытовая самостоятельная импровизация запрещена.</x:v>
      </x:c>
      <x:c r="K172" s="53" t="str">
        <x:v>SCI-ELEC-09|SCI-METH-13</x:v>
      </x:c>
      <x:c r="L172" s="53" t="n">
        <x:v>1</x:v>
      </x:c>
      <x:c r="M172" s="53" t="n">
        <x:v>1</x:v>
      </x:c>
      <x:c r="N17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2" s="53" t="str">
        <x:v>FRAMEWORK_ONLY_NOT_TRAINED</x:v>
      </x:c>
      <x:c r="P172" s="53" t="str">
        <x:v>0.4</x:v>
      </x:c>
    </x:row>
    <x:row r="173">
      <x:c r="A173" s="26" t="str">
        <x:v>SCI-ELEC-11</x:v>
      </x:c>
      <x:c r="B173" s="26" t="str">
        <x:v>ELEC</x:v>
      </x:c>
      <x:c r="C173" s="26" t="str">
        <x:v>Электротехника, электроника и энергия</x:v>
      </x:c>
      <x:c r="D173" s="26" t="str">
        <x:v>Солнечная фотоэлектрика и низковольтная автономная система</x:v>
      </x:c>
      <x:c r="E173" s="26" t="str">
        <x:v>Объяснить базовую модель, выполнить допустимую для класса риска проверку и документировать пределы по теме «Солнечная фотоэлектрика и низковольтная автономная система».</x:v>
      </x:c>
      <x:c r="F173" s="26" t="str">
        <x:v>энергетический бюджет; монтаж здания — специалист</x:v>
      </x:c>
      <x:c r="G173" s="26" t="str">
        <x:v>V/A/Wh/сигнал</x:v>
      </x:c>
      <x:c r="H173" s="26" t="str">
        <x:v>SI или явно названный стандарт</x:v>
      </x:c>
      <x:c r="I173" s="26" t="str">
        <x:v>S2_TRAINED_SUPERVISED</x:v>
      </x:c>
      <x:c r="J173" s="26" t="str">
        <x:v>Только после обучения и под компетентным надзором; бытовая самостоятельная импровизация запрещена.</x:v>
      </x:c>
      <x:c r="K173" s="26" t="str">
        <x:v>SCI-ELEC-10|SCI-METH-13</x:v>
      </x:c>
      <x:c r="L173" s="26" t="n">
        <x:v>1</x:v>
      </x:c>
      <x:c r="M173" s="26" t="n">
        <x:v>1</x:v>
      </x:c>
      <x:c r="N17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3" s="26" t="str">
        <x:v>FRAMEWORK_ONLY_NOT_TRAINED</x:v>
      </x:c>
      <x:c r="P173" s="26" t="str">
        <x:v>0.4</x:v>
      </x:c>
    </x:row>
    <x:row r="174">
      <x:c r="A174" s="53" t="str">
        <x:v>SCI-ELEC-12</x:v>
      </x:c>
      <x:c r="B174" s="53" t="str">
        <x:v>ELEC</x:v>
      </x:c>
      <x:c r="C174" s="53" t="str">
        <x:v>Электротехника, электроника и энергия</x:v>
      </x:c>
      <x:c r="D174" s="53" t="str">
        <x:v>Батареи, заряд, BMS и пожарный риск</x:v>
      </x:c>
      <x:c r="E174" s="53" t="str">
        <x:v>Объяснить базовую модель, выполнить допустимую для класса риска проверку и документировать пределы по теме «Батареи, заряд, BMS и пожарный риск».</x:v>
      </x:c>
      <x:c r="F174" s="53" t="str">
        <x:v>учёт состояния штатных исправных модулей; разборка запрещена</x:v>
      </x:c>
      <x:c r="G174" s="53" t="str">
        <x:v>V/A/Wh/сигнал</x:v>
      </x:c>
      <x:c r="H174" s="53" t="str">
        <x:v>SI или явно названный стандарт</x:v>
      </x:c>
      <x:c r="I174" s="53" t="str">
        <x:v>S2_TRAINED_SUPERVISED</x:v>
      </x:c>
      <x:c r="J174" s="53" t="str">
        <x:v>Только после обучения и под компетентным надзором; бытовая самостоятельная импровизация запрещена.</x:v>
      </x:c>
      <x:c r="K174" s="53" t="str">
        <x:v>SCI-ELEC-11|SCI-METH-13</x:v>
      </x:c>
      <x:c r="L174" s="53" t="n">
        <x:v>1</x:v>
      </x:c>
      <x:c r="M174" s="53" t="n">
        <x:v>1</x:v>
      </x:c>
      <x:c r="N17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4" s="53" t="str">
        <x:v>FRAMEWORK_ONLY_NOT_TRAINED</x:v>
      </x:c>
      <x:c r="P174" s="53" t="str">
        <x:v>0.4</x:v>
      </x:c>
    </x:row>
    <x:row r="175">
      <x:c r="A175" s="26" t="str">
        <x:v>SCI-ELEC-13</x:v>
      </x:c>
      <x:c r="B175" s="26" t="str">
        <x:v>ELEC</x:v>
      </x:c>
      <x:c r="C175" s="26" t="str">
        <x:v>Электротехника, электроника и энергия</x:v>
      </x:c>
      <x:c r="D175" s="26" t="str">
        <x:v>Энергетический аудит, ватт-часы и управление нагрузкой</x:v>
      </x:c>
      <x:c r="E175" s="26" t="str">
        <x:v>Объяснить базовую модель, выполнить допустимую для класса риска проверку и документировать пределы по теме «Энергетический аудит, ватт-часы и управление нагрузкой».</x:v>
      </x:c>
      <x:c r="F175" s="26" t="str">
        <x:v>суточный журнал безопасных потребителей</x:v>
      </x:c>
      <x:c r="G175" s="26" t="str">
        <x:v>V/A/Wh/сигнал</x:v>
      </x:c>
      <x:c r="H175" s="26" t="str">
        <x:v>SI или явно названный стандарт</x:v>
      </x:c>
      <x:c r="I175" s="26" t="str">
        <x:v>S1_LOW_RISK_HOUSEHOLD</x:v>
      </x:c>
      <x:c r="J17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75" s="26" t="str">
        <x:v>SCI-ELEC-12|SCI-METH-13</x:v>
      </x:c>
      <x:c r="L175" s="26" t="n">
        <x:v>1</x:v>
      </x:c>
      <x:c r="M175" s="26" t="n">
        <x:v>1</x:v>
      </x:c>
      <x:c r="N17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5" s="26" t="str">
        <x:v>FRAMEWORK_ONLY_NOT_TRAINED</x:v>
      </x:c>
      <x:c r="P175" s="26" t="str">
        <x:v>0.4</x:v>
      </x:c>
    </x:row>
    <x:row r="176">
      <x:c r="A176" s="53" t="str">
        <x:v>SCI-ELEC-14</x:v>
      </x:c>
      <x:c r="B176" s="53" t="str">
        <x:v>ELEC</x:v>
      </x:c>
      <x:c r="C176" s="53" t="str">
        <x:v>Электротехника, электроника и энергия</x:v>
      </x:c>
      <x:c r="D176" s="53" t="str">
        <x:v>Сеть 230 В, щит, защита и backfeed</x:v>
      </x:c>
      <x:c r="E176" s="53" t="str">
        <x:v>Объяснить базовую модель, выполнить допустимую для класса риска проверку и документировать пределы по теме «Сеть 230 В, щит, защита и backfeed».</x:v>
      </x:c>
      <x:c r="F176" s="53" t="str">
        <x:v>только распознавание и отключение; работы — лицензированный специалист</x:v>
      </x:c>
      <x:c r="G176" s="53" t="str">
        <x:v>V/A/Wh/сигнал</x:v>
      </x:c>
      <x:c r="H176" s="53" t="str">
        <x:v>SI или явно названный стандарт</x:v>
      </x:c>
      <x:c r="I176" s="53" t="str">
        <x:v>S3_LICENSED_PROFESSIONAL</x:v>
      </x:c>
      <x:c r="J176" s="53" t="str">
        <x:v>Только квалифицированный/лицензированный специалист в подходящей среде и по действующим нормам.</x:v>
      </x:c>
      <x:c r="K176" s="53" t="str">
        <x:v>SCI-ELEC-13|SCI-METH-13</x:v>
      </x:c>
      <x:c r="L176" s="53" t="n">
        <x:v>1</x:v>
      </x:c>
      <x:c r="M176" s="53" t="n">
        <x:v>1</x:v>
      </x:c>
      <x:c r="N17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6" s="53" t="str">
        <x:v>FRAMEWORK_ONLY_NOT_TRAINED</x:v>
      </x:c>
      <x:c r="P176" s="53" t="str">
        <x:v>0.4</x:v>
      </x:c>
    </x:row>
    <x:row r="177">
      <x:c r="A177" s="26" t="str">
        <x:v>SCI-ELEC-15</x:v>
      </x:c>
      <x:c r="B177" s="26" t="str">
        <x:v>ELEC</x:v>
      </x:c>
      <x:c r="C177" s="26" t="str">
        <x:v>Электротехника, электроника и энергия</x:v>
      </x:c>
      <x:c r="D177" s="26" t="str">
        <x:v>Заземление, молниезащита и EMC</x:v>
      </x:c>
      <x:c r="E177" s="26" t="str">
        <x:v>Объяснить базовую модель, выполнить допустимую для класса риска проверку и документировать пределы по теме «Заземление, молниезащита и EMC».</x:v>
      </x:c>
      <x:c r="F177" s="26" t="str">
        <x:v>чтение проекта/отчёта; измерения установки — специалист</x:v>
      </x:c>
      <x:c r="G177" s="26" t="str">
        <x:v>V/A/Wh/сигнал</x:v>
      </x:c>
      <x:c r="H177" s="26" t="str">
        <x:v>SI или явно названный стандарт</x:v>
      </x:c>
      <x:c r="I177" s="26" t="str">
        <x:v>S3_LICENSED_PROFESSIONAL</x:v>
      </x:c>
      <x:c r="J177" s="26" t="str">
        <x:v>Только квалифицированный/лицензированный специалист в подходящей среде и по действующим нормам.</x:v>
      </x:c>
      <x:c r="K177" s="26" t="str">
        <x:v>SCI-ELEC-14|SCI-METH-13</x:v>
      </x:c>
      <x:c r="L177" s="26" t="n">
        <x:v>1</x:v>
      </x:c>
      <x:c r="M177" s="26" t="n">
        <x:v>1</x:v>
      </x:c>
      <x:c r="N17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7" s="26" t="str">
        <x:v>FRAMEWORK_ONLY_NOT_TRAINED</x:v>
      </x:c>
      <x:c r="P177" s="26" t="str">
        <x:v>0.4</x:v>
      </x:c>
    </x:row>
    <x:row r="178">
      <x:c r="A178" s="53" t="str">
        <x:v>SCI-ELEC-16</x:v>
      </x:c>
      <x:c r="B178" s="53" t="str">
        <x:v>ELEC</x:v>
      </x:c>
      <x:c r="C178" s="53" t="str">
        <x:v>Электротехника, электроника и энергия</x:v>
      </x:c>
      <x:c r="D178" s="53" t="str">
        <x:v>Радиосвязь, спектр и антенны</x:v>
      </x:c>
      <x:c r="E178" s="53" t="str">
        <x:v>Объяснить базовую модель, выполнить допустимую для класса риска проверку и документировать пределы по теме «Радиосвязь, спектр и антенны».</x:v>
      </x:c>
      <x:c r="F178" s="53" t="str">
        <x:v>приём/учебный расчёт; передача только законно и в пределах допуска</x:v>
      </x:c>
      <x:c r="G178" s="53" t="str">
        <x:v>V/A/Wh/сигнал</x:v>
      </x:c>
      <x:c r="H178" s="53" t="str">
        <x:v>SI или явно названный стандарт</x:v>
      </x:c>
      <x:c r="I178" s="53" t="str">
        <x:v>S2_TRAINED_SUPERVISED</x:v>
      </x:c>
      <x:c r="J178" s="53" t="str">
        <x:v>Только после обучения и под компетентным надзором; бытовая самостоятельная импровизация запрещена.</x:v>
      </x:c>
      <x:c r="K178" s="53" t="str">
        <x:v>SCI-ELEC-15|SCI-METH-13</x:v>
      </x:c>
      <x:c r="L178" s="53" t="n">
        <x:v>1</x:v>
      </x:c>
      <x:c r="M178" s="53" t="n">
        <x:v>1</x:v>
      </x:c>
      <x:c r="N17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8" s="53" t="str">
        <x:v>FRAMEWORK_ONLY_NOT_TRAINED</x:v>
      </x:c>
      <x:c r="P178" s="53" t="str">
        <x:v>0.4</x:v>
      </x:c>
    </x:row>
    <x:row r="179">
      <x:c r="A179" s="26" t="str">
        <x:v>SCI-ELEC-17</x:v>
      </x:c>
      <x:c r="B179" s="26" t="str">
        <x:v>ELEC</x:v>
      </x:c>
      <x:c r="C179" s="26" t="str">
        <x:v>Электротехника, электроника и энергия</x:v>
      </x:c>
      <x:c r="D179" s="26" t="str">
        <x:v>Проводная/беспроводная связь и PACE</x:v>
      </x:c>
      <x:c r="E179" s="26" t="str">
        <x:v>Объяснить базовую модель, выполнить допустимую для класса риска проверку и документировать пределы по теме «Проводная/беспроводная связь и PACE».</x:v>
      </x:c>
      <x:c r="F179" s="26" t="str">
        <x:v>тест независимых каналов без нарушения спектральных правил</x:v>
      </x:c>
      <x:c r="G179" s="26" t="str">
        <x:v>V/A/Wh/сигнал</x:v>
      </x:c>
      <x:c r="H179" s="26" t="str">
        <x:v>SI или явно названный стандарт</x:v>
      </x:c>
      <x:c r="I179" s="26" t="str">
        <x:v>S1_LOW_RISK_HOUSEHOLD</x:v>
      </x:c>
      <x:c r="J179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79" s="26" t="str">
        <x:v>SCI-ELEC-16|SCI-METH-13</x:v>
      </x:c>
      <x:c r="L179" s="26" t="n">
        <x:v>1</x:v>
      </x:c>
      <x:c r="M179" s="26" t="n">
        <x:v>1</x:v>
      </x:c>
      <x:c r="N17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79" s="26" t="str">
        <x:v>FRAMEWORK_ONLY_NOT_TRAINED</x:v>
      </x:c>
      <x:c r="P179" s="26" t="str">
        <x:v>0.4</x:v>
      </x:c>
    </x:row>
    <x:row r="180">
      <x:c r="A180" s="53" t="str">
        <x:v>SCI-COMP-01</x:v>
      </x:c>
      <x:c r="B180" s="53" t="str">
        <x:v>COMP</x:v>
      </x:c>
      <x:c r="C180" s="53" t="str">
        <x:v>Вычисления и цифровая инженерия</x:v>
      </x:c>
      <x:c r="D180" s="53" t="str">
        <x:v>Архитектура компьютера и представление данных</x:v>
      </x:c>
      <x:c r="E180" s="53" t="str">
        <x:v>Объяснить базовую модель, выполнить допустимую для класса риска проверку и документировать пределы по теме «Архитектура компьютера и представление данных».</x:v>
      </x:c>
      <x:c r="F180" s="53" t="str">
        <x:v>разбор пути данные–память–процессор–вывод</x:v>
      </x:c>
      <x:c r="G180" s="53" t="str">
        <x:v>воспроизводимый файл/тест</x:v>
      </x:c>
      <x:c r="H180" s="53" t="str">
        <x:v>SI или явно названный стандарт</x:v>
      </x:c>
      <x:c r="I180" s="53" t="str">
        <x:v>S0_OBSERVE_READ</x:v>
      </x:c>
      <x:c r="J180" s="53" t="str">
        <x:v>Наблюдение, чтение, расчёт или работа с опубликованным набором данных; физического вмешательства нет.</x:v>
      </x:c>
      <x:c r="K180" s="53" t="str">
        <x:v>SCI-METH-01|SCI-METH-07|SCI-METH-14</x:v>
      </x:c>
      <x:c r="L180" s="53" t="n">
        <x:v>1</x:v>
      </x:c>
      <x:c r="M180" s="53" t="n">
        <x:v>1</x:v>
      </x:c>
      <x:c r="N18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0" s="53" t="str">
        <x:v>FRAMEWORK_ONLY_NOT_TRAINED</x:v>
      </x:c>
      <x:c r="P180" s="53" t="str">
        <x:v>0.4</x:v>
      </x:c>
    </x:row>
    <x:row r="181">
      <x:c r="A181" s="26" t="str">
        <x:v>SCI-COMP-02</x:v>
      </x:c>
      <x:c r="B181" s="26" t="str">
        <x:v>COMP</x:v>
      </x:c>
      <x:c r="C181" s="26" t="str">
        <x:v>Вычисления и цифровая инженерия</x:v>
      </x:c>
      <x:c r="D181" s="26" t="str">
        <x:v>Операционные системы и Linux</x:v>
      </x:c>
      <x:c r="E181" s="26" t="str">
        <x:v>Объяснить базовую модель, выполнить допустимую для класса риска проверку и документировать пределы по теме «Операционные системы и Linux».</x:v>
      </x:c>
      <x:c r="F181" s="26" t="str">
        <x:v>установка в изолированную виртуальную машину</x:v>
      </x:c>
      <x:c r="G181" s="26" t="str">
        <x:v>воспроизводимый файл/тест</x:v>
      </x:c>
      <x:c r="H181" s="26" t="str">
        <x:v>SI или явно названный стандарт</x:v>
      </x:c>
      <x:c r="I181" s="26" t="str">
        <x:v>S0_OBSERVE_READ</x:v>
      </x:c>
      <x:c r="J181" s="26" t="str">
        <x:v>Наблюдение, чтение, расчёт или работа с опубликованным набором данных; физического вмешательства нет.</x:v>
      </x:c>
      <x:c r="K181" s="26" t="str">
        <x:v>SCI-COMP-01|SCI-METH-13</x:v>
      </x:c>
      <x:c r="L181" s="26" t="n">
        <x:v>1</x:v>
      </x:c>
      <x:c r="M181" s="26" t="n">
        <x:v>1</x:v>
      </x:c>
      <x:c r="N18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1" s="26" t="str">
        <x:v>FRAMEWORK_ONLY_NOT_TRAINED</x:v>
      </x:c>
      <x:c r="P181" s="26" t="str">
        <x:v>0.4</x:v>
      </x:c>
    </x:row>
    <x:row r="182">
      <x:c r="A182" s="53" t="str">
        <x:v>SCI-COMP-03</x:v>
      </x:c>
      <x:c r="B182" s="53" t="str">
        <x:v>COMP</x:v>
      </x:c>
      <x:c r="C182" s="53" t="str">
        <x:v>Вычисления и цифровая инженерия</x:v>
      </x:c>
      <x:c r="D182" s="53" t="str">
        <x:v>Файловые системы, права и контроль целостности</x:v>
      </x:c>
      <x:c r="E182" s="53" t="str">
        <x:v>Объяснить базовую модель, выполнить допустимую для класса риска проверку и документировать пределы по теме «Файловые системы, права и контроль целостности».</x:v>
      </x:c>
      <x:c r="F182" s="53" t="str">
        <x:v>создание/проверка hash и тест восстановления</x:v>
      </x:c>
      <x:c r="G182" s="53" t="str">
        <x:v>воспроизводимый файл/тест</x:v>
      </x:c>
      <x:c r="H182" s="53" t="str">
        <x:v>SI или явно названный стандарт</x:v>
      </x:c>
      <x:c r="I182" s="53" t="str">
        <x:v>S0_OBSERVE_READ</x:v>
      </x:c>
      <x:c r="J182" s="53" t="str">
        <x:v>Наблюдение, чтение, расчёт или работа с опубликованным набором данных; физического вмешательства нет.</x:v>
      </x:c>
      <x:c r="K182" s="53" t="str">
        <x:v>SCI-COMP-02|SCI-METH-13</x:v>
      </x:c>
      <x:c r="L182" s="53" t="n">
        <x:v>1</x:v>
      </x:c>
      <x:c r="M182" s="53" t="n">
        <x:v>1</x:v>
      </x:c>
      <x:c r="N18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2" s="53" t="str">
        <x:v>FRAMEWORK_ONLY_NOT_TRAINED</x:v>
      </x:c>
      <x:c r="P182" s="53" t="str">
        <x:v>0.4</x:v>
      </x:c>
    </x:row>
    <x:row r="183">
      <x:c r="A183" s="26" t="str">
        <x:v>SCI-COMP-04</x:v>
      </x:c>
      <x:c r="B183" s="26" t="str">
        <x:v>COMP</x:v>
      </x:c>
      <x:c r="C183" s="26" t="str">
        <x:v>Вычисления и цифровая инженерия</x:v>
      </x:c>
      <x:c r="D183" s="26" t="str">
        <x:v>Командная строка и автоматизация</x:v>
      </x:c>
      <x:c r="E183" s="26" t="str">
        <x:v>Объяснить базовую модель, выполнить допустимую для класса риска проверку и документировать пределы по теме «Командная строка и автоматизация».</x:v>
      </x:c>
      <x:c r="F183" s="26" t="str">
        <x:v>идемпотентный безопасный скрипт в тестовом каталоге</x:v>
      </x:c>
      <x:c r="G183" s="26" t="str">
        <x:v>воспроизводимый файл/тест</x:v>
      </x:c>
      <x:c r="H183" s="26" t="str">
        <x:v>SI или явно названный стандарт</x:v>
      </x:c>
      <x:c r="I183" s="26" t="str">
        <x:v>S0_OBSERVE_READ</x:v>
      </x:c>
      <x:c r="J183" s="26" t="str">
        <x:v>Наблюдение, чтение, расчёт или работа с опубликованным набором данных; физического вмешательства нет.</x:v>
      </x:c>
      <x:c r="K183" s="26" t="str">
        <x:v>SCI-COMP-03|SCI-METH-13</x:v>
      </x:c>
      <x:c r="L183" s="26" t="n">
        <x:v>1</x:v>
      </x:c>
      <x:c r="M183" s="26" t="n">
        <x:v>1</x:v>
      </x:c>
      <x:c r="N18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3" s="26" t="str">
        <x:v>FRAMEWORK_ONLY_NOT_TRAINED</x:v>
      </x:c>
      <x:c r="P183" s="26" t="str">
        <x:v>0.4</x:v>
      </x:c>
    </x:row>
    <x:row r="184">
      <x:c r="A184" s="53" t="str">
        <x:v>SCI-COMP-05</x:v>
      </x:c>
      <x:c r="B184" s="53" t="str">
        <x:v>COMP</x:v>
      </x:c>
      <x:c r="C184" s="53" t="str">
        <x:v>Вычисления и цифровая инженерия</x:v>
      </x:c>
      <x:c r="D184" s="53" t="str">
        <x:v>Python и воспроизводимый анализ</x:v>
      </x:c>
      <x:c r="E184" s="53" t="str">
        <x:v>Объяснить базовую модель, выполнить допустимую для класса риска проверку и документировать пределы по теме «Python и воспроизводимый анализ».</x:v>
      </x:c>
      <x:c r="F184" s="53" t="str">
        <x:v>скрипт читает CSV, считает результат и сохраняет версию</x:v>
      </x:c>
      <x:c r="G184" s="53" t="str">
        <x:v>воспроизводимый файл/тест</x:v>
      </x:c>
      <x:c r="H184" s="53" t="str">
        <x:v>SI или явно названный стандарт</x:v>
      </x:c>
      <x:c r="I184" s="53" t="str">
        <x:v>S0_OBSERVE_READ</x:v>
      </x:c>
      <x:c r="J184" s="53" t="str">
        <x:v>Наблюдение, чтение, расчёт или работа с опубликованным набором данных; физического вмешательства нет.</x:v>
      </x:c>
      <x:c r="K184" s="53" t="str">
        <x:v>SCI-COMP-04|SCI-METH-13</x:v>
      </x:c>
      <x:c r="L184" s="53" t="n">
        <x:v>1</x:v>
      </x:c>
      <x:c r="M184" s="53" t="n">
        <x:v>1</x:v>
      </x:c>
      <x:c r="N18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4" s="53" t="str">
        <x:v>FRAMEWORK_ONLY_NOT_TRAINED</x:v>
      </x:c>
      <x:c r="P184" s="53" t="str">
        <x:v>0.4</x:v>
      </x:c>
    </x:row>
    <x:row r="185">
      <x:c r="A185" s="26" t="str">
        <x:v>SCI-COMP-06</x:v>
      </x:c>
      <x:c r="B185" s="26" t="str">
        <x:v>COMP</x:v>
      </x:c>
      <x:c r="C185" s="26" t="str">
        <x:v>Вычисления и цифровая инженерия</x:v>
      </x:c>
      <x:c r="D185" s="26" t="str">
        <x:v>C и память в изолированной учебной среде</x:v>
      </x:c>
      <x:c r="E185" s="26" t="str">
        <x:v>Объяснить базовую модель, выполнить допустимую для класса риска проверку и документировать пределы по теме «C и память в изолированной учебной среде».</x:v>
      </x:c>
      <x:c r="F185" s="26" t="str">
        <x:v>компиляция малого примера с предупреждениями</x:v>
      </x:c>
      <x:c r="G185" s="26" t="str">
        <x:v>воспроизводимый файл/тест</x:v>
      </x:c>
      <x:c r="H185" s="26" t="str">
        <x:v>SI или явно названный стандарт</x:v>
      </x:c>
      <x:c r="I185" s="26" t="str">
        <x:v>S0_OBSERVE_READ</x:v>
      </x:c>
      <x:c r="J185" s="26" t="str">
        <x:v>Наблюдение, чтение, расчёт или работа с опубликованным набором данных; физического вмешательства нет.</x:v>
      </x:c>
      <x:c r="K185" s="26" t="str">
        <x:v>SCI-COMP-05|SCI-METH-13</x:v>
      </x:c>
      <x:c r="L185" s="26" t="n">
        <x:v>1</x:v>
      </x:c>
      <x:c r="M185" s="26" t="n">
        <x:v>1</x:v>
      </x:c>
      <x:c r="N18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5" s="26" t="str">
        <x:v>FRAMEWORK_ONLY_NOT_TRAINED</x:v>
      </x:c>
      <x:c r="P185" s="26" t="str">
        <x:v>0.4</x:v>
      </x:c>
    </x:row>
    <x:row r="186">
      <x:c r="A186" s="53" t="str">
        <x:v>SCI-COMP-07</x:v>
      </x:c>
      <x:c r="B186" s="53" t="str">
        <x:v>COMP</x:v>
      </x:c>
      <x:c r="C186" s="53" t="str">
        <x:v>Вычисления и цифровая инженерия</x:v>
      </x:c>
      <x:c r="D186" s="53" t="str">
        <x:v>Алгоритмы и оценка сложности</x:v>
      </x:c>
      <x:c r="E186" s="53" t="str">
        <x:v>Объяснить базовую модель, выполнить допустимую для класса риска проверку и документировать пределы по теме «Алгоритмы и оценка сложности».</x:v>
      </x:c>
      <x:c r="F186" s="53" t="str">
        <x:v>сравнение времени двух методов на синтетических данных</x:v>
      </x:c>
      <x:c r="G186" s="53" t="str">
        <x:v>воспроизводимый файл/тест</x:v>
      </x:c>
      <x:c r="H186" s="53" t="str">
        <x:v>SI или явно названный стандарт</x:v>
      </x:c>
      <x:c r="I186" s="53" t="str">
        <x:v>S0_OBSERVE_READ</x:v>
      </x:c>
      <x:c r="J186" s="53" t="str">
        <x:v>Наблюдение, чтение, расчёт или работа с опубликованным набором данных; физического вмешательства нет.</x:v>
      </x:c>
      <x:c r="K186" s="53" t="str">
        <x:v>SCI-COMP-06|SCI-METH-13</x:v>
      </x:c>
      <x:c r="L186" s="53" t="n">
        <x:v>1</x:v>
      </x:c>
      <x:c r="M186" s="53" t="n">
        <x:v>1</x:v>
      </x:c>
      <x:c r="N18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6" s="53" t="str">
        <x:v>FRAMEWORK_ONLY_NOT_TRAINED</x:v>
      </x:c>
      <x:c r="P186" s="53" t="str">
        <x:v>0.4</x:v>
      </x:c>
    </x:row>
    <x:row r="187">
      <x:c r="A187" s="26" t="str">
        <x:v>SCI-COMP-08</x:v>
      </x:c>
      <x:c r="B187" s="26" t="str">
        <x:v>COMP</x:v>
      </x:c>
      <x:c r="C187" s="26" t="str">
        <x:v>Вычисления и цифровая инженерия</x:v>
      </x:c>
      <x:c r="D187" s="26" t="str">
        <x:v>Структуры данных и сериализация</x:v>
      </x:c>
      <x:c r="E187" s="26" t="str">
        <x:v>Объяснить базовую модель, выполнить допустимую для класса риска проверку и документировать пределы по теме «Структуры данных и сериализация».</x:v>
      </x:c>
      <x:c r="F187" s="26" t="str">
        <x:v>round-trip с проверкой эквивалентности</x:v>
      </x:c>
      <x:c r="G187" s="26" t="str">
        <x:v>воспроизводимый файл/тест</x:v>
      </x:c>
      <x:c r="H187" s="26" t="str">
        <x:v>SI или явно названный стандарт</x:v>
      </x:c>
      <x:c r="I187" s="26" t="str">
        <x:v>S0_OBSERVE_READ</x:v>
      </x:c>
      <x:c r="J187" s="26" t="str">
        <x:v>Наблюдение, чтение, расчёт или работа с опубликованным набором данных; физического вмешательства нет.</x:v>
      </x:c>
      <x:c r="K187" s="26" t="str">
        <x:v>SCI-COMP-07|SCI-METH-13</x:v>
      </x:c>
      <x:c r="L187" s="26" t="n">
        <x:v>1</x:v>
      </x:c>
      <x:c r="M187" s="26" t="n">
        <x:v>1</x:v>
      </x:c>
      <x:c r="N18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7" s="26" t="str">
        <x:v>FRAMEWORK_ONLY_NOT_TRAINED</x:v>
      </x:c>
      <x:c r="P187" s="26" t="str">
        <x:v>0.4</x:v>
      </x:c>
    </x:row>
    <x:row r="188">
      <x:c r="A188" s="53" t="str">
        <x:v>SCI-COMP-09</x:v>
      </x:c>
      <x:c r="B188" s="53" t="str">
        <x:v>COMP</x:v>
      </x:c>
      <x:c r="C188" s="53" t="str">
        <x:v>Вычисления и цифровая инженерия</x:v>
      </x:c>
      <x:c r="D188" s="53" t="str">
        <x:v>Реляционные базы, SQL и транзакции</x:v>
      </x:c>
      <x:c r="E188" s="53" t="str">
        <x:v>Объяснить базовую модель, выполнить допустимую для класса риска проверку и документировать пределы по теме «Реляционные базы, SQL и транзакции».</x:v>
      </x:c>
      <x:c r="F188" s="53" t="str">
        <x:v>создание локальной БД и проверка rollback</x:v>
      </x:c>
      <x:c r="G188" s="53" t="str">
        <x:v>воспроизводимый файл/тест</x:v>
      </x:c>
      <x:c r="H188" s="53" t="str">
        <x:v>SI или явно названный стандарт</x:v>
      </x:c>
      <x:c r="I188" s="53" t="str">
        <x:v>S0_OBSERVE_READ</x:v>
      </x:c>
      <x:c r="J188" s="53" t="str">
        <x:v>Наблюдение, чтение, расчёт или работа с опубликованным набором данных; физического вмешательства нет.</x:v>
      </x:c>
      <x:c r="K188" s="53" t="str">
        <x:v>SCI-COMP-08|SCI-METH-13</x:v>
      </x:c>
      <x:c r="L188" s="53" t="n">
        <x:v>1</x:v>
      </x:c>
      <x:c r="M188" s="53" t="n">
        <x:v>1</x:v>
      </x:c>
      <x:c r="N18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8" s="53" t="str">
        <x:v>FRAMEWORK_ONLY_NOT_TRAINED</x:v>
      </x:c>
      <x:c r="P188" s="53" t="str">
        <x:v>0.4</x:v>
      </x:c>
    </x:row>
    <x:row r="189">
      <x:c r="A189" s="26" t="str">
        <x:v>SCI-COMP-10</x:v>
      </x:c>
      <x:c r="B189" s="26" t="str">
        <x:v>COMP</x:v>
      </x:c>
      <x:c r="C189" s="26" t="str">
        <x:v>Вычисления и цифровая инженерия</x:v>
      </x:c>
      <x:c r="D189" s="26" t="str">
        <x:v>Сети, адресация, DNS и маршрутизация</x:v>
      </x:c>
      <x:c r="E189" s="26" t="str">
        <x:v>Объяснить базовую модель, выполнить допустимую для класса риска проверку и документировать пределы по теме «Сети, адресация, DNS и маршрутизация».</x:v>
      </x:c>
      <x:c r="F189" s="26" t="str">
        <x:v>локальная лаборатория без сканирования чужих систем</x:v>
      </x:c>
      <x:c r="G189" s="26" t="str">
        <x:v>воспроизводимый файл/тест</x:v>
      </x:c>
      <x:c r="H189" s="26" t="str">
        <x:v>SI или явно названный стандарт</x:v>
      </x:c>
      <x:c r="I189" s="26" t="str">
        <x:v>S0_OBSERVE_READ</x:v>
      </x:c>
      <x:c r="J189" s="26" t="str">
        <x:v>Наблюдение, чтение, расчёт или работа с опубликованным набором данных; физического вмешательства нет.</x:v>
      </x:c>
      <x:c r="K189" s="26" t="str">
        <x:v>SCI-COMP-09|SCI-METH-13</x:v>
      </x:c>
      <x:c r="L189" s="26" t="n">
        <x:v>1</x:v>
      </x:c>
      <x:c r="M189" s="26" t="n">
        <x:v>1</x:v>
      </x:c>
      <x:c r="N18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89" s="26" t="str">
        <x:v>FRAMEWORK_ONLY_NOT_TRAINED</x:v>
      </x:c>
      <x:c r="P189" s="26" t="str">
        <x:v>0.4</x:v>
      </x:c>
    </x:row>
    <x:row r="190">
      <x:c r="A190" s="53" t="str">
        <x:v>SCI-COMP-11</x:v>
      </x:c>
      <x:c r="B190" s="53" t="str">
        <x:v>COMP</x:v>
      </x:c>
      <x:c r="C190" s="53" t="str">
        <x:v>Вычисления и цифровая инженерия</x:v>
      </x:c>
      <x:c r="D190" s="53" t="str">
        <x:v>Web, HTTP и автономное зеркалирование</x:v>
      </x:c>
      <x:c r="E190" s="53" t="str">
        <x:v>Объяснить базовую модель, выполнить допустимую для класса риска проверку и документировать пределы по теме «Web, HTTP и автономное зеркалирование».</x:v>
      </x:c>
      <x:c r="F190" s="53" t="str">
        <x:v>локальный статический сайт с сохранённым происхождением</x:v>
      </x:c>
      <x:c r="G190" s="53" t="str">
        <x:v>воспроизводимый файл/тест</x:v>
      </x:c>
      <x:c r="H190" s="53" t="str">
        <x:v>SI или явно названный стандарт</x:v>
      </x:c>
      <x:c r="I190" s="53" t="str">
        <x:v>S0_OBSERVE_READ</x:v>
      </x:c>
      <x:c r="J190" s="53" t="str">
        <x:v>Наблюдение, чтение, расчёт или работа с опубликованным набором данных; физического вмешательства нет.</x:v>
      </x:c>
      <x:c r="K190" s="53" t="str">
        <x:v>SCI-COMP-10|SCI-METH-13</x:v>
      </x:c>
      <x:c r="L190" s="53" t="n">
        <x:v>1</x:v>
      </x:c>
      <x:c r="M190" s="53" t="n">
        <x:v>1</x:v>
      </x:c>
      <x:c r="N19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0" s="53" t="str">
        <x:v>FRAMEWORK_ONLY_NOT_TRAINED</x:v>
      </x:c>
      <x:c r="P190" s="53" t="str">
        <x:v>0.4</x:v>
      </x:c>
    </x:row>
    <x:row r="191">
      <x:c r="A191" s="26" t="str">
        <x:v>SCI-COMP-12</x:v>
      </x:c>
      <x:c r="B191" s="26" t="str">
        <x:v>COMP</x:v>
      </x:c>
      <x:c r="C191" s="26" t="str">
        <x:v>Вычисления и цифровая инженерия</x:v>
      </x:c>
      <x:c r="D191" s="26" t="str">
        <x:v>Версионный контроль и выпуск</x:v>
      </x:c>
      <x:c r="E191" s="26" t="str">
        <x:v>Объяснить базовую модель, выполнить допустимую для класса риска проверку и документировать пределы по теме «Версионный контроль и выпуск».</x:v>
      </x:c>
      <x:c r="F191" s="26" t="str">
        <x:v>commit, tag, changelog и проверяемая сборка</x:v>
      </x:c>
      <x:c r="G191" s="26" t="str">
        <x:v>воспроизводимый файл/тест</x:v>
      </x:c>
      <x:c r="H191" s="26" t="str">
        <x:v>SI или явно названный стандарт</x:v>
      </x:c>
      <x:c r="I191" s="26" t="str">
        <x:v>S0_OBSERVE_READ</x:v>
      </x:c>
      <x:c r="J191" s="26" t="str">
        <x:v>Наблюдение, чтение, расчёт или работа с опубликованным набором данных; физического вмешательства нет.</x:v>
      </x:c>
      <x:c r="K191" s="26" t="str">
        <x:v>SCI-COMP-11|SCI-METH-13</x:v>
      </x:c>
      <x:c r="L191" s="26" t="n">
        <x:v>1</x:v>
      </x:c>
      <x:c r="M191" s="26" t="n">
        <x:v>1</x:v>
      </x:c>
      <x:c r="N19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1" s="26" t="str">
        <x:v>FRAMEWORK_ONLY_NOT_TRAINED</x:v>
      </x:c>
      <x:c r="P191" s="26" t="str">
        <x:v>0.4</x:v>
      </x:c>
    </x:row>
    <x:row r="192">
      <x:c r="A192" s="53" t="str">
        <x:v>SCI-COMP-13</x:v>
      </x:c>
      <x:c r="B192" s="53" t="str">
        <x:v>COMP</x:v>
      </x:c>
      <x:c r="C192" s="53" t="str">
        <x:v>Вычисления и цифровая инженерия</x:v>
      </x:c>
      <x:c r="D192" s="53" t="str">
        <x:v>Защитная кибербезопасность и моделирование угроз</x:v>
      </x:c>
      <x:c r="E192" s="53" t="str">
        <x:v>Объяснить базовую модель, выполнить допустимую для класса риска проверку и документировать пределы по теме «Защитная кибербезопасность и моделирование угроз».</x:v>
      </x:c>
      <x:c r="F192" s="53" t="str">
        <x:v>аудит собственных активов; offensive-операции исключены</x:v>
      </x:c>
      <x:c r="G192" s="53" t="str">
        <x:v>воспроизводимый файл/тест</x:v>
      </x:c>
      <x:c r="H192" s="53" t="str">
        <x:v>SI или явно названный стандарт</x:v>
      </x:c>
      <x:c r="I192" s="53" t="str">
        <x:v>S0_OBSERVE_READ</x:v>
      </x:c>
      <x:c r="J192" s="53" t="str">
        <x:v>Наблюдение, чтение, расчёт или работа с опубликованным набором данных; физического вмешательства нет.</x:v>
      </x:c>
      <x:c r="K192" s="53" t="str">
        <x:v>SCI-COMP-12|SCI-METH-13</x:v>
      </x:c>
      <x:c r="L192" s="53" t="n">
        <x:v>1</x:v>
      </x:c>
      <x:c r="M192" s="53" t="n">
        <x:v>1</x:v>
      </x:c>
      <x:c r="N19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2" s="53" t="str">
        <x:v>FRAMEWORK_ONLY_NOT_TRAINED</x:v>
      </x:c>
      <x:c r="P192" s="53" t="str">
        <x:v>0.4</x:v>
      </x:c>
    </x:row>
    <x:row r="193">
      <x:c r="A193" s="26" t="str">
        <x:v>SCI-COMP-14</x:v>
      </x:c>
      <x:c r="B193" s="26" t="str">
        <x:v>COMP</x:v>
      </x:c>
      <x:c r="C193" s="26" t="str">
        <x:v>Вычисления и цифровая инженерия</x:v>
      </x:c>
      <x:c r="D193" s="26" t="str">
        <x:v>Шифрование, ключи, recovery и succession</x:v>
      </x:c>
      <x:c r="E193" s="26" t="str">
        <x:v>Объяснить базовую модель, выполнить допустимую для класса риска проверку и документировать пределы по теме «Шифрование, ключи, recovery и succession».</x:v>
      </x:c>
      <x:c r="F193" s="26" t="str">
        <x:v>тест восстановления на учебном ключе без реальных секретов</x:v>
      </x:c>
      <x:c r="G193" s="26" t="str">
        <x:v>воспроизводимый файл/тест</x:v>
      </x:c>
      <x:c r="H193" s="26" t="str">
        <x:v>SI или явно названный стандарт</x:v>
      </x:c>
      <x:c r="I193" s="26" t="str">
        <x:v>S0_OBSERVE_READ</x:v>
      </x:c>
      <x:c r="J193" s="26" t="str">
        <x:v>Наблюдение, чтение, расчёт или работа с опубликованным набором данных; физического вмешательства нет.</x:v>
      </x:c>
      <x:c r="K193" s="26" t="str">
        <x:v>SCI-COMP-13|SCI-METH-13</x:v>
      </x:c>
      <x:c r="L193" s="26" t="n">
        <x:v>1</x:v>
      </x:c>
      <x:c r="M193" s="26" t="n">
        <x:v>1</x:v>
      </x:c>
      <x:c r="N19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3" s="26" t="str">
        <x:v>FRAMEWORK_ONLY_NOT_TRAINED</x:v>
      </x:c>
      <x:c r="P193" s="26" t="str">
        <x:v>0.4</x:v>
      </x:c>
    </x:row>
    <x:row r="194">
      <x:c r="A194" s="53" t="str">
        <x:v>SCI-COMP-15</x:v>
      </x:c>
      <x:c r="B194" s="53" t="str">
        <x:v>COMP</x:v>
      </x:c>
      <x:c r="C194" s="53" t="str">
        <x:v>Вычисления и цифровая инженерия</x:v>
      </x:c>
      <x:c r="D194" s="53" t="str">
        <x:v>Встраиваемые системы и низкопотребляющий логгер</x:v>
      </x:c>
      <x:c r="E194" s="53" t="str">
        <x:v>Объяснить базовую модель, выполнить допустимую для класса риска проверку и документировать пределы по теме «Встраиваемые системы и низкопотребляющий логгер».</x:v>
      </x:c>
      <x:c r="F194" s="53" t="str">
        <x:v>безопасный датчик и экспорт сырых данных</x:v>
      </x:c>
      <x:c r="G194" s="53" t="str">
        <x:v>воспроизводимый файл/тест</x:v>
      </x:c>
      <x:c r="H194" s="53" t="str">
        <x:v>SI или явно названный стандарт</x:v>
      </x:c>
      <x:c r="I194" s="53" t="str">
        <x:v>S1_LOW_RISK_HOUSEHOLD</x:v>
      </x:c>
      <x:c r="J194" s="53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194" s="53" t="str">
        <x:v>SCI-COMP-14|SCI-METH-13</x:v>
      </x:c>
      <x:c r="L194" s="53" t="n">
        <x:v>1</x:v>
      </x:c>
      <x:c r="M194" s="53" t="n">
        <x:v>1</x:v>
      </x:c>
      <x:c r="N19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4" s="53" t="str">
        <x:v>FRAMEWORK_ONLY_NOT_TRAINED</x:v>
      </x:c>
      <x:c r="P194" s="53" t="str">
        <x:v>0.4</x:v>
      </x:c>
    </x:row>
    <x:row r="195">
      <x:c r="A195" s="26" t="str">
        <x:v>SCI-COMP-16</x:v>
      </x:c>
      <x:c r="B195" s="26" t="str">
        <x:v>COMP</x:v>
      </x:c>
      <x:c r="C195" s="26" t="str">
        <x:v>Вычисления и цифровая инженерия</x:v>
      </x:c>
      <x:c r="D195" s="26" t="str">
        <x:v>Научные вычисления, численная проверка и тесты</x:v>
      </x:c>
      <x:c r="E195" s="26" t="str">
        <x:v>Объяснить базовую модель, выполнить допустимую для класса риска проверку и документировать пределы по теме «Научные вычисления, численная проверка и тесты».</x:v>
      </x:c>
      <x:c r="F195" s="26" t="str">
        <x:v>сравнение с известным эталонным результатом</x:v>
      </x:c>
      <x:c r="G195" s="26" t="str">
        <x:v>воспроизводимый файл/тест</x:v>
      </x:c>
      <x:c r="H195" s="26" t="str">
        <x:v>SI или явно названный стандарт</x:v>
      </x:c>
      <x:c r="I195" s="26" t="str">
        <x:v>S0_OBSERVE_READ</x:v>
      </x:c>
      <x:c r="J195" s="26" t="str">
        <x:v>Наблюдение, чтение, расчёт или работа с опубликованным набором данных; физического вмешательства нет.</x:v>
      </x:c>
      <x:c r="K195" s="26" t="str">
        <x:v>SCI-COMP-15|SCI-METH-13</x:v>
      </x:c>
      <x:c r="L195" s="26" t="n">
        <x:v>1</x:v>
      </x:c>
      <x:c r="M195" s="26" t="n">
        <x:v>1</x:v>
      </x:c>
      <x:c r="N19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5" s="26" t="str">
        <x:v>FRAMEWORK_ONLY_NOT_TRAINED</x:v>
      </x:c>
      <x:c r="P195" s="26" t="str">
        <x:v>0.4</x:v>
      </x:c>
    </x:row>
    <x:row r="196">
      <x:c r="A196" s="53" t="str">
        <x:v>SCI-COMP-17</x:v>
      </x:c>
      <x:c r="B196" s="53" t="str">
        <x:v>COMP</x:v>
      </x:c>
      <x:c r="C196" s="53" t="str">
        <x:v>Вычисления и цифровая инженерия</x:v>
      </x:c>
      <x:c r="D196" s="53" t="str">
        <x:v>Открытые GIS/CAD/EDA-инструменты</x:v>
      </x:c>
      <x:c r="E196" s="53" t="str">
        <x:v>Объяснить базовую модель, выполнить допустимую для класса риска проверку и документировать пределы по теме «Открытые GIS/CAD/EDA-инструменты».</x:v>
      </x:c>
      <x:c r="F196" s="53" t="str">
        <x:v>файл проекта, открываемый на второй машине</x:v>
      </x:c>
      <x:c r="G196" s="53" t="str">
        <x:v>воспроизводимый файл/тест</x:v>
      </x:c>
      <x:c r="H196" s="53" t="str">
        <x:v>SI или явно названный стандарт</x:v>
      </x:c>
      <x:c r="I196" s="53" t="str">
        <x:v>S0_OBSERVE_READ</x:v>
      </x:c>
      <x:c r="J196" s="53" t="str">
        <x:v>Наблюдение, чтение, расчёт или работа с опубликованным набором данных; физического вмешательства нет.</x:v>
      </x:c>
      <x:c r="K196" s="53" t="str">
        <x:v>SCI-COMP-16|SCI-METH-13</x:v>
      </x:c>
      <x:c r="L196" s="53" t="n">
        <x:v>1</x:v>
      </x:c>
      <x:c r="M196" s="53" t="n">
        <x:v>1</x:v>
      </x:c>
      <x:c r="N19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6" s="53" t="str">
        <x:v>FRAMEWORK_ONLY_NOT_TRAINED</x:v>
      </x:c>
      <x:c r="P196" s="53" t="str">
        <x:v>0.4</x:v>
      </x:c>
    </x:row>
    <x:row r="197">
      <x:c r="A197" s="26" t="str">
        <x:v>SCI-EDU-01</x:v>
      </x:c>
      <x:c r="B197" s="26" t="str">
        <x:v>EDU</x:v>
      </x:c>
      <x:c r="C197" s="26" t="str">
        <x:v>Обучение, язык и передача навыка</x:v>
      </x:c>
      <x:c r="D197" s="26" t="str">
        <x:v>Грамотность и чтение технического текста</x:v>
      </x:c>
      <x:c r="E197" s="26" t="str">
        <x:v>Объяснить базовую модель, выполнить допустимую для класса риска проверку и документировать пределы по теме «Грамотность и чтение технического текста».</x:v>
      </x:c>
      <x:c r="F197" s="26" t="str">
        <x:v>пересказ инструкции с выделением условий и запретов</x:v>
      </x:c>
      <x:c r="G197" s="26" t="str">
        <x:v>демонстрация mastery</x:v>
      </x:c>
      <x:c r="H197" s="26" t="str">
        <x:v>SI или явно названный стандарт</x:v>
      </x:c>
      <x:c r="I197" s="26" t="str">
        <x:v>S0_OBSERVE_READ</x:v>
      </x:c>
      <x:c r="J197" s="26" t="str">
        <x:v>Наблюдение, чтение, расчёт или работа с опубликованным набором данных; физического вмешательства нет.</x:v>
      </x:c>
      <x:c r="K197" s="26" t="str">
        <x:v>SCI-METH-01|SCI-METH-07|SCI-METH-14</x:v>
      </x:c>
      <x:c r="L197" s="26" t="n">
        <x:v>1</x:v>
      </x:c>
      <x:c r="M197" s="26" t="n">
        <x:v>1</x:v>
      </x:c>
      <x:c r="N19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7" s="26" t="str">
        <x:v>FRAMEWORK_ONLY_NOT_TRAINED</x:v>
      </x:c>
      <x:c r="P197" s="26" t="str">
        <x:v>0.4</x:v>
      </x:c>
    </x:row>
    <x:row r="198">
      <x:c r="A198" s="53" t="str">
        <x:v>SCI-EDU-02</x:v>
      </x:c>
      <x:c r="B198" s="53" t="str">
        <x:v>EDU</x:v>
      </x:c>
      <x:c r="C198" s="53" t="str">
        <x:v>Обучение, язык и передача навыка</x:v>
      </x:c>
      <x:c r="D198" s="53" t="str">
        <x:v>Многоязычные словари RU/UK/PT/EN</x:v>
      </x:c>
      <x:c r="E198" s="53" t="str">
        <x:v>Объяснить базовую модель, выполнить допустимую для класса риска проверку и документировать пределы по теме «Многоязычные словари RU/UK/PT/EN».</x:v>
      </x:c>
      <x:c r="F198" s="53" t="str">
        <x:v>двусторонняя карточка термин–определение–контекст</x:v>
      </x:c>
      <x:c r="G198" s="53" t="str">
        <x:v>демонстрация mastery</x:v>
      </x:c>
      <x:c r="H198" s="53" t="str">
        <x:v>SI или явно названный стандарт</x:v>
      </x:c>
      <x:c r="I198" s="53" t="str">
        <x:v>S0_OBSERVE_READ</x:v>
      </x:c>
      <x:c r="J198" s="53" t="str">
        <x:v>Наблюдение, чтение, расчёт или работа с опубликованным набором данных; физического вмешательства нет.</x:v>
      </x:c>
      <x:c r="K198" s="53" t="str">
        <x:v>SCI-EDU-01|SCI-METH-13</x:v>
      </x:c>
      <x:c r="L198" s="53" t="n">
        <x:v>1</x:v>
      </x:c>
      <x:c r="M198" s="53" t="n">
        <x:v>1</x:v>
      </x:c>
      <x:c r="N19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8" s="53" t="str">
        <x:v>FRAMEWORK_ONLY_NOT_TRAINED</x:v>
      </x:c>
      <x:c r="P198" s="53" t="str">
        <x:v>0.4</x:v>
      </x:c>
    </x:row>
    <x:row r="199">
      <x:c r="A199" s="26" t="str">
        <x:v>SCI-EDU-03</x:v>
      </x:c>
      <x:c r="B199" s="26" t="str">
        <x:v>EDU</x:v>
      </x:c>
      <x:c r="C199" s="26" t="str">
        <x:v>Обучение, язык и передача навыка</x:v>
      </x:c>
      <x:c r="D199" s="26" t="str">
        <x:v>Числовая грамотность и бытовые расчёты</x:v>
      </x:c>
      <x:c r="E199" s="26" t="str">
        <x:v>Объяснить базовую модель, выполнить допустимую для класса риска проверку и документировать пределы по теме «Числовая грамотность и бытовые расчёты».</x:v>
      </x:c>
      <x:c r="F199" s="26" t="str">
        <x:v>оценка, расчёт, единица и здравый контроль результата</x:v>
      </x:c>
      <x:c r="G199" s="26" t="str">
        <x:v>демонстрация mastery</x:v>
      </x:c>
      <x:c r="H199" s="26" t="str">
        <x:v>SI или явно названный стандарт</x:v>
      </x:c>
      <x:c r="I199" s="26" t="str">
        <x:v>S0_OBSERVE_READ</x:v>
      </x:c>
      <x:c r="J199" s="26" t="str">
        <x:v>Наблюдение, чтение, расчёт или работа с опубликованным набором данных; физического вмешательства нет.</x:v>
      </x:c>
      <x:c r="K199" s="26" t="str">
        <x:v>SCI-EDU-02|SCI-METH-13</x:v>
      </x:c>
      <x:c r="L199" s="26" t="n">
        <x:v>1</x:v>
      </x:c>
      <x:c r="M199" s="26" t="n">
        <x:v>1</x:v>
      </x:c>
      <x:c r="N19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199" s="26" t="str">
        <x:v>FRAMEWORK_ONLY_NOT_TRAINED</x:v>
      </x:c>
      <x:c r="P199" s="26" t="str">
        <x:v>0.4</x:v>
      </x:c>
    </x:row>
    <x:row r="200">
      <x:c r="A200" s="53" t="str">
        <x:v>SCI-EDU-04</x:v>
      </x:c>
      <x:c r="B200" s="53" t="str">
        <x:v>EDU</x:v>
      </x:c>
      <x:c r="C200" s="53" t="str">
        <x:v>Обучение, язык и передача навыка</x:v>
      </x:c>
      <x:c r="D200" s="53" t="str">
        <x:v>Педагогика, память и интервальное повторение</x:v>
      </x:c>
      <x:c r="E200" s="53" t="str">
        <x:v>Объяснить базовую модель, выполнить допустимую для класса риска проверку и документировать пределы по теме «Педагогика, память и интервальное повторение».</x:v>
      </x:c>
      <x:c r="F200" s="53" t="str">
        <x:v>план занятия с retrieval practice</x:v>
      </x:c>
      <x:c r="G200" s="53" t="str">
        <x:v>демонстрация mastery</x:v>
      </x:c>
      <x:c r="H200" s="53" t="str">
        <x:v>SI или явно названный стандарт</x:v>
      </x:c>
      <x:c r="I200" s="53" t="str">
        <x:v>S0_OBSERVE_READ</x:v>
      </x:c>
      <x:c r="J200" s="53" t="str">
        <x:v>Наблюдение, чтение, расчёт или работа с опубликованным набором данных; физического вмешательства нет.</x:v>
      </x:c>
      <x:c r="K200" s="53" t="str">
        <x:v>SCI-EDU-03|SCI-METH-13</x:v>
      </x:c>
      <x:c r="L200" s="53" t="n">
        <x:v>1</x:v>
      </x:c>
      <x:c r="M200" s="53" t="n">
        <x:v>1</x:v>
      </x:c>
      <x:c r="N20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0" s="53" t="str">
        <x:v>FRAMEWORK_ONLY_NOT_TRAINED</x:v>
      </x:c>
      <x:c r="P200" s="53" t="str">
        <x:v>0.4</x:v>
      </x:c>
    </x:row>
    <x:row r="201">
      <x:c r="A201" s="26" t="str">
        <x:v>SCI-EDU-05</x:v>
      </x:c>
      <x:c r="B201" s="26" t="str">
        <x:v>EDU</x:v>
      </x:c>
      <x:c r="C201" s="26" t="str">
        <x:v>Обучение, язык и передача навыка</x:v>
      </x:c>
      <x:c r="D201" s="26" t="str">
        <x:v>Карта программы и зависимости тем</x:v>
      </x:c>
      <x:c r="E201" s="26" t="str">
        <x:v>Объяснить базовую модель, выполнить допустимую для класса риска проверку и документировать пределы по теме «Карта программы и зависимости тем».</x:v>
      </x:c>
      <x:c r="F201" s="26" t="str">
        <x:v>граф prerequisite → lesson → demonstration</x:v>
      </x:c>
      <x:c r="G201" s="26" t="str">
        <x:v>демонстрация mastery</x:v>
      </x:c>
      <x:c r="H201" s="26" t="str">
        <x:v>SI или явно названный стандарт</x:v>
      </x:c>
      <x:c r="I201" s="26" t="str">
        <x:v>S0_OBSERVE_READ</x:v>
      </x:c>
      <x:c r="J201" s="26" t="str">
        <x:v>Наблюдение, чтение, расчёт или работа с опубликованным набором данных; физического вмешательства нет.</x:v>
      </x:c>
      <x:c r="K201" s="26" t="str">
        <x:v>SCI-EDU-04|SCI-METH-13</x:v>
      </x:c>
      <x:c r="L201" s="26" t="n">
        <x:v>1</x:v>
      </x:c>
      <x:c r="M201" s="26" t="n">
        <x:v>1</x:v>
      </x:c>
      <x:c r="N20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1" s="26" t="str">
        <x:v>FRAMEWORK_ONLY_NOT_TRAINED</x:v>
      </x:c>
      <x:c r="P201" s="26" t="str">
        <x:v>0.4</x:v>
      </x:c>
    </x:row>
    <x:row r="202">
      <x:c r="A202" s="53" t="str">
        <x:v>SCI-EDU-06</x:v>
      </x:c>
      <x:c r="B202" s="53" t="str">
        <x:v>EDU</x:v>
      </x:c>
      <x:c r="C202" s="53" t="str">
        <x:v>Обучение, язык и передача навыка</x:v>
      </x:c>
      <x:c r="D202" s="53" t="str">
        <x:v>Оценивание без подсказки и критерии mastery</x:v>
      </x:c>
      <x:c r="E202" s="53" t="str">
        <x:v>Объяснить базовую модель, выполнить допустимую для класса риска проверку и документировать пределы по теме «Оценивание без подсказки и критерии mastery».</x:v>
      </x:c>
      <x:c r="F202" s="53" t="str">
        <x:v>слепое практическое задание по рубрике</x:v>
      </x:c>
      <x:c r="G202" s="53" t="str">
        <x:v>демонстрация mastery</x:v>
      </x:c>
      <x:c r="H202" s="53" t="str">
        <x:v>SI или явно названный стандарт</x:v>
      </x:c>
      <x:c r="I202" s="53" t="str">
        <x:v>S0_OBSERVE_READ</x:v>
      </x:c>
      <x:c r="J202" s="53" t="str">
        <x:v>Наблюдение, чтение, расчёт или работа с опубликованным набором данных; физического вмешательства нет.</x:v>
      </x:c>
      <x:c r="K202" s="53" t="str">
        <x:v>SCI-EDU-05|SCI-METH-13</x:v>
      </x:c>
      <x:c r="L202" s="53" t="n">
        <x:v>1</x:v>
      </x:c>
      <x:c r="M202" s="53" t="n">
        <x:v>1</x:v>
      </x:c>
      <x:c r="N20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2" s="53" t="str">
        <x:v>FRAMEWORK_ONLY_NOT_TRAINED</x:v>
      </x:c>
      <x:c r="P202" s="53" t="str">
        <x:v>0.4</x:v>
      </x:c>
    </x:row>
    <x:row r="203">
      <x:c r="A203" s="26" t="str">
        <x:v>SCI-EDU-07</x:v>
      </x:c>
      <x:c r="B203" s="26" t="str">
        <x:v>EDU</x:v>
      </x:c>
      <x:c r="C203" s="26" t="str">
        <x:v>Обучение, язык и передача навыка</x:v>
      </x:c>
      <x:c r="D203" s="26" t="str">
        <x:v>Ученичество, наблюдение и постепенный допуск</x:v>
      </x:c>
      <x:c r="E203" s="26" t="str">
        <x:v>Объяснить базовую модель, выполнить допустимую для класса риска проверку и документировать пределы по теме «Ученичество, наблюдение и постепенный допуск».</x:v>
      </x:c>
      <x:c r="F203" s="26" t="str">
        <x:v>матрица observe → assist → supervised → independent</x:v>
      </x:c>
      <x:c r="G203" s="26" t="str">
        <x:v>демонстрация mastery</x:v>
      </x:c>
      <x:c r="H203" s="26" t="str">
        <x:v>SI или явно названный стандарт</x:v>
      </x:c>
      <x:c r="I203" s="26" t="str">
        <x:v>S0_OBSERVE_READ</x:v>
      </x:c>
      <x:c r="J203" s="26" t="str">
        <x:v>Наблюдение, чтение, расчёт или работа с опубликованным набором данных; физического вмешательства нет.</x:v>
      </x:c>
      <x:c r="K203" s="26" t="str">
        <x:v>SCI-EDU-06|SCI-METH-13</x:v>
      </x:c>
      <x:c r="L203" s="26" t="n">
        <x:v>1</x:v>
      </x:c>
      <x:c r="M203" s="26" t="n">
        <x:v>1</x:v>
      </x:c>
      <x:c r="N20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3" s="26" t="str">
        <x:v>FRAMEWORK_ONLY_NOT_TRAINED</x:v>
      </x:c>
      <x:c r="P203" s="26" t="str">
        <x:v>0.4</x:v>
      </x:c>
    </x:row>
    <x:row r="204">
      <x:c r="A204" s="53" t="str">
        <x:v>SCI-EDU-08</x:v>
      </x:c>
      <x:c r="B204" s="53" t="str">
        <x:v>EDU</x:v>
      </x:c>
      <x:c r="C204" s="53" t="str">
        <x:v>Обучение, язык и передача навыка</x:v>
      </x:c>
      <x:c r="D204" s="53" t="str">
        <x:v>Техническое письмо, схемы и чек-листы</x:v>
      </x:c>
      <x:c r="E204" s="53" t="str">
        <x:v>Объяснить базовую модель, выполнить допустимую для класса риска проверку и документировать пределы по теме «Техническое письмо, схемы и чек-листы».</x:v>
      </x:c>
      <x:c r="F204" s="53" t="str">
        <x:v>однозначная инструкция, проверенная вторым человеком</x:v>
      </x:c>
      <x:c r="G204" s="53" t="str">
        <x:v>демонстрация mastery</x:v>
      </x:c>
      <x:c r="H204" s="53" t="str">
        <x:v>SI или явно названный стандарт</x:v>
      </x:c>
      <x:c r="I204" s="53" t="str">
        <x:v>S0_OBSERVE_READ</x:v>
      </x:c>
      <x:c r="J204" s="53" t="str">
        <x:v>Наблюдение, чтение, расчёт или работа с опубликованным набором данных; физического вмешательства нет.</x:v>
      </x:c>
      <x:c r="K204" s="53" t="str">
        <x:v>SCI-EDU-07|SCI-METH-13</x:v>
      </x:c>
      <x:c r="L204" s="53" t="n">
        <x:v>1</x:v>
      </x:c>
      <x:c r="M204" s="53" t="n">
        <x:v>1</x:v>
      </x:c>
      <x:c r="N20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4" s="53" t="str">
        <x:v>FRAMEWORK_ONLY_NOT_TRAINED</x:v>
      </x:c>
      <x:c r="P204" s="53" t="str">
        <x:v>0.4</x:v>
      </x:c>
    </x:row>
    <x:row r="205">
      <x:c r="A205" s="26" t="str">
        <x:v>SCI-EDU-09</x:v>
      </x:c>
      <x:c r="B205" s="26" t="str">
        <x:v>EDU</x:v>
      </x:c>
      <x:c r="C205" s="26" t="str">
        <x:v>Обучение, язык и передача навыка</x:v>
      </x:c>
      <x:c r="D205" s="26" t="str">
        <x:v>Технический перевод и опасные неоднозначности</x:v>
      </x:c>
      <x:c r="E205" s="26" t="str">
        <x:v>Объяснить базовую модель, выполнить допустимую для класса риска проверку и документировать пределы по теме «Технический перевод и опасные неоднозначности».</x:v>
      </x:c>
      <x:c r="F205" s="26" t="str">
        <x:v>двуязычная проверка единиц, отрицаний и стоп-условий</x:v>
      </x:c>
      <x:c r="G205" s="26" t="str">
        <x:v>демонстрация mastery</x:v>
      </x:c>
      <x:c r="H205" s="26" t="str">
        <x:v>SI или явно названный стандарт</x:v>
      </x:c>
      <x:c r="I205" s="26" t="str">
        <x:v>S0_OBSERVE_READ</x:v>
      </x:c>
      <x:c r="J205" s="26" t="str">
        <x:v>Наблюдение, чтение, расчёт или работа с опубликованным набором данных; физического вмешательства нет.</x:v>
      </x:c>
      <x:c r="K205" s="26" t="str">
        <x:v>SCI-EDU-08|SCI-METH-13</x:v>
      </x:c>
      <x:c r="L205" s="26" t="n">
        <x:v>1</x:v>
      </x:c>
      <x:c r="M205" s="26" t="n">
        <x:v>1</x:v>
      </x:c>
      <x:c r="N20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5" s="26" t="str">
        <x:v>FRAMEWORK_ONLY_NOT_TRAINED</x:v>
      </x:c>
      <x:c r="P205" s="26" t="str">
        <x:v>0.4</x:v>
      </x:c>
    </x:row>
    <x:row r="206">
      <x:c r="A206" s="53" t="str">
        <x:v>SCI-EDU-10</x:v>
      </x:c>
      <x:c r="B206" s="53" t="str">
        <x:v>EDU</x:v>
      </x:c>
      <x:c r="C206" s="53" t="str">
        <x:v>Обучение, язык и передача навыка</x:v>
      </x:c>
      <x:c r="D206" s="53" t="str">
        <x:v>Доступность: зрение, слух, моторика и когнитивная нагрузка</x:v>
      </x:c>
      <x:c r="E206" s="53" t="str">
        <x:v>Объяснить базовую модель, выполнить допустимую для класса риска проверку и документировать пределы по теме «Доступность: зрение, слух, моторика и когнитивная нагрузка».</x:v>
      </x:c>
      <x:c r="F206" s="53" t="str">
        <x:v>альтернативный формат одной инструкции</x:v>
      </x:c>
      <x:c r="G206" s="53" t="str">
        <x:v>демонстрация mastery</x:v>
      </x:c>
      <x:c r="H206" s="53" t="str">
        <x:v>SI или явно названный стандарт</x:v>
      </x:c>
      <x:c r="I206" s="53" t="str">
        <x:v>S0_OBSERVE_READ</x:v>
      </x:c>
      <x:c r="J206" s="53" t="str">
        <x:v>Наблюдение, чтение, расчёт или работа с опубликованным набором данных; физического вмешательства нет.</x:v>
      </x:c>
      <x:c r="K206" s="53" t="str">
        <x:v>SCI-EDU-09|SCI-METH-13</x:v>
      </x:c>
      <x:c r="L206" s="53" t="n">
        <x:v>1</x:v>
      </x:c>
      <x:c r="M206" s="53" t="n">
        <x:v>1</x:v>
      </x:c>
      <x:c r="N20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6" s="53" t="str">
        <x:v>FRAMEWORK_ONLY_NOT_TRAINED</x:v>
      </x:c>
      <x:c r="P206" s="53" t="str">
        <x:v>0.4</x:v>
      </x:c>
    </x:row>
    <x:row r="207">
      <x:c r="A207" s="26" t="str">
        <x:v>SCI-EDU-11</x:v>
      </x:c>
      <x:c r="B207" s="26" t="str">
        <x:v>EDU</x:v>
      </x:c>
      <x:c r="C207" s="26" t="str">
        <x:v>Обучение, язык и передача навыка</x:v>
      </x:c>
      <x:c r="D207" s="26" t="str">
        <x:v>Коммуникация в конфликте и read-back/check-back</x:v>
      </x:c>
      <x:c r="E207" s="26" t="str">
        <x:v>Объяснить базовую модель, выполнить допустимую для класса риска проверку и документировать пределы по теме «Коммуникация в конфликте и read-back/check-back».</x:v>
      </x:c>
      <x:c r="F207" s="26" t="str">
        <x:v>ролевая передача задачи с подтверждением</x:v>
      </x:c>
      <x:c r="G207" s="26" t="str">
        <x:v>демонстрация mastery</x:v>
      </x:c>
      <x:c r="H207" s="26" t="str">
        <x:v>SI или явно названный стандарт</x:v>
      </x:c>
      <x:c r="I207" s="26" t="str">
        <x:v>S0_OBSERVE_READ</x:v>
      </x:c>
      <x:c r="J207" s="26" t="str">
        <x:v>Наблюдение, чтение, расчёт или работа с опубликованным набором данных; физического вмешательства нет.</x:v>
      </x:c>
      <x:c r="K207" s="26" t="str">
        <x:v>SCI-EDU-10|SCI-METH-13</x:v>
      </x:c>
      <x:c r="L207" s="26" t="n">
        <x:v>1</x:v>
      </x:c>
      <x:c r="M207" s="26" t="n">
        <x:v>1</x:v>
      </x:c>
      <x:c r="N20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7" s="26" t="str">
        <x:v>FRAMEWORK_ONLY_NOT_TRAINED</x:v>
      </x:c>
      <x:c r="P207" s="26" t="str">
        <x:v>0.4</x:v>
      </x:c>
    </x:row>
    <x:row r="208">
      <x:c r="A208" s="53" t="str">
        <x:v>SCI-EDU-12</x:v>
      </x:c>
      <x:c r="B208" s="53" t="str">
        <x:v>EDU</x:v>
      </x:c>
      <x:c r="C208" s="53" t="str">
        <x:v>Обучение, язык и передача навыка</x:v>
      </x:c>
      <x:c r="D208" s="53" t="str">
        <x:v>Teach-back и межпоколенческий экзамен</x:v>
      </x:c>
      <x:c r="E208" s="53" t="str">
        <x:v>Объяснить базовую модель, выполнить допустимую для класса риска проверку и документировать пределы по теме «Teach-back и межпоколенческий экзамен».</x:v>
      </x:c>
      <x:c r="F208" s="53" t="str">
        <x:v>новичок выполняет задачу без устной помощи автора</x:v>
      </x:c>
      <x:c r="G208" s="53" t="str">
        <x:v>демонстрация mastery</x:v>
      </x:c>
      <x:c r="H208" s="53" t="str">
        <x:v>SI или явно названный стандарт</x:v>
      </x:c>
      <x:c r="I208" s="53" t="str">
        <x:v>S0_OBSERVE_READ</x:v>
      </x:c>
      <x:c r="J208" s="53" t="str">
        <x:v>Наблюдение, чтение, расчёт или работа с опубликованным набором данных; физического вмешательства нет.</x:v>
      </x:c>
      <x:c r="K208" s="53" t="str">
        <x:v>SCI-EDU-11|SCI-METH-13</x:v>
      </x:c>
      <x:c r="L208" s="53" t="n">
        <x:v>1</x:v>
      </x:c>
      <x:c r="M208" s="53" t="n">
        <x:v>1</x:v>
      </x:c>
      <x:c r="N20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8" s="53" t="str">
        <x:v>FRAMEWORK_ONLY_NOT_TRAINED</x:v>
      </x:c>
      <x:c r="P208" s="53" t="str">
        <x:v>0.4</x:v>
      </x:c>
    </x:row>
    <x:row r="209">
      <x:c r="A209" s="26" t="str">
        <x:v>SCI-OPS-01</x:v>
      </x:c>
      <x:c r="B209" s="26" t="str">
        <x:v>OPS</x:v>
      </x:c>
      <x:c r="C209" s="26" t="str">
        <x:v>Операции, экономика и управление</x:v>
      </x:c>
      <x:c r="D209" s="26" t="str">
        <x:v>Инвентаризация, единицы учёта и фактический остаток</x:v>
      </x:c>
      <x:c r="E209" s="26" t="str">
        <x:v>Объяснить базовую модель, выполнить допустимую для класса риска проверку и документировать пределы по теме «Инвентаризация, единицы учёта и фактический остаток».</x:v>
      </x:c>
      <x:c r="F209" s="26" t="str">
        <x:v>цикл count → discrepancy → correction</x:v>
      </x:c>
      <x:c r="G209" s="26" t="str">
        <x:v>остаток/время/дефект</x:v>
      </x:c>
      <x:c r="H209" s="26" t="str">
        <x:v>SI или явно названный стандарт</x:v>
      </x:c>
      <x:c r="I209" s="26" t="str">
        <x:v>S0_OBSERVE_READ</x:v>
      </x:c>
      <x:c r="J209" s="26" t="str">
        <x:v>Наблюдение, чтение, расчёт или работа с опубликованным набором данных; физического вмешательства нет.</x:v>
      </x:c>
      <x:c r="K209" s="26" t="str">
        <x:v>SCI-METH-01|SCI-METH-07|SCI-METH-14</x:v>
      </x:c>
      <x:c r="L209" s="26" t="n">
        <x:v>1</x:v>
      </x:c>
      <x:c r="M209" s="26" t="n">
        <x:v>1</x:v>
      </x:c>
      <x:c r="N20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09" s="26" t="str">
        <x:v>FRAMEWORK_ONLY_NOT_TRAINED</x:v>
      </x:c>
      <x:c r="P209" s="26" t="str">
        <x:v>0.4</x:v>
      </x:c>
    </x:row>
    <x:row r="210">
      <x:c r="A210" s="53" t="str">
        <x:v>SCI-OPS-02</x:v>
      </x:c>
      <x:c r="B210" s="53" t="str">
        <x:v>OPS</x:v>
      </x:c>
      <x:c r="C210" s="53" t="str">
        <x:v>Операции, экономика и управление</x:v>
      </x:c>
      <x:c r="D210" s="53" t="str">
        <x:v>Бухгалтерский след и двойная запись</x:v>
      </x:c>
      <x:c r="E210" s="53" t="str">
        <x:v>Объяснить базовую модель, выполнить допустимую для класса риска проверку и документировать пределы по теме «Бухгалтерский след и двойная запись».</x:v>
      </x:c>
      <x:c r="F210" s="53" t="str">
        <x:v>сверка журнала с остатком без реальных финансовых данных</x:v>
      </x:c>
      <x:c r="G210" s="53" t="str">
        <x:v>остаток/время/дефект</x:v>
      </x:c>
      <x:c r="H210" s="53" t="str">
        <x:v>SI или явно названный стандарт</x:v>
      </x:c>
      <x:c r="I210" s="53" t="str">
        <x:v>S0_OBSERVE_READ</x:v>
      </x:c>
      <x:c r="J210" s="53" t="str">
        <x:v>Наблюдение, чтение, расчёт или работа с опубликованным набором данных; физического вмешательства нет.</x:v>
      </x:c>
      <x:c r="K210" s="53" t="str">
        <x:v>SCI-OPS-01|SCI-METH-13</x:v>
      </x:c>
      <x:c r="L210" s="53" t="n">
        <x:v>1</x:v>
      </x:c>
      <x:c r="M210" s="53" t="n">
        <x:v>1</x:v>
      </x:c>
      <x:c r="N21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0" s="53" t="str">
        <x:v>FRAMEWORK_ONLY_NOT_TRAINED</x:v>
      </x:c>
      <x:c r="P210" s="53" t="str">
        <x:v>0.4</x:v>
      </x:c>
    </x:row>
    <x:row r="211">
      <x:c r="A211" s="26" t="str">
        <x:v>SCI-OPS-03</x:v>
      </x:c>
      <x:c r="B211" s="26" t="str">
        <x:v>OPS</x:v>
      </x:c>
      <x:c r="C211" s="26" t="str">
        <x:v>Операции, экономика и управление</x:v>
      </x:c>
      <x:c r="D211" s="26" t="str">
        <x:v>Логистика, lead time, reorder point и резерв</x:v>
      </x:c>
      <x:c r="E211" s="26" t="str">
        <x:v>Объяснить базовую модель, выполнить допустимую для класса риска проверку и документировать пределы по теме «Логистика, lead time, reorder point и резерв».</x:v>
      </x:c>
      <x:c r="F211" s="26" t="str">
        <x:v>расчёт точки заказа с вариацией спроса</x:v>
      </x:c>
      <x:c r="G211" s="26" t="str">
        <x:v>остаток/время/дефект</x:v>
      </x:c>
      <x:c r="H211" s="26" t="str">
        <x:v>SI или явно названный стандарт</x:v>
      </x:c>
      <x:c r="I211" s="26" t="str">
        <x:v>S0_OBSERVE_READ</x:v>
      </x:c>
      <x:c r="J211" s="26" t="str">
        <x:v>Наблюдение, чтение, расчёт или работа с опубликованным набором данных; физического вмешательства нет.</x:v>
      </x:c>
      <x:c r="K211" s="26" t="str">
        <x:v>SCI-OPS-02|SCI-METH-13</x:v>
      </x:c>
      <x:c r="L211" s="26" t="n">
        <x:v>1</x:v>
      </x:c>
      <x:c r="M211" s="26" t="n">
        <x:v>1</x:v>
      </x:c>
      <x:c r="N21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1" s="26" t="str">
        <x:v>FRAMEWORK_ONLY_NOT_TRAINED</x:v>
      </x:c>
      <x:c r="P211" s="26" t="str">
        <x:v>0.4</x:v>
      </x:c>
    </x:row>
    <x:row r="212">
      <x:c r="A212" s="53" t="str">
        <x:v>SCI-OPS-04</x:v>
      </x:c>
      <x:c r="B212" s="53" t="str">
        <x:v>OPS</x:v>
      </x:c>
      <x:c r="C212" s="53" t="str">
        <x:v>Операции, экономика и управление</x:v>
      </x:c>
      <x:c r="D212" s="53" t="str">
        <x:v>План обслуживания, work order и запасные части</x:v>
      </x:c>
      <x:c r="E212" s="53" t="str">
        <x:v>Объяснить базовую модель, выполнить допустимую для класса риска проверку и документировать пределы по теме «План обслуживания, work order и запасные части».</x:v>
      </x:c>
      <x:c r="F212" s="53" t="str">
        <x:v>закрытый наряд с evidence</x:v>
      </x:c>
      <x:c r="G212" s="53" t="str">
        <x:v>остаток/время/дефект</x:v>
      </x:c>
      <x:c r="H212" s="53" t="str">
        <x:v>SI или явно названный стандарт</x:v>
      </x:c>
      <x:c r="I212" s="53" t="str">
        <x:v>S0_OBSERVE_READ</x:v>
      </x:c>
      <x:c r="J212" s="53" t="str">
        <x:v>Наблюдение, чтение, расчёт или работа с опубликованным набором данных; физического вмешательства нет.</x:v>
      </x:c>
      <x:c r="K212" s="53" t="str">
        <x:v>SCI-OPS-03|SCI-METH-13</x:v>
      </x:c>
      <x:c r="L212" s="53" t="n">
        <x:v>1</x:v>
      </x:c>
      <x:c r="M212" s="53" t="n">
        <x:v>1</x:v>
      </x:c>
      <x:c r="N21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2" s="53" t="str">
        <x:v>FRAMEWORK_ONLY_NOT_TRAINED</x:v>
      </x:c>
      <x:c r="P212" s="53" t="str">
        <x:v>0.4</x:v>
      </x:c>
    </x:row>
    <x:row r="213">
      <x:c r="A213" s="26" t="str">
        <x:v>SCI-OPS-05</x:v>
      </x:c>
      <x:c r="B213" s="26" t="str">
        <x:v>OPS</x:v>
      </x:c>
      <x:c r="C213" s="26" t="str">
        <x:v>Операции, экономика и управление</x:v>
      </x:c>
      <x:c r="D213" s="26" t="str">
        <x:v>Качество, дефект, root cause и CAPA</x:v>
      </x:c>
      <x:c r="E213" s="26" t="str">
        <x:v>Объяснить базовую модель, выполнить допустимую для класса риска проверку и документировать пределы по теме «Качество, дефект, root cause и CAPA».</x:v>
      </x:c>
      <x:c r="F213" s="26" t="str">
        <x:v>разбор безопасного учебного несоответствия</x:v>
      </x:c>
      <x:c r="G213" s="26" t="str">
        <x:v>остаток/время/дефект</x:v>
      </x:c>
      <x:c r="H213" s="26" t="str">
        <x:v>SI или явно названный стандарт</x:v>
      </x:c>
      <x:c r="I213" s="26" t="str">
        <x:v>S0_OBSERVE_READ</x:v>
      </x:c>
      <x:c r="J213" s="26" t="str">
        <x:v>Наблюдение, чтение, расчёт или работа с опубликованным набором данных; физического вмешательства нет.</x:v>
      </x:c>
      <x:c r="K213" s="26" t="str">
        <x:v>SCI-OPS-04|SCI-METH-13</x:v>
      </x:c>
      <x:c r="L213" s="26" t="n">
        <x:v>1</x:v>
      </x:c>
      <x:c r="M213" s="26" t="n">
        <x:v>1</x:v>
      </x:c>
      <x:c r="N21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3" s="26" t="str">
        <x:v>FRAMEWORK_ONLY_NOT_TRAINED</x:v>
      </x:c>
      <x:c r="P213" s="26" t="str">
        <x:v>0.4</x:v>
      </x:c>
    </x:row>
    <x:row r="214">
      <x:c r="A214" s="53" t="str">
        <x:v>SCI-OPS-06</x:v>
      </x:c>
      <x:c r="B214" s="53" t="str">
        <x:v>OPS</x:v>
      </x:c>
      <x:c r="C214" s="53" t="str">
        <x:v>Операции, экономика и управление</x:v>
      </x:c>
      <x:c r="D214" s="53" t="str">
        <x:v>Управление проектом, зависимости и change control</x:v>
      </x:c>
      <x:c r="E214" s="53" t="str">
        <x:v>Объяснить базовую модель, выполнить допустимую для класса риска проверку и документировать пределы по теме «Управление проектом, зависимости и change control».</x:v>
      </x:c>
      <x:c r="F214" s="53" t="str">
        <x:v>baseline, изменение и журнал решения</x:v>
      </x:c>
      <x:c r="G214" s="53" t="str">
        <x:v>остаток/время/дефект</x:v>
      </x:c>
      <x:c r="H214" s="53" t="str">
        <x:v>SI или явно названный стандарт</x:v>
      </x:c>
      <x:c r="I214" s="53" t="str">
        <x:v>S0_OBSERVE_READ</x:v>
      </x:c>
      <x:c r="J214" s="53" t="str">
        <x:v>Наблюдение, чтение, расчёт или работа с опубликованным набором данных; физического вмешательства нет.</x:v>
      </x:c>
      <x:c r="K214" s="53" t="str">
        <x:v>SCI-OPS-05|SCI-METH-13</x:v>
      </x:c>
      <x:c r="L214" s="53" t="n">
        <x:v>1</x:v>
      </x:c>
      <x:c r="M214" s="53" t="n">
        <x:v>1</x:v>
      </x:c>
      <x:c r="N21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4" s="53" t="str">
        <x:v>FRAMEWORK_ONLY_NOT_TRAINED</x:v>
      </x:c>
      <x:c r="P214" s="53" t="str">
        <x:v>0.4</x:v>
      </x:c>
    </x:row>
    <x:row r="215">
      <x:c r="A215" s="26" t="str">
        <x:v>SCI-OPS-07</x:v>
      </x:c>
      <x:c r="B215" s="26" t="str">
        <x:v>OPS</x:v>
      </x:c>
      <x:c r="C215" s="26" t="str">
        <x:v>Операции, экономика и управление</x:v>
      </x:c>
      <x:c r="D215" s="26" t="str">
        <x:v>Emergency operations, роли и span of control</x:v>
      </x:c>
      <x:c r="E215" s="26" t="str">
        <x:v>Объяснить базовую модель, выполнить допустимую для класса риска проверку и документировать пределы по теме «Emergency operations, роли и span of control».</x:v>
      </x:c>
      <x:c r="F215" s="26" t="str">
        <x:v>настольная тренировка без имитации опасных действий</x:v>
      </x:c>
      <x:c r="G215" s="26" t="str">
        <x:v>остаток/время/дефект</x:v>
      </x:c>
      <x:c r="H215" s="26" t="str">
        <x:v>SI или явно названный стандарт</x:v>
      </x:c>
      <x:c r="I215" s="26" t="str">
        <x:v>S1_LOW_RISK_HOUSEHOLD</x:v>
      </x:c>
      <x:c r="J215" s="26" t="str">
        <x:v>Низкорисковая бытовая практика только с заранее названными обычными материалами; для электричества — изолированный защищённый источник с заранее ограниченными током, энергией и температурой; СИЗ и стоп-условие заданы до начала.</x:v>
      </x:c>
      <x:c r="K215" s="26" t="str">
        <x:v>SCI-OPS-06|SCI-METH-13</x:v>
      </x:c>
      <x:c r="L215" s="26" t="n">
        <x:v>1</x:v>
      </x:c>
      <x:c r="M215" s="26" t="n">
        <x:v>1</x:v>
      </x:c>
      <x:c r="N21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5" s="26" t="str">
        <x:v>FRAMEWORK_ONLY_NOT_TRAINED</x:v>
      </x:c>
      <x:c r="P215" s="26" t="str">
        <x:v>0.4</x:v>
      </x:c>
    </x:row>
    <x:row r="216">
      <x:c r="A216" s="53" t="str">
        <x:v>SCI-OPS-08</x:v>
      </x:c>
      <x:c r="B216" s="53" t="str">
        <x:v>OPS</x:v>
      </x:c>
      <x:c r="C216" s="53" t="str">
        <x:v>Операции, экономика и управление</x:v>
      </x:c>
      <x:c r="D216" s="53" t="str">
        <x:v>Human factors, усталость, чек-лист и режим ошибки</x:v>
      </x:c>
      <x:c r="E216" s="53" t="str">
        <x:v>Объяснить базовую модель, выполнить допустимую для класса риска проверку и документировать пределы по теме «Human factors, усталость, чек-лист и режим ошибки».</x:v>
      </x:c>
      <x:c r="F216" s="53" t="str">
        <x:v>наблюдение процесса и redesign шага</x:v>
      </x:c>
      <x:c r="G216" s="53" t="str">
        <x:v>остаток/время/дефект</x:v>
      </x:c>
      <x:c r="H216" s="53" t="str">
        <x:v>SI или явно названный стандарт</x:v>
      </x:c>
      <x:c r="I216" s="53" t="str">
        <x:v>S0_OBSERVE_READ</x:v>
      </x:c>
      <x:c r="J216" s="53" t="str">
        <x:v>Наблюдение, чтение, расчёт или работа с опубликованным набором данных; физического вмешательства нет.</x:v>
      </x:c>
      <x:c r="K216" s="53" t="str">
        <x:v>SCI-OPS-07|SCI-METH-13</x:v>
      </x:c>
      <x:c r="L216" s="53" t="n">
        <x:v>1</x:v>
      </x:c>
      <x:c r="M216" s="53" t="n">
        <x:v>1</x:v>
      </x:c>
      <x:c r="N21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6" s="53" t="str">
        <x:v>FRAMEWORK_ONLY_NOT_TRAINED</x:v>
      </x:c>
      <x:c r="P216" s="53" t="str">
        <x:v>0.4</x:v>
      </x:c>
    </x:row>
    <x:row r="217">
      <x:c r="A217" s="26" t="str">
        <x:v>SCI-OPS-09</x:v>
      </x:c>
      <x:c r="B217" s="26" t="str">
        <x:v>OPS</x:v>
      </x:c>
      <x:c r="C217" s="26" t="str">
        <x:v>Операции, экономика и управление</x:v>
      </x:c>
      <x:c r="D217" s="26" t="str">
        <x:v>Решение при неопределённости и premortem</x:v>
      </x:c>
      <x:c r="E217" s="26" t="str">
        <x:v>Объяснить базовую модель, выполнить допустимую для класса риска проверку и документировать пределы по теме «Решение при неопределённости и premortem».</x:v>
      </x:c>
      <x:c r="F217" s="26" t="str">
        <x:v>варианты, вероятность, ущерб и обратимость</x:v>
      </x:c>
      <x:c r="G217" s="26" t="str">
        <x:v>остаток/время/дефект</x:v>
      </x:c>
      <x:c r="H217" s="26" t="str">
        <x:v>SI или явно названный стандарт</x:v>
      </x:c>
      <x:c r="I217" s="26" t="str">
        <x:v>S0_OBSERVE_READ</x:v>
      </x:c>
      <x:c r="J217" s="26" t="str">
        <x:v>Наблюдение, чтение, расчёт или работа с опубликованным набором данных; физического вмешательства нет.</x:v>
      </x:c>
      <x:c r="K217" s="26" t="str">
        <x:v>SCI-OPS-08|SCI-METH-13</x:v>
      </x:c>
      <x:c r="L217" s="26" t="n">
        <x:v>1</x:v>
      </x:c>
      <x:c r="M217" s="26" t="n">
        <x:v>1</x:v>
      </x:c>
      <x:c r="N21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7" s="26" t="str">
        <x:v>FRAMEWORK_ONLY_NOT_TRAINED</x:v>
      </x:c>
      <x:c r="P217" s="26" t="str">
        <x:v>0.4</x:v>
      </x:c>
    </x:row>
    <x:row r="218">
      <x:c r="A218" s="53" t="str">
        <x:v>SCI-OPS-10</x:v>
      </x:c>
      <x:c r="B218" s="53" t="str">
        <x:v>OPS</x:v>
      </x:c>
      <x:c r="C218" s="53" t="str">
        <x:v>Операции, экономика и управление</x:v>
      </x:c>
      <x:c r="D218" s="53" t="str">
        <x:v>Право, полномочия и доказательство актуальности</x:v>
      </x:c>
      <x:c r="E218" s="53" t="str">
        <x:v>Объяснить базовую модель, выполнить допустимую для класса риска проверку и документировать пределы по теме «Право, полномочия и доказательство актуальности».</x:v>
      </x:c>
      <x:c r="F218" s="53" t="str">
        <x:v>jurisdiction–version–valid_at–review_due</x:v>
      </x:c>
      <x:c r="G218" s="53" t="str">
        <x:v>остаток/время/дефект</x:v>
      </x:c>
      <x:c r="H218" s="53" t="str">
        <x:v>SI или явно названный стандарт</x:v>
      </x:c>
      <x:c r="I218" s="53" t="str">
        <x:v>S0_OBSERVE_READ</x:v>
      </x:c>
      <x:c r="J218" s="53" t="str">
        <x:v>Наблюдение, чтение, расчёт или работа с опубликованным набором данных; физического вмешательства нет.</x:v>
      </x:c>
      <x:c r="K218" s="53" t="str">
        <x:v>SCI-OPS-09|SCI-METH-13</x:v>
      </x:c>
      <x:c r="L218" s="53" t="n">
        <x:v>1</x:v>
      </x:c>
      <x:c r="M218" s="53" t="n">
        <x:v>1</x:v>
      </x:c>
      <x:c r="N21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8" s="53" t="str">
        <x:v>FRAMEWORK_ONLY_NOT_TRAINED</x:v>
      </x:c>
      <x:c r="P218" s="53" t="str">
        <x:v>0.4</x:v>
      </x:c>
    </x:row>
    <x:row r="219">
      <x:c r="A219" s="26" t="str">
        <x:v>SCI-OPS-11</x:v>
      </x:c>
      <x:c r="B219" s="26" t="str">
        <x:v>OPS</x:v>
      </x:c>
      <x:c r="C219" s="26" t="str">
        <x:v>Операции, экономика и управление</x:v>
      </x:c>
      <x:c r="D219" s="26" t="str">
        <x:v>Экономика ремонта, замены и стандартизации</x:v>
      </x:c>
      <x:c r="E219" s="26" t="str">
        <x:v>Объяснить базовую модель, выполнить допустимую для класса риска проверку и документировать пределы по теме «Экономика ремонта, замены и стандартизации».</x:v>
      </x:c>
      <x:c r="F219" s="26" t="str">
        <x:v>полная стоимость жизненного цикла с чувствительностью</x:v>
      </x:c>
      <x:c r="G219" s="26" t="str">
        <x:v>остаток/время/дефект</x:v>
      </x:c>
      <x:c r="H219" s="26" t="str">
        <x:v>SI или явно названный стандарт</x:v>
      </x:c>
      <x:c r="I219" s="26" t="str">
        <x:v>S0_OBSERVE_READ</x:v>
      </x:c>
      <x:c r="J219" s="26" t="str">
        <x:v>Наблюдение, чтение, расчёт или работа с опубликованным набором данных; физического вмешательства нет.</x:v>
      </x:c>
      <x:c r="K219" s="26" t="str">
        <x:v>SCI-OPS-10|SCI-METH-13</x:v>
      </x:c>
      <x:c r="L219" s="26" t="n">
        <x:v>1</x:v>
      </x:c>
      <x:c r="M219" s="26" t="n">
        <x:v>1</x:v>
      </x:c>
      <x:c r="N21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19" s="26" t="str">
        <x:v>FRAMEWORK_ONLY_NOT_TRAINED</x:v>
      </x:c>
      <x:c r="P219" s="26" t="str">
        <x:v>0.4</x:v>
      </x:c>
    </x:row>
    <x:row r="220">
      <x:c r="A220" s="53" t="str">
        <x:v>SCI-OPS-12</x:v>
      </x:c>
      <x:c r="B220" s="53" t="str">
        <x:v>OPS</x:v>
      </x:c>
      <x:c r="C220" s="53" t="str">
        <x:v>Операции, экономика и управление</x:v>
      </x:c>
      <x:c r="D220" s="53" t="str">
        <x:v>Кооперация, взаимопомощь и внешняя сеть</x:v>
      </x:c>
      <x:c r="E220" s="53" t="str">
        <x:v>Объяснить базовую модель, выполнить допустимую для класса риска проверку и документировать пределы по теме «Кооперация, взаимопомощь и внешняя сеть».</x:v>
      </x:c>
      <x:c r="F220" s="53" t="str">
        <x:v>соглашение о роли, границе и прекращении</x:v>
      </x:c>
      <x:c r="G220" s="53" t="str">
        <x:v>остаток/время/дефект</x:v>
      </x:c>
      <x:c r="H220" s="53" t="str">
        <x:v>SI или явно названный стандарт</x:v>
      </x:c>
      <x:c r="I220" s="53" t="str">
        <x:v>S0_OBSERVE_READ</x:v>
      </x:c>
      <x:c r="J220" s="53" t="str">
        <x:v>Наблюдение, чтение, расчёт или работа с опубликованным набором данных; физического вмешательства нет.</x:v>
      </x:c>
      <x:c r="K220" s="53" t="str">
        <x:v>SCI-OPS-11|SCI-METH-13</x:v>
      </x:c>
      <x:c r="L220" s="53" t="n">
        <x:v>1</x:v>
      </x:c>
      <x:c r="M220" s="53" t="n">
        <x:v>1</x:v>
      </x:c>
      <x:c r="N22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0" s="53" t="str">
        <x:v>FRAMEWORK_ONLY_NOT_TRAINED</x:v>
      </x:c>
      <x:c r="P220" s="53" t="str">
        <x:v>0.4</x:v>
      </x:c>
    </x:row>
    <x:row r="221">
      <x:c r="A221" s="26" t="str">
        <x:v>SCI-ARCH-01</x:v>
      </x:c>
      <x:c r="B221" s="26" t="str">
        <x:v>ARCH</x:v>
      </x:c>
      <x:c r="C221" s="26" t="str">
        <x:v>Сохранение знаний и цифровой архив</x:v>
      </x:c>
      <x:c r="D221" s="26" t="str">
        <x:v>Модель цифрового сохранения и информационный пакет</x:v>
      </x:c>
      <x:c r="E221" s="26" t="str">
        <x:v>Объяснить базовую модель, выполнить допустимую для класса риска проверку и документировать пределы по теме «Модель цифрового сохранения и информационный пакет».</x:v>
      </x:c>
      <x:c r="F221" s="26" t="str">
        <x:v>объект + metadata + права + fixity + reader</x:v>
      </x:c>
      <x:c r="G221" s="26" t="str">
        <x:v>hash/restore/поиск</x:v>
      </x:c>
      <x:c r="H221" s="26" t="str">
        <x:v>SI или явно названный стандарт</x:v>
      </x:c>
      <x:c r="I221" s="26" t="str">
        <x:v>S0_OBSERVE_READ</x:v>
      </x:c>
      <x:c r="J221" s="26" t="str">
        <x:v>Наблюдение, чтение, расчёт или работа с опубликованным набором данных; физического вмешательства нет.</x:v>
      </x:c>
      <x:c r="K221" s="26" t="str">
        <x:v>SCI-METH-01|SCI-METH-07|SCI-METH-14</x:v>
      </x:c>
      <x:c r="L221" s="26" t="n">
        <x:v>1</x:v>
      </x:c>
      <x:c r="M221" s="26" t="n">
        <x:v>1</x:v>
      </x:c>
      <x:c r="N22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1" s="26" t="str">
        <x:v>FRAMEWORK_ONLY_NOT_TRAINED</x:v>
      </x:c>
      <x:c r="P221" s="26" t="str">
        <x:v>0.4</x:v>
      </x:c>
    </x:row>
    <x:row r="222">
      <x:c r="A222" s="53" t="str">
        <x:v>SCI-ARCH-02</x:v>
      </x:c>
      <x:c r="B222" s="53" t="str">
        <x:v>ARCH</x:v>
      </x:c>
      <x:c r="C222" s="53" t="str">
        <x:v>Сохранение знаний и цифровой архив</x:v>
      </x:c>
      <x:c r="D222" s="53" t="str">
        <x:v>SHA-256, fixity и регулярная проверка</x:v>
      </x:c>
      <x:c r="E222" s="53" t="str">
        <x:v>Объяснить базовую модель, выполнить допустимую для класса риска проверку и документировать пределы по теме «SHA-256, fixity и регулярная проверка».</x:v>
      </x:c>
      <x:c r="F222" s="53" t="str">
        <x:v>повторная проверка и журнал неизменности</x:v>
      </x:c>
      <x:c r="G222" s="53" t="str">
        <x:v>hash/restore/поиск</x:v>
      </x:c>
      <x:c r="H222" s="53" t="str">
        <x:v>SI или явно названный стандарт</x:v>
      </x:c>
      <x:c r="I222" s="53" t="str">
        <x:v>S0_OBSERVE_READ</x:v>
      </x:c>
      <x:c r="J222" s="53" t="str">
        <x:v>Наблюдение, чтение, расчёт или работа с опубликованным набором данных; физического вмешательства нет.</x:v>
      </x:c>
      <x:c r="K222" s="53" t="str">
        <x:v>SCI-ARCH-01|SCI-METH-13</x:v>
      </x:c>
      <x:c r="L222" s="53" t="n">
        <x:v>1</x:v>
      </x:c>
      <x:c r="M222" s="53" t="n">
        <x:v>1</x:v>
      </x:c>
      <x:c r="N22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2" s="53" t="str">
        <x:v>FRAMEWORK_ONLY_NOT_TRAINED</x:v>
      </x:c>
      <x:c r="P222" s="53" t="str">
        <x:v>0.4</x:v>
      </x:c>
    </x:row>
    <x:row r="223">
      <x:c r="A223" s="26" t="str">
        <x:v>SCI-ARCH-03</x:v>
      </x:c>
      <x:c r="B223" s="26" t="str">
        <x:v>ARCH</x:v>
      </x:c>
      <x:c r="C223" s="26" t="str">
        <x:v>Сохранение знаний и цифровой архив</x:v>
      </x:c>
      <x:c r="D223" s="26" t="str">
        <x:v>BagIt/пакетирование и перенос между носителями</x:v>
      </x:c>
      <x:c r="E223" s="26" t="str">
        <x:v>Объяснить базовую модель, выполнить допустимую для класса риска проверку и документировать пределы по теме «BagIt/пакетирование и перенос между носителями».</x:v>
      </x:c>
      <x:c r="F223" s="26" t="str">
        <x:v>валидный пакет с манифестом</x:v>
      </x:c>
      <x:c r="G223" s="26" t="str">
        <x:v>hash/restore/поиск</x:v>
      </x:c>
      <x:c r="H223" s="26" t="str">
        <x:v>SI или явно названный стандарт</x:v>
      </x:c>
      <x:c r="I223" s="26" t="str">
        <x:v>S0_OBSERVE_READ</x:v>
      </x:c>
      <x:c r="J223" s="26" t="str">
        <x:v>Наблюдение, чтение, расчёт или работа с опубликованным набором данных; физического вмешательства нет.</x:v>
      </x:c>
      <x:c r="K223" s="26" t="str">
        <x:v>SCI-ARCH-02|SCI-METH-13</x:v>
      </x:c>
      <x:c r="L223" s="26" t="n">
        <x:v>1</x:v>
      </x:c>
      <x:c r="M223" s="26" t="n">
        <x:v>1</x:v>
      </x:c>
      <x:c r="N22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3" s="26" t="str">
        <x:v>FRAMEWORK_ONLY_NOT_TRAINED</x:v>
      </x:c>
      <x:c r="P223" s="26" t="str">
        <x:v>0.4</x:v>
      </x:c>
    </x:row>
    <x:row r="224">
      <x:c r="A224" s="53" t="str">
        <x:v>SCI-ARCH-04</x:v>
      </x:c>
      <x:c r="B224" s="53" t="str">
        <x:v>ARCH</x:v>
      </x:c>
      <x:c r="C224" s="53" t="str">
        <x:v>Сохранение знаний и цифровой архив</x:v>
      </x:c>
      <x:c r="D224" s="53" t="str">
        <x:v>Устойчивые форматы и PRONOM-идентификация</x:v>
      </x:c>
      <x:c r="E224" s="53" t="str">
        <x:v>Объяснить базовую модель, выполнить допустимую для класса риска проверку и документировать пределы по теме «Устойчивые форматы и PRONOM-идентификация».</x:v>
      </x:c>
      <x:c r="F224" s="53" t="str">
        <x:v>идентификация формата и reader path</x:v>
      </x:c>
      <x:c r="G224" s="53" t="str">
        <x:v>hash/restore/поиск</x:v>
      </x:c>
      <x:c r="H224" s="53" t="str">
        <x:v>SI или явно названный стандарт</x:v>
      </x:c>
      <x:c r="I224" s="53" t="str">
        <x:v>S0_OBSERVE_READ</x:v>
      </x:c>
      <x:c r="J224" s="53" t="str">
        <x:v>Наблюдение, чтение, расчёт или работа с опубликованным набором данных; физического вмешательства нет.</x:v>
      </x:c>
      <x:c r="K224" s="53" t="str">
        <x:v>SCI-ARCH-03|SCI-METH-13</x:v>
      </x:c>
      <x:c r="L224" s="53" t="n">
        <x:v>1</x:v>
      </x:c>
      <x:c r="M224" s="53" t="n">
        <x:v>1</x:v>
      </x:c>
      <x:c r="N22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4" s="53" t="str">
        <x:v>FRAMEWORK_ONLY_NOT_TRAINED</x:v>
      </x:c>
      <x:c r="P224" s="53" t="str">
        <x:v>0.4</x:v>
      </x:c>
    </x:row>
    <x:row r="225">
      <x:c r="A225" s="26" t="str">
        <x:v>SCI-ARCH-05</x:v>
      </x:c>
      <x:c r="B225" s="26" t="str">
        <x:v>ARCH</x:v>
      </x:c>
      <x:c r="C225" s="26" t="str">
        <x:v>Сохранение знаний и цифровой архив</x:v>
      </x:c>
      <x:c r="D225" s="26" t="str">
        <x:v>Миграция формата и сохранение оригинала</x:v>
      </x:c>
      <x:c r="E225" s="26" t="str">
        <x:v>Объяснить базовую модель, выполнить допустимую для класса риска проверку и документировать пределы по теме «Миграция формата и сохранение оригинала».</x:v>
      </x:c>
      <x:c r="F225" s="26" t="str">
        <x:v>original + migrated + сравнение содержания</x:v>
      </x:c>
      <x:c r="G225" s="26" t="str">
        <x:v>hash/restore/поиск</x:v>
      </x:c>
      <x:c r="H225" s="26" t="str">
        <x:v>SI или явно названный стандарт</x:v>
      </x:c>
      <x:c r="I225" s="26" t="str">
        <x:v>S0_OBSERVE_READ</x:v>
      </x:c>
      <x:c r="J225" s="26" t="str">
        <x:v>Наблюдение, чтение, расчёт или работа с опубликованным набором данных; физического вмешательства нет.</x:v>
      </x:c>
      <x:c r="K225" s="26" t="str">
        <x:v>SCI-ARCH-04|SCI-METH-13</x:v>
      </x:c>
      <x:c r="L225" s="26" t="n">
        <x:v>1</x:v>
      </x:c>
      <x:c r="M225" s="26" t="n">
        <x:v>1</x:v>
      </x:c>
      <x:c r="N22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5" s="26" t="str">
        <x:v>FRAMEWORK_ONLY_NOT_TRAINED</x:v>
      </x:c>
      <x:c r="P225" s="26" t="str">
        <x:v>0.4</x:v>
      </x:c>
    </x:row>
    <x:row r="226">
      <x:c r="A226" s="53" t="str">
        <x:v>SCI-ARCH-06</x:v>
      </x:c>
      <x:c r="B226" s="53" t="str">
        <x:v>ARCH</x:v>
      </x:c>
      <x:c r="C226" s="53" t="str">
        <x:v>Сохранение знаний и цифровой архив</x:v>
      </x:c>
      <x:c r="D226" s="53" t="str">
        <x:v>Описательные, технические и административные metadata</x:v>
      </x:c>
      <x:c r="E226" s="53" t="str">
        <x:v>Объяснить базовую модель, выполнить допустимую для класса риска проверку и документировать пределы по теме «Описательные, технические и административные metadata».</x:v>
      </x:c>
      <x:c r="F226" s="53" t="str">
        <x:v>заполненный минимальный профиль</x:v>
      </x:c>
      <x:c r="G226" s="53" t="str">
        <x:v>hash/restore/поиск</x:v>
      </x:c>
      <x:c r="H226" s="53" t="str">
        <x:v>SI или явно названный стандарт</x:v>
      </x:c>
      <x:c r="I226" s="53" t="str">
        <x:v>S0_OBSERVE_READ</x:v>
      </x:c>
      <x:c r="J226" s="53" t="str">
        <x:v>Наблюдение, чтение, расчёт или работа с опубликованным набором данных; физического вмешательства нет.</x:v>
      </x:c>
      <x:c r="K226" s="53" t="str">
        <x:v>SCI-ARCH-05|SCI-METH-13</x:v>
      </x:c>
      <x:c r="L226" s="53" t="n">
        <x:v>1</x:v>
      </x:c>
      <x:c r="M226" s="53" t="n">
        <x:v>1</x:v>
      </x:c>
      <x:c r="N22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6" s="53" t="str">
        <x:v>FRAMEWORK_ONLY_NOT_TRAINED</x:v>
      </x:c>
      <x:c r="P226" s="53" t="str">
        <x:v>0.4</x:v>
      </x:c>
    </x:row>
    <x:row r="227">
      <x:c r="A227" s="26" t="str">
        <x:v>SCI-ARCH-07</x:v>
      </x:c>
      <x:c r="B227" s="26" t="str">
        <x:v>ARCH</x:v>
      </x:c>
      <x:c r="C227" s="26" t="str">
        <x:v>Сохранение знаний и цифровой архив</x:v>
      </x:c>
      <x:c r="D227" s="26" t="str">
        <x:v>OCR, качество текста и сохранение изображения</x:v>
      </x:c>
      <x:c r="E227" s="26" t="str">
        <x:v>Объяснить базовую модель, выполнить допустимую для класса риска проверку и документировать пределы по теме «OCR, качество текста и сохранение изображения».</x:v>
      </x:c>
      <x:c r="F227" s="26" t="str">
        <x:v>выборочная сверка OCR с оригиналом</x:v>
      </x:c>
      <x:c r="G227" s="26" t="str">
        <x:v>hash/restore/поиск</x:v>
      </x:c>
      <x:c r="H227" s="26" t="str">
        <x:v>SI или явно названный стандарт</x:v>
      </x:c>
      <x:c r="I227" s="26" t="str">
        <x:v>S0_OBSERVE_READ</x:v>
      </x:c>
      <x:c r="J227" s="26" t="str">
        <x:v>Наблюдение, чтение, расчёт или работа с опубликованным набором данных; физического вмешательства нет.</x:v>
      </x:c>
      <x:c r="K227" s="26" t="str">
        <x:v>SCI-ARCH-06|SCI-METH-13</x:v>
      </x:c>
      <x:c r="L227" s="26" t="n">
        <x:v>1</x:v>
      </x:c>
      <x:c r="M227" s="26" t="n">
        <x:v>1</x:v>
      </x:c>
      <x:c r="N22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7" s="26" t="str">
        <x:v>FRAMEWORK_ONLY_NOT_TRAINED</x:v>
      </x:c>
      <x:c r="P227" s="26" t="str">
        <x:v>0.4</x:v>
      </x:c>
    </x:row>
    <x:row r="228">
      <x:c r="A228" s="53" t="str">
        <x:v>SCI-ARCH-08</x:v>
      </x:c>
      <x:c r="B228" s="53" t="str">
        <x:v>ARCH</x:v>
      </x:c>
      <x:c r="C228" s="53" t="str">
        <x:v>Сохранение знаний и цифровой архив</x:v>
      </x:c>
      <x:c r="D228" s="53" t="str">
        <x:v>Офлайн-индекс, поиск и controlled vocabulary</x:v>
      </x:c>
      <x:c r="E228" s="53" t="str">
        <x:v>Объяснить базовую модель, выполнить допустимую для класса риска проверку и документировать пределы по теме «Офлайн-индекс, поиск и controlled vocabulary».</x:v>
      </x:c>
      <x:c r="F228" s="53" t="str">
        <x:v>поиск по термину, синониму и идентификатору</x:v>
      </x:c>
      <x:c r="G228" s="53" t="str">
        <x:v>hash/restore/поиск</x:v>
      </x:c>
      <x:c r="H228" s="53" t="str">
        <x:v>SI или явно названный стандарт</x:v>
      </x:c>
      <x:c r="I228" s="53" t="str">
        <x:v>S0_OBSERVE_READ</x:v>
      </x:c>
      <x:c r="J228" s="53" t="str">
        <x:v>Наблюдение, чтение, расчёт или работа с опубликованным набором данных; физического вмешательства нет.</x:v>
      </x:c>
      <x:c r="K228" s="53" t="str">
        <x:v>SCI-ARCH-07|SCI-METH-13</x:v>
      </x:c>
      <x:c r="L228" s="53" t="n">
        <x:v>1</x:v>
      </x:c>
      <x:c r="M228" s="53" t="n">
        <x:v>1</x:v>
      </x:c>
      <x:c r="N22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8" s="53" t="str">
        <x:v>FRAMEWORK_ONLY_NOT_TRAINED</x:v>
      </x:c>
      <x:c r="P228" s="53" t="str">
        <x:v>0.4</x:v>
      </x:c>
    </x:row>
    <x:row r="229">
      <x:c r="A229" s="26" t="str">
        <x:v>SCI-ARCH-09</x:v>
      </x:c>
      <x:c r="B229" s="26" t="str">
        <x:v>ARCH</x:v>
      </x:c>
      <x:c r="C229" s="26" t="str">
        <x:v>Сохранение знаний и цифровой архив</x:v>
      </x:c>
      <x:c r="D229" s="26" t="str">
        <x:v>Печатное ядро, легенда и ручной каталог</x:v>
      </x:c>
      <x:c r="E229" s="26" t="str">
        <x:v>Объяснить базовую модель, выполнить допустимую для класса риска проверку и документировать пределы по теме «Печатное ядро, легенда и ручной каталог».</x:v>
      </x:c>
      <x:c r="F229" s="26" t="str">
        <x:v>поиск критической страницы без электричества</x:v>
      </x:c>
      <x:c r="G229" s="26" t="str">
        <x:v>hash/restore/поиск</x:v>
      </x:c>
      <x:c r="H229" s="26" t="str">
        <x:v>SI или явно названный стандарт</x:v>
      </x:c>
      <x:c r="I229" s="26" t="str">
        <x:v>S0_OBSERVE_READ</x:v>
      </x:c>
      <x:c r="J229" s="26" t="str">
        <x:v>Наблюдение, чтение, расчёт или работа с опубликованным набором данных; физического вмешательства нет.</x:v>
      </x:c>
      <x:c r="K229" s="26" t="str">
        <x:v>SCI-ARCH-08|SCI-METH-13</x:v>
      </x:c>
      <x:c r="L229" s="26" t="n">
        <x:v>1</x:v>
      </x:c>
      <x:c r="M229" s="26" t="n">
        <x:v>1</x:v>
      </x:c>
      <x:c r="N22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29" s="26" t="str">
        <x:v>FRAMEWORK_ONLY_NOT_TRAINED</x:v>
      </x:c>
      <x:c r="P229" s="26" t="str">
        <x:v>0.4</x:v>
      </x:c>
    </x:row>
    <x:row r="230">
      <x:c r="A230" s="53" t="str">
        <x:v>SCI-ARCH-10</x:v>
      </x:c>
      <x:c r="B230" s="53" t="str">
        <x:v>ARCH</x:v>
      </x:c>
      <x:c r="C230" s="53" t="str">
        <x:v>Сохранение знаний и цифровой архив</x:v>
      </x:c>
      <x:c r="D230" s="53" t="str">
        <x:v>Refresh носителя, независимые копии и restore-test</x:v>
      </x:c>
      <x:c r="E230" s="53" t="str">
        <x:v>Объяснить базовую модель, выполнить допустимую для класса риска проверку и документировать пределы по теме «Refresh носителя, независимые копии и restore-test».</x:v>
      </x:c>
      <x:c r="F230" s="53" t="str">
        <x:v>восстановление на чистое устройство</x:v>
      </x:c>
      <x:c r="G230" s="53" t="str">
        <x:v>hash/restore/поиск</x:v>
      </x:c>
      <x:c r="H230" s="53" t="str">
        <x:v>SI или явно названный стандарт</x:v>
      </x:c>
      <x:c r="I230" s="53" t="str">
        <x:v>S0_OBSERVE_READ</x:v>
      </x:c>
      <x:c r="J230" s="53" t="str">
        <x:v>Наблюдение, чтение, расчёт или работа с опубликованным набором данных; физического вмешательства нет.</x:v>
      </x:c>
      <x:c r="K230" s="53" t="str">
        <x:v>SCI-ARCH-09|SCI-METH-13</x:v>
      </x:c>
      <x:c r="L230" s="53" t="n">
        <x:v>1</x:v>
      </x:c>
      <x:c r="M230" s="53" t="n">
        <x:v>1</x:v>
      </x:c>
      <x:c r="N23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0" s="53" t="str">
        <x:v>FRAMEWORK_ONLY_NOT_TRAINED</x:v>
      </x:c>
      <x:c r="P230" s="53" t="str">
        <x:v>0.4</x:v>
      </x:c>
    </x:row>
    <x:row r="231">
      <x:c r="A231" s="26" t="str">
        <x:v>SCI-ARCH-11</x:v>
      </x:c>
      <x:c r="B231" s="26" t="str">
        <x:v>ARCH</x:v>
      </x:c>
      <x:c r="C231" s="26" t="str">
        <x:v>Сохранение знаний и цифровой архив</x:v>
      </x:c>
      <x:c r="D231" s="26" t="str">
        <x:v>Контроль доступа, приватность и раздельное хранение</x:v>
      </x:c>
      <x:c r="E231" s="26" t="str">
        <x:v>Объяснить базовую модель, выполнить допустимую для класса риска проверку и документировать пределы по теме «Контроль доступа, приватность и раздельное хранение».</x:v>
      </x:c>
      <x:c r="F231" s="26" t="str">
        <x:v>public/restricted/secret gate</x:v>
      </x:c>
      <x:c r="G231" s="26" t="str">
        <x:v>hash/restore/поиск</x:v>
      </x:c>
      <x:c r="H231" s="26" t="str">
        <x:v>SI или явно названный стандарт</x:v>
      </x:c>
      <x:c r="I231" s="26" t="str">
        <x:v>S0_OBSERVE_READ</x:v>
      </x:c>
      <x:c r="J231" s="26" t="str">
        <x:v>Наблюдение, чтение, расчёт или работа с опубликованным набором данных; физического вмешательства нет.</x:v>
      </x:c>
      <x:c r="K231" s="26" t="str">
        <x:v>SCI-ARCH-10|SCI-METH-13</x:v>
      </x:c>
      <x:c r="L231" s="26" t="n">
        <x:v>1</x:v>
      </x:c>
      <x:c r="M231" s="26" t="n">
        <x:v>1</x:v>
      </x:c>
      <x:c r="N23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1" s="26" t="str">
        <x:v>FRAMEWORK_ONLY_NOT_TRAINED</x:v>
      </x:c>
      <x:c r="P231" s="26" t="str">
        <x:v>0.4</x:v>
      </x:c>
    </x:row>
    <x:row r="232">
      <x:c r="A232" s="53" t="str">
        <x:v>SCI-ARCH-12</x:v>
      </x:c>
      <x:c r="B232" s="53" t="str">
        <x:v>ARCH</x:v>
      </x:c>
      <x:c r="C232" s="53" t="str">
        <x:v>Сохранение знаний и цифровой архив</x:v>
      </x:c>
      <x:c r="D232" s="53" t="str">
        <x:v>Хранитель, succession и передача следующему</x:v>
      </x:c>
      <x:c r="E232" s="53" t="str">
        <x:v>Объяснить базовую модель, выполнить допустимую для класса риска проверку и документировать пределы по теме «Хранитель, succession и передача следующему».</x:v>
      </x:c>
      <x:c r="F232" s="53" t="str">
        <x:v>новый custodian проверяет каталог и восстановление</x:v>
      </x:c>
      <x:c r="G232" s="53" t="str">
        <x:v>hash/restore/поиск</x:v>
      </x:c>
      <x:c r="H232" s="53" t="str">
        <x:v>SI или явно названный стандарт</x:v>
      </x:c>
      <x:c r="I232" s="53" t="str">
        <x:v>S0_OBSERVE_READ</x:v>
      </x:c>
      <x:c r="J232" s="53" t="str">
        <x:v>Наблюдение, чтение, расчёт или работа с опубликованным набором данных; физического вмешательства нет.</x:v>
      </x:c>
      <x:c r="K232" s="53" t="str">
        <x:v>SCI-ARCH-11|SCI-METH-13</x:v>
      </x:c>
      <x:c r="L232" s="53" t="n">
        <x:v>1</x:v>
      </x:c>
      <x:c r="M232" s="53" t="n">
        <x:v>1</x:v>
      </x:c>
      <x:c r="N23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2" s="53" t="str">
        <x:v>FRAMEWORK_ONLY_NOT_TRAINED</x:v>
      </x:c>
      <x:c r="P232" s="53" t="str">
        <x:v>0.4</x:v>
      </x:c>
    </x:row>
    <x:row r="233">
      <x:c r="A233" s="26" t="str">
        <x:v>SCI-PORT-01</x:v>
      </x:c>
      <x:c r="B233" s="26" t="str">
        <x:v>PORT</x:v>
      </x:c>
      <x:c r="C233" s="26" t="str">
        <x:v>Локализация Португалия / ЕС</x:v>
      </x:c>
      <x:c r="D233" s="26" t="str">
        <x:v>112, ANEPC, муниципальные планы и официальные предупреждения</x:v>
      </x:c>
      <x:c r="E233" s="26" t="str">
        <x:v>Объяснить базовую модель, выполнить допустимую для класса риска проверку и документировать пределы по теме «112, ANEPC, муниципальные планы и официальные предупреждения».</x:v>
      </x:c>
      <x:c r="F233" s="26" t="str">
        <x:v>поиск актуального authority path и его офлайн-снимка</x:v>
      </x:c>
      <x:c r="G233" s="26" t="str">
        <x:v>official source/version/coverage</x:v>
      </x:c>
      <x:c r="H233" s="26" t="str">
        <x:v>official-version/coverage</x:v>
      </x:c>
      <x:c r="I233" s="26" t="str">
        <x:v>S0_OBSERVE_READ</x:v>
      </x:c>
      <x:c r="J233" s="26" t="str">
        <x:v>Наблюдение, чтение, расчёт или работа с опубликованным набором данных; физического вмешательства нет.</x:v>
      </x:c>
      <x:c r="K233" s="26" t="str">
        <x:v>SCI-METH-01|SCI-METH-07|SCI-METH-14</x:v>
      </x:c>
      <x:c r="L233" s="26" t="n">
        <x:v>2</x:v>
      </x:c>
      <x:c r="M233" s="26" t="n">
        <x:v>1</x:v>
      </x:c>
      <x:c r="N23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3" s="26" t="str">
        <x:v>FRAMEWORK_ONLY_NOT_TRAINED</x:v>
      </x:c>
      <x:c r="P233" s="26" t="str">
        <x:v>0.4</x:v>
      </x:c>
    </x:row>
    <x:row r="234">
      <x:c r="A234" s="53" t="str">
        <x:v>SCI-PORT-02</x:v>
      </x:c>
      <x:c r="B234" s="53" t="str">
        <x:v>PORT</x:v>
      </x:c>
      <x:c r="C234" s="53" t="str">
        <x:v>Локализация Португалия / ЕС</x:v>
      </x:c>
      <x:c r="D234" s="53" t="str">
        <x:v>SNIG/DGT/CAOP и локальные координатные системы</x:v>
      </x:c>
      <x:c r="E234" s="53" t="str">
        <x:v>Объяснить базовую модель, выполнить допустимую для класса риска проверку и документировать пределы по теме «SNIG/DGT/CAOP и локальные координатные системы».</x:v>
      </x:c>
      <x:c r="F234" s="53" t="str">
        <x:v>официальный слой, metadata, CRS и дата</x:v>
      </x:c>
      <x:c r="G234" s="53" t="str">
        <x:v>official source/version/coverage</x:v>
      </x:c>
      <x:c r="H234" s="53" t="str">
        <x:v>official-version/coverage</x:v>
      </x:c>
      <x:c r="I234" s="53" t="str">
        <x:v>S0_OBSERVE_READ</x:v>
      </x:c>
      <x:c r="J234" s="53" t="str">
        <x:v>Наблюдение, чтение, расчёт или работа с опубликованным набором данных; физического вмешательства нет.</x:v>
      </x:c>
      <x:c r="K234" s="53" t="str">
        <x:v>SCI-PORT-01|SCI-METH-13</x:v>
      </x:c>
      <x:c r="L234" s="53" t="n">
        <x:v>2</x:v>
      </x:c>
      <x:c r="M234" s="53" t="n">
        <x:v>1</x:v>
      </x:c>
      <x:c r="N23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4" s="53" t="str">
        <x:v>FRAMEWORK_ONLY_NOT_TRAINED</x:v>
      </x:c>
      <x:c r="P234" s="53" t="str">
        <x:v>0.4</x:v>
      </x:c>
    </x:row>
    <x:row r="235">
      <x:c r="A235" s="26" t="str">
        <x:v>SCI-PORT-03</x:v>
      </x:c>
      <x:c r="B235" s="26" t="str">
        <x:v>PORT</x:v>
      </x:c>
      <x:c r="C235" s="26" t="str">
        <x:v>Локализация Португалия / ЕС</x:v>
      </x:c>
      <x:c r="D235" s="26" t="str">
        <x:v>IPMA: погода, климат, землетрясения и море</x:v>
      </x:c>
      <x:c r="E235" s="26" t="str">
        <x:v>Объяснить базовую модель, выполнить допустимую для класса риска проверку и документировать пределы по теме «IPMA: погода, климат, землетрясения и море».</x:v>
      </x:c>
      <x:c r="F235" s="26" t="str">
        <x:v>разделение текущего alert и исторического набора</x:v>
      </x:c>
      <x:c r="G235" s="26" t="str">
        <x:v>official source/version/coverage</x:v>
      </x:c>
      <x:c r="H235" s="26" t="str">
        <x:v>official-version/coverage</x:v>
      </x:c>
      <x:c r="I235" s="26" t="str">
        <x:v>S0_OBSERVE_READ</x:v>
      </x:c>
      <x:c r="J235" s="26" t="str">
        <x:v>Наблюдение, чтение, расчёт или работа с опубликованным набором данных; физического вмешательства нет.</x:v>
      </x:c>
      <x:c r="K235" s="26" t="str">
        <x:v>SCI-PORT-02|SCI-METH-13</x:v>
      </x:c>
      <x:c r="L235" s="26" t="n">
        <x:v>2</x:v>
      </x:c>
      <x:c r="M235" s="26" t="n">
        <x:v>1</x:v>
      </x:c>
      <x:c r="N23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5" s="26" t="str">
        <x:v>FRAMEWORK_ONLY_NOT_TRAINED</x:v>
      </x:c>
      <x:c r="P235" s="26" t="str">
        <x:v>0.4</x:v>
      </x:c>
    </x:row>
    <x:row r="236">
      <x:c r="A236" s="53" t="str">
        <x:v>SCI-PORT-04</x:v>
      </x:c>
      <x:c r="B236" s="53" t="str">
        <x:v>PORT</x:v>
      </x:c>
      <x:c r="C236" s="53" t="str">
        <x:v>Локализация Португалия / ЕС</x:v>
      </x:c>
      <x:c r="D236" s="53" t="str">
        <x:v>APA/LNEG: вода, наводнения, геология и среда</x:v>
      </x:c>
      <x:c r="E236" s="53" t="str">
        <x:v>Объяснить базовую модель, выполнить допустимую для класса риска проверку и документировать пределы по теме «APA/LNEG: вода, наводнения, геология и среда».</x:v>
      </x:c>
      <x:c r="F236" s="53" t="str">
        <x:v>выбор официального слоя с ограничением покрытия</x:v>
      </x:c>
      <x:c r="G236" s="53" t="str">
        <x:v>official source/version/coverage</x:v>
      </x:c>
      <x:c r="H236" s="53" t="str">
        <x:v>official-version/coverage</x:v>
      </x:c>
      <x:c r="I236" s="53" t="str">
        <x:v>S0_OBSERVE_READ</x:v>
      </x:c>
      <x:c r="J236" s="53" t="str">
        <x:v>Наблюдение, чтение, расчёт или работа с опубликованным набором данных; физического вмешательства нет.</x:v>
      </x:c>
      <x:c r="K236" s="53" t="str">
        <x:v>SCI-PORT-03|SCI-METH-13</x:v>
      </x:c>
      <x:c r="L236" s="53" t="n">
        <x:v>2</x:v>
      </x:c>
      <x:c r="M236" s="53" t="n">
        <x:v>1</x:v>
      </x:c>
      <x:c r="N23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6" s="53" t="str">
        <x:v>FRAMEWORK_ONLY_NOT_TRAINED</x:v>
      </x:c>
      <x:c r="P236" s="53" t="str">
        <x:v>0.4</x:v>
      </x:c>
    </x:row>
    <x:row r="237">
      <x:c r="A237" s="26" t="str">
        <x:v>SCI-PORT-05</x:v>
      </x:c>
      <x:c r="B237" s="26" t="str">
        <x:v>PORT</x:v>
      </x:c>
      <x:c r="C237" s="26" t="str">
        <x:v>Локализация Португалия / ЕС</x:v>
      </x:c>
      <x:c r="D237" s="26" t="str">
        <x:v>DGAV: здоровье растений, пища и animal welfare</x:v>
      </x:c>
      <x:c r="E237" s="26" t="str">
        <x:v>Объяснить базовую модель, выполнить допустимую для класса риска проверку и документировать пределы по теме «DGAV: здоровье растений, пища и animal welfare».</x:v>
      </x:c>
      <x:c r="F237" s="26" t="str">
        <x:v>официальное руководство с датой и rights review</x:v>
      </x:c>
      <x:c r="G237" s="26" t="str">
        <x:v>official source/version/coverage</x:v>
      </x:c>
      <x:c r="H237" s="26" t="str">
        <x:v>official-version/coverage</x:v>
      </x:c>
      <x:c r="I237" s="26" t="str">
        <x:v>S0_OBSERVE_READ</x:v>
      </x:c>
      <x:c r="J237" s="26" t="str">
        <x:v>Наблюдение, чтение, расчёт или работа с опубликованным набором данных; физического вмешательства нет.</x:v>
      </x:c>
      <x:c r="K237" s="26" t="str">
        <x:v>SCI-PORT-04|SCI-METH-13</x:v>
      </x:c>
      <x:c r="L237" s="26" t="n">
        <x:v>2</x:v>
      </x:c>
      <x:c r="M237" s="26" t="n">
        <x:v>1</x:v>
      </x:c>
      <x:c r="N23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7" s="26" t="str">
        <x:v>FRAMEWORK_ONLY_NOT_TRAINED</x:v>
      </x:c>
      <x:c r="P237" s="26" t="str">
        <x:v>0.4</x:v>
      </x:c>
    </x:row>
    <x:row r="238">
      <x:c r="A238" s="53" t="str">
        <x:v>SCI-PORT-06</x:v>
      </x:c>
      <x:c r="B238" s="53" t="str">
        <x:v>PORT</x:v>
      </x:c>
      <x:c r="C238" s="53" t="str">
        <x:v>Локализация Португалия / ЕС</x:v>
      </x:c>
      <x:c r="D238" s="53" t="str">
        <x:v>LNEC и национальная строительная практика</x:v>
      </x:c>
      <x:c r="E238" s="53" t="str">
        <x:v>Объяснить базовую модель, выполнить допустимую для класса риска проверку и документировать пределы по теме «LNEC и национальная строительная практика».</x:v>
      </x:c>
      <x:c r="F238" s="53" t="str">
        <x:v>поиск отчёта/нормы; проектное решение остаётся у специалиста</x:v>
      </x:c>
      <x:c r="G238" s="53" t="str">
        <x:v>official source/version/coverage</x:v>
      </x:c>
      <x:c r="H238" s="53" t="str">
        <x:v>official-version/coverage</x:v>
      </x:c>
      <x:c r="I238" s="53" t="str">
        <x:v>S3_LICENSED_PROFESSIONAL</x:v>
      </x:c>
      <x:c r="J238" s="53" t="str">
        <x:v>Только квалифицированный/лицензированный специалист в подходящей среде и по действующим нормам.</x:v>
      </x:c>
      <x:c r="K238" s="53" t="str">
        <x:v>SCI-PORT-05|SCI-METH-13</x:v>
      </x:c>
      <x:c r="L238" s="53" t="n">
        <x:v>2</x:v>
      </x:c>
      <x:c r="M238" s="53" t="n">
        <x:v>1</x:v>
      </x:c>
      <x:c r="N23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8" s="53" t="str">
        <x:v>FRAMEWORK_ONLY_NOT_TRAINED</x:v>
      </x:c>
      <x:c r="P238" s="53" t="str">
        <x:v>0.4</x:v>
      </x:c>
    </x:row>
    <x:row r="239">
      <x:c r="A239" s="26" t="str">
        <x:v>SCI-PORT-07</x:v>
      </x:c>
      <x:c r="B239" s="26" t="str">
        <x:v>PORT</x:v>
      </x:c>
      <x:c r="C239" s="26" t="str">
        <x:v>Локализация Португалия / ЕС</x:v>
      </x:c>
      <x:c r="D239" s="26" t="str">
        <x:v>DGEG/ERSE и безопасность энергетики</x:v>
      </x:c>
      <x:c r="E239" s="26" t="str">
        <x:v>Объяснить базовую модель, выполнить допустимую для класса риска проверку и документировать пределы по теме «DGEG/ERSE и безопасность энергетики».</x:v>
      </x:c>
      <x:c r="F239" s="26" t="str">
        <x:v>текущий регуляторный путь; монтаж остаётся профессиональным</x:v>
      </x:c>
      <x:c r="G239" s="26" t="str">
        <x:v>official source/version/coverage</x:v>
      </x:c>
      <x:c r="H239" s="26" t="str">
        <x:v>official-version/coverage</x:v>
      </x:c>
      <x:c r="I239" s="26" t="str">
        <x:v>S3_LICENSED_PROFESSIONAL</x:v>
      </x:c>
      <x:c r="J239" s="26" t="str">
        <x:v>Только квалифицированный/лицензированный специалист в подходящей среде и по действующим нормам.</x:v>
      </x:c>
      <x:c r="K239" s="26" t="str">
        <x:v>SCI-PORT-06|SCI-METH-13</x:v>
      </x:c>
      <x:c r="L239" s="26" t="n">
        <x:v>2</x:v>
      </x:c>
      <x:c r="M239" s="26" t="n">
        <x:v>1</x:v>
      </x:c>
      <x:c r="N23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39" s="26" t="str">
        <x:v>FRAMEWORK_ONLY_NOT_TRAINED</x:v>
      </x:c>
      <x:c r="P239" s="26" t="str">
        <x:v>0.4</x:v>
      </x:c>
    </x:row>
    <x:row r="240">
      <x:c r="A240" s="53" t="str">
        <x:v>SCI-PORT-08</x:v>
      </x:c>
      <x:c r="B240" s="53" t="str">
        <x:v>PORT</x:v>
      </x:c>
      <x:c r="C240" s="53" t="str">
        <x:v>Локализация Португалия / ЕС</x:v>
      </x:c>
      <x:c r="D240" s="53" t="str">
        <x:v>DGS/INFARMED и права на локальную медицинскую копию</x:v>
      </x:c>
      <x:c r="E240" s="53" t="str">
        <x:v>Объяснить базовую модель, выполнить допустимую для класса риска проверку и документировать пределы по теме «DGS/INFARMED и права на локальную медицинскую копию».</x:v>
      </x:c>
      <x:c r="F240" s="53" t="str">
        <x:v>metadata/link until reproduction rights and edition are cleared</x:v>
      </x:c>
      <x:c r="G240" s="53" t="str">
        <x:v>official source/version/coverage</x:v>
      </x:c>
      <x:c r="H240" s="53" t="str">
        <x:v>official-version/coverage</x:v>
      </x:c>
      <x:c r="I240" s="53" t="str">
        <x:v>S2_TRAINED_SUPERVISED</x:v>
      </x:c>
      <x:c r="J240" s="53" t="str">
        <x:v>Только после обучения и под компетентным надзором; бытовая самостоятельная импровизация запрещена.</x:v>
      </x:c>
      <x:c r="K240" s="53" t="str">
        <x:v>SCI-PORT-07|SCI-METH-13</x:v>
      </x:c>
      <x:c r="L240" s="53" t="n">
        <x:v>2</x:v>
      </x:c>
      <x:c r="M240" s="53" t="n">
        <x:v>1</x:v>
      </x:c>
      <x:c r="N24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40" s="53" t="str">
        <x:v>FRAMEWORK_ONLY_NOT_TRAINED</x:v>
      </x:c>
      <x:c r="P240" s="53" t="str">
        <x:v>0.4</x:v>
      </x:c>
    </x:row>
    <x:row r="241">
      <x:c r="A241" s="26" t="str">
        <x:v>SCI-PORT-09</x:v>
      </x:c>
      <x:c r="B241" s="26" t="str">
        <x:v>PORT</x:v>
      </x:c>
      <x:c r="C241" s="26" t="str">
        <x:v>Локализация Португалия / ЕС</x:v>
      </x:c>
      <x:c r="D241" s="26" t="str">
        <x:v>EUR-Lex/Diário da República и актуальность права</x:v>
      </x:c>
      <x:c r="E241" s="26" t="str">
        <x:v>Объяснить базовую модель, выполнить допустимую для класса риска проверку и документировать пределы по теме «EUR-Lex/Diário da República и актуальность права».</x:v>
      </x:c>
      <x:c r="F241" s="26" t="str">
        <x:v>официальный текст, consolidated status, valid_at и review_due</x:v>
      </x:c>
      <x:c r="G241" s="26" t="str">
        <x:v>official source/version/coverage</x:v>
      </x:c>
      <x:c r="H241" s="26" t="str">
        <x:v>official-version/coverage</x:v>
      </x:c>
      <x:c r="I241" s="26" t="str">
        <x:v>S0_OBSERVE_READ</x:v>
      </x:c>
      <x:c r="J241" s="26" t="str">
        <x:v>Наблюдение, чтение, расчёт или работа с опубликованным набором данных; физического вмешательства нет.</x:v>
      </x:c>
      <x:c r="K241" s="26" t="str">
        <x:v>SCI-PORT-08|SCI-METH-13</x:v>
      </x:c>
      <x:c r="L241" s="26" t="n">
        <x:v>2</x:v>
      </x:c>
      <x:c r="M241" s="26" t="n">
        <x:v>1</x:v>
      </x:c>
      <x:c r="N24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41" s="26" t="str">
        <x:v>FRAMEWORK_ONLY_NOT_TRAINED</x:v>
      </x:c>
      <x:c r="P241" s="26" t="str">
        <x:v>0.4</x:v>
      </x:c>
    </x:row>
    <x:row r="242">
      <x:c r="A242" s="53" t="str">
        <x:v>SCI-PORT-10</x:v>
      </x:c>
      <x:c r="B242" s="53" t="str">
        <x:v>PORT</x:v>
      </x:c>
      <x:c r="C242" s="53" t="str">
        <x:v>Локализация Португалия / ЕС</x:v>
      </x:c>
      <x:c r="D242" s="53" t="str">
        <x:v>Португальский технический язык и двуязычные карточки</x:v>
      </x:c>
      <x:c r="E242" s="53" t="str">
        <x:v>Объяснить базовую модель, выполнить допустимую для класса риска проверку и документировать пределы по теме «Португальский технический язык и двуязычные карточки».</x:v>
      </x:c>
      <x:c r="F242" s="53" t="str">
        <x:v>PT оригинал + RU пояснение + независимая проверка опасных терминов</x:v>
      </x:c>
      <x:c r="G242" s="53" t="str">
        <x:v>official source/version/coverage</x:v>
      </x:c>
      <x:c r="H242" s="53" t="str">
        <x:v>official-version/coverage</x:v>
      </x:c>
      <x:c r="I242" s="53" t="str">
        <x:v>S0_OBSERVE_READ</x:v>
      </x:c>
      <x:c r="J242" s="53" t="str">
        <x:v>Наблюдение, чтение, расчёт или работа с опубликованным набором данных; физического вмешательства нет.</x:v>
      </x:c>
      <x:c r="K242" s="53" t="str">
        <x:v>SCI-PORT-09|SCI-METH-13</x:v>
      </x:c>
      <x:c r="L242" s="53" t="n">
        <x:v>2</x:v>
      </x:c>
      <x:c r="M242" s="53" t="n">
        <x:v>1</x:v>
      </x:c>
      <x:c r="N24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O242" s="53" t="str">
        <x:v>FRAMEWORK_ONLY_NOT_TRAINED</x:v>
      </x:c>
      <x:c r="P242" s="53" t="str">
        <x:v>0.4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34" hidden="0" customWidth="1"/>
    <x:col min="5" max="5" width="34" hidden="0" customWidth="1"/>
    <x:col min="6" max="6" width="4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4" hidden="0" customWidth="1"/>
    <x:col min="38" max="38" width="44" hidden="0" customWidth="1"/>
  </x:cols>
  <x:sheetData>
    <x:row r="1" ht="32" customHeight="1">
      <x:c r="A1" s="42" t="str">
        <x:v>ОЧЕРЕДЬ ОФЛАЙН-ПАКЕТОВ</x:v>
      </x:c>
      <x:c r="B1" s="3" t="str">
        <x:v>ОЧЕРЕДЬ ОФЛАЙН-ПАКЕТОВ</x:v>
      </x:c>
      <x:c r="C1" s="3" t="str">
        <x:v>ОЧЕРЕДЬ ОФЛАЙН-ПАКЕТОВ</x:v>
      </x:c>
      <x:c r="D1" s="3" t="str">
        <x:v>ОЧЕРЕДЬ ОФЛАЙН-ПАКЕТОВ</x:v>
      </x:c>
      <x:c r="E1" s="3" t="str">
        <x:v>ОЧЕРЕДЬ ОФЛАЙН-ПАКЕТОВ</x:v>
      </x:c>
      <x:c r="F1" s="3" t="str">
        <x:v>ОЧЕРЕДЬ ОФЛАЙН-ПАКЕТОВ</x:v>
      </x:c>
      <x:c r="G1" s="3" t="str">
        <x:v>ОЧЕРЕДЬ ОФЛАЙН-ПАКЕТОВ</x:v>
      </x:c>
      <x:c r="H1" s="3" t="str">
        <x:v>ОЧЕРЕДЬ ОФЛАЙН-ПАКЕТОВ</x:v>
      </x:c>
      <x:c r="I1" s="3" t="str">
        <x:v>ОЧЕРЕДЬ ОФЛАЙН-ПАКЕТОВ</x:v>
      </x:c>
      <x:c r="J1" s="3" t="str">
        <x:v>ОЧЕРЕДЬ ОФЛАЙН-ПАКЕТОВ</x:v>
      </x:c>
      <x:c r="K1" s="3" t="str">
        <x:v>ОЧЕРЕДЬ ОФЛАЙН-ПАКЕТОВ</x:v>
      </x:c>
      <x:c r="L1" s="3" t="str">
        <x:v>ОЧЕРЕДЬ ОФЛАЙН-ПАКЕТОВ</x:v>
      </x:c>
      <x:c r="M1" s="3" t="str">
        <x:v>ОЧЕРЕДЬ ОФЛАЙН-ПАКЕТОВ</x:v>
      </x:c>
      <x:c r="N1" s="3" t="str">
        <x:v>ОЧЕРЕДЬ ОФЛАЙН-ПАКЕТОВ</x:v>
      </x:c>
      <x:c r="O1" s="3" t="str">
        <x:v>ОЧЕРЕДЬ ОФЛАЙН-ПАКЕТОВ</x:v>
      </x:c>
      <x:c r="P1" s="3" t="str">
        <x:v>ОЧЕРЕДЬ ОФЛАЙН-ПАКЕТОВ</x:v>
      </x:c>
      <x:c r="Q1" s="3" t="str">
        <x:v>ОЧЕРЕДЬ ОФЛАЙН-ПАКЕТОВ</x:v>
      </x:c>
      <x:c r="R1" s="3" t="str">
        <x:v>ОЧЕРЕДЬ ОФЛАЙН-ПАКЕТОВ</x:v>
      </x:c>
      <x:c r="S1" s="3" t="str">
        <x:v>ОЧЕРЕДЬ ОФЛАЙН-ПАКЕТОВ</x:v>
      </x:c>
      <x:c r="T1" s="3" t="str">
        <x:v>ОЧЕРЕДЬ ОФЛАЙН-ПАКЕТОВ</x:v>
      </x:c>
      <x:c r="U1" s="3" t="str">
        <x:v>ОЧЕРЕДЬ ОФЛАЙН-ПАКЕТОВ</x:v>
      </x:c>
      <x:c r="V1" s="3" t="str">
        <x:v>ОЧЕРЕДЬ ОФЛАЙН-ПАКЕТОВ</x:v>
      </x:c>
      <x:c r="W1" s="3" t="str">
        <x:v>ОЧЕРЕДЬ ОФЛАЙН-ПАКЕТОВ</x:v>
      </x:c>
      <x:c r="X1" s="3" t="str">
        <x:v>ОЧЕРЕДЬ ОФЛАЙН-ПАКЕТОВ</x:v>
      </x:c>
      <x:c r="Y1" s="3" t="str">
        <x:v>ОЧЕРЕДЬ ОФЛАЙН-ПАКЕТОВ</x:v>
      </x:c>
      <x:c r="Z1" s="3" t="str">
        <x:v>ОЧЕРЕДЬ ОФЛАЙН-ПАКЕТОВ</x:v>
      </x:c>
      <x:c r="AA1" s="3" t="str">
        <x:v>ОЧЕРЕДЬ ОФЛАЙН-ПАКЕТОВ</x:v>
      </x:c>
      <x:c r="AB1" s="3" t="str">
        <x:v>ОЧЕРЕДЬ ОФЛАЙН-ПАКЕТОВ</x:v>
      </x:c>
      <x:c r="AC1" s="3" t="str">
        <x:v>ОЧЕРЕДЬ ОФЛАЙН-ПАКЕТОВ</x:v>
      </x:c>
      <x:c r="AD1" s="3" t="str">
        <x:v>ОЧЕРЕДЬ ОФЛАЙН-ПАКЕТОВ</x:v>
      </x:c>
      <x:c r="AE1" s="3" t="str">
        <x:v>ОЧЕРЕДЬ ОФЛАЙН-ПАКЕТОВ</x:v>
      </x:c>
      <x:c r="AF1" s="3" t="str">
        <x:v>ОЧЕРЕДЬ ОФЛАЙН-ПАКЕТОВ</x:v>
      </x:c>
      <x:c r="AG1" s="3" t="str">
        <x:v>ОЧЕРЕДЬ ОФЛАЙН-ПАКЕТОВ</x:v>
      </x:c>
      <x:c r="AH1" s="3" t="str">
        <x:v>ОЧЕРЕДЬ ОФЛАЙН-ПАКЕТОВ</x:v>
      </x:c>
      <x:c r="AI1" s="3" t="str">
        <x:v>ОЧЕРЕДЬ ОФЛАЙН-ПАКЕТОВ</x:v>
      </x:c>
      <x:c r="AJ1" s="3" t="str">
        <x:v>ОЧЕРЕДЬ ОФЛАЙН-ПАКЕТОВ</x:v>
      </x:c>
      <x:c r="AK1" s="3" t="str">
        <x:v>ОЧЕРЕДЬ ОФЛАЙН-ПАКЕТОВ</x:v>
      </x:c>
      <x:c r="AL1" s="3" t="str">
        <x:v>ОЧЕРЕДЬ ОФЛАЙН-ПАКЕТОВ</x:v>
      </x:c>
    </x:row>
    <x:row r="2" ht="38" customHeight="1">
      <x:c r="A2" s="7" t="str">
        <x:v>259 кандидатов · все CANDIDATE / NOT_DOWNLOADED · права, хеш и offline-open fail closed</x:v>
      </x:c>
      <x:c r="B2" s="7" t="str">
        <x:v>259 кандидатов · все CANDIDATE / NOT_DOWNLOADED · права, хеш и offline-open fail closed</x:v>
      </x:c>
      <x:c r="C2" s="7" t="str">
        <x:v>259 кандидатов · все CANDIDATE / NOT_DOWNLOADED · права, хеш и offline-open fail closed</x:v>
      </x:c>
      <x:c r="D2" s="7" t="str">
        <x:v>259 кандидатов · все CANDIDATE / NOT_DOWNLOADED · права, хеш и offline-open fail closed</x:v>
      </x:c>
      <x:c r="E2" s="7" t="str">
        <x:v>259 кандидатов · все CANDIDATE / NOT_DOWNLOADED · права, хеш и offline-open fail closed</x:v>
      </x:c>
      <x:c r="F2" s="7" t="str">
        <x:v>259 кандидатов · все CANDIDATE / NOT_DOWNLOADED · права, хеш и offline-open fail closed</x:v>
      </x:c>
      <x:c r="G2" s="7" t="str">
        <x:v>259 кандидатов · все CANDIDATE / NOT_DOWNLOADED · права, хеш и offline-open fail closed</x:v>
      </x:c>
      <x:c r="H2" s="7" t="str">
        <x:v>259 кандидатов · все CANDIDATE / NOT_DOWNLOADED · права, хеш и offline-open fail closed</x:v>
      </x:c>
      <x:c r="I2" s="7" t="str">
        <x:v>259 кандидатов · все CANDIDATE / NOT_DOWNLOADED · права, хеш и offline-open fail closed</x:v>
      </x:c>
      <x:c r="J2" s="7" t="str">
        <x:v>259 кандидатов · все CANDIDATE / NOT_DOWNLOADED · права, хеш и offline-open fail closed</x:v>
      </x:c>
      <x:c r="K2" s="7" t="str">
        <x:v>259 кандидатов · все CANDIDATE / NOT_DOWNLOADED · права, хеш и offline-open fail closed</x:v>
      </x:c>
      <x:c r="L2" s="7" t="str">
        <x:v>259 кандидатов · все CANDIDATE / NOT_DOWNLOADED · права, хеш и offline-open fail closed</x:v>
      </x:c>
      <x:c r="M2" s="7" t="str">
        <x:v>259 кандидатов · все CANDIDATE / NOT_DOWNLOADED · права, хеш и offline-open fail closed</x:v>
      </x:c>
      <x:c r="N2" s="7" t="str">
        <x:v>259 кандидатов · все CANDIDATE / NOT_DOWNLOADED · права, хеш и offline-open fail closed</x:v>
      </x:c>
      <x:c r="O2" s="7" t="str">
        <x:v>259 кандидатов · все CANDIDATE / NOT_DOWNLOADED · права, хеш и offline-open fail closed</x:v>
      </x:c>
      <x:c r="P2" s="7" t="str">
        <x:v>259 кандидатов · все CANDIDATE / NOT_DOWNLOADED · права, хеш и offline-open fail closed</x:v>
      </x:c>
      <x:c r="Q2" s="7" t="str">
        <x:v>259 кандидатов · все CANDIDATE / NOT_DOWNLOADED · права, хеш и offline-open fail closed</x:v>
      </x:c>
      <x:c r="R2" s="7" t="str">
        <x:v>259 кандидатов · все CANDIDATE / NOT_DOWNLOADED · права, хеш и offline-open fail closed</x:v>
      </x:c>
      <x:c r="S2" s="7" t="str">
        <x:v>259 кандидатов · все CANDIDATE / NOT_DOWNLOADED · права, хеш и offline-open fail closed</x:v>
      </x:c>
      <x:c r="T2" s="7" t="str">
        <x:v>259 кандидатов · все CANDIDATE / NOT_DOWNLOADED · права, хеш и offline-open fail closed</x:v>
      </x:c>
      <x:c r="U2" s="7" t="str">
        <x:v>259 кандидатов · все CANDIDATE / NOT_DOWNLOADED · права, хеш и offline-open fail closed</x:v>
      </x:c>
      <x:c r="V2" s="7" t="str">
        <x:v>259 кандидатов · все CANDIDATE / NOT_DOWNLOADED · права, хеш и offline-open fail closed</x:v>
      </x:c>
      <x:c r="W2" s="7" t="str">
        <x:v>259 кандидатов · все CANDIDATE / NOT_DOWNLOADED · права, хеш и offline-open fail closed</x:v>
      </x:c>
      <x:c r="X2" s="7" t="str">
        <x:v>259 кандидатов · все CANDIDATE / NOT_DOWNLOADED · права, хеш и offline-open fail closed</x:v>
      </x:c>
      <x:c r="Y2" s="7" t="str">
        <x:v>259 кандидатов · все CANDIDATE / NOT_DOWNLOADED · права, хеш и offline-open fail closed</x:v>
      </x:c>
      <x:c r="Z2" s="7" t="str">
        <x:v>259 кандидатов · все CANDIDATE / NOT_DOWNLOADED · права, хеш и offline-open fail closed</x:v>
      </x:c>
      <x:c r="AA2" s="7" t="str">
        <x:v>259 кандидатов · все CANDIDATE / NOT_DOWNLOADED · права, хеш и offline-open fail closed</x:v>
      </x:c>
      <x:c r="AB2" s="7" t="str">
        <x:v>259 кандидатов · все CANDIDATE / NOT_DOWNLOADED · права, хеш и offline-open fail closed</x:v>
      </x:c>
      <x:c r="AC2" s="7" t="str">
        <x:v>259 кандидатов · все CANDIDATE / NOT_DOWNLOADED · права, хеш и offline-open fail closed</x:v>
      </x:c>
      <x:c r="AD2" s="7" t="str">
        <x:v>259 кандидатов · все CANDIDATE / NOT_DOWNLOADED · права, хеш и offline-open fail closed</x:v>
      </x:c>
      <x:c r="AE2" s="7" t="str">
        <x:v>259 кандидатов · все CANDIDATE / NOT_DOWNLOADED · права, хеш и offline-open fail closed</x:v>
      </x:c>
      <x:c r="AF2" s="7" t="str">
        <x:v>259 кандидатов · все CANDIDATE / NOT_DOWNLOADED · права, хеш и offline-open fail closed</x:v>
      </x:c>
      <x:c r="AG2" s="7" t="str">
        <x:v>259 кандидатов · все CANDIDATE / NOT_DOWNLOADED · права, хеш и offline-open fail closed</x:v>
      </x:c>
      <x:c r="AH2" s="7" t="str">
        <x:v>259 кандидатов · все CANDIDATE / NOT_DOWNLOADED · права, хеш и offline-open fail closed</x:v>
      </x:c>
      <x:c r="AI2" s="7" t="str">
        <x:v>259 кандидатов · все CANDIDATE / NOT_DOWNLOADED · права, хеш и offline-open fail closed</x:v>
      </x:c>
      <x:c r="AJ2" s="7" t="str">
        <x:v>259 кандидатов · все CANDIDATE / NOT_DOWNLOADED · права, хеш и offline-open fail closed</x:v>
      </x:c>
      <x:c r="AK2" s="7" t="str">
        <x:v>259 кандидатов · все CANDIDATE / NOT_DOWNLOADED · права, хеш и offline-open fail closed</x:v>
      </x:c>
      <x:c r="AL2" s="7" t="str">
        <x:v>259 кандидатов · все CANDIDATE / NOT_DOWNLOADED · права, хеш и offline-open fail closed</x:v>
      </x:c>
    </x:row>
    <x:row r="3" ht="34" customHeight="1">
      <x:c r="A3" s="52" t="str">
        <x:v>package_id</x:v>
      </x:c>
      <x:c r="B3" s="52" t="str">
        <x:v>domain_group_codes</x:v>
      </x:c>
      <x:c r="C3" s="52" t="str">
        <x:v>title</x:v>
      </x:c>
      <x:c r="D3" s="52" t="str">
        <x:v>publisher</x:v>
      </x:c>
      <x:c r="E3" s="52" t="str">
        <x:v>content_scope</x:v>
      </x:c>
      <x:c r="F3" s="52" t="str">
        <x:v>canonical_url</x:v>
      </x:c>
      <x:c r="G3" s="52" t="str">
        <x:v>acquisition_url</x:v>
      </x:c>
      <x:c r="H3" s="52" t="str">
        <x:v>rights_url</x:v>
      </x:c>
      <x:c r="I3" s="52" t="str">
        <x:v>license_or_terms</x:v>
      </x:c>
      <x:c r="J3" s="52" t="str">
        <x:v>language</x:v>
      </x:c>
      <x:c r="K3" s="52" t="str">
        <x:v>jurisdiction</x:v>
      </x:c>
      <x:c r="L3" s="52" t="str">
        <x:v>format</x:v>
      </x:c>
      <x:c r="M3" s="52" t="str">
        <x:v>offline_method</x:v>
      </x:c>
      <x:c r="N3" s="52" t="str">
        <x:v>tier</x:v>
      </x:c>
      <x:c r="O3" s="52" t="str">
        <x:v>safety_class</x:v>
      </x:c>
      <x:c r="P3" s="52" t="str">
        <x:v>update_class</x:v>
      </x:c>
      <x:c r="Q3" s="52" t="str">
        <x:v>criticality</x:v>
      </x:c>
      <x:c r="R3" s="52" t="str">
        <x:v>breadth</x:v>
      </x:c>
      <x:c r="S3" s="52" t="str">
        <x:v>actionability</x:v>
      </x:c>
      <x:c r="T3" s="52" t="str">
        <x:v>reproducibility</x:v>
      </x:c>
      <x:c r="U3" s="52" t="str">
        <x:v>offline_fit</x:v>
      </x:c>
      <x:c r="V3" s="52" t="str">
        <x:v>rights_clarity</x:v>
      </x:c>
      <x:c r="W3" s="52" t="str">
        <x:v>language_fit</x:v>
      </x:c>
      <x:c r="X3" s="52" t="str">
        <x:v>maintainability</x:v>
      </x:c>
      <x:c r="Y3" s="52" t="str">
        <x:v>safety_penalty</x:v>
      </x:c>
      <x:c r="Z3" s="52" t="str">
        <x:v>volatility_penalty</x:v>
      </x:c>
      <x:c r="AA3" s="52" t="str">
        <x:v>storage_penalty</x:v>
      </x:c>
      <x:c r="AB3" s="52" t="str">
        <x:v>release_state</x:v>
      </x:c>
      <x:c r="AC3" s="52" t="str">
        <x:v>acquisition_state</x:v>
      </x:c>
      <x:c r="AD3" s="52" t="str">
        <x:v>rights_state</x:v>
      </x:c>
      <x:c r="AE3" s="52" t="str">
        <x:v>content_review_state</x:v>
      </x:c>
      <x:c r="AF3" s="52" t="str">
        <x:v>offline_open_state</x:v>
      </x:c>
      <x:c r="AG3" s="52" t="str">
        <x:v>sha256</x:v>
      </x:c>
      <x:c r="AH3" s="52" t="str">
        <x:v>local_path</x:v>
      </x:c>
      <x:c r="AI3" s="52" t="str">
        <x:v>retrieved_at</x:v>
      </x:c>
      <x:c r="AJ3" s="52" t="str">
        <x:v>review_due</x:v>
      </x:c>
      <x:c r="AK3" s="52" t="str">
        <x:v>priority_score</x:v>
      </x:c>
      <x:c r="AL3" s="52" t="str">
        <x:v>notes</x:v>
      </x:c>
    </x:row>
    <x:row r="4">
      <x:c r="A4" s="53" t="str">
        <x:v>PSP-001</x:v>
      </x:c>
      <x:c r="B4" s="53" t="str">
        <x:v>METH|MATH</x:v>
      </x:c>
      <x:c r="C4" s="53" t="str">
        <x:v>NIST/SEMATECH Engineering Statistics Handbook</x:v>
      </x:c>
      <x:c r="D4" s="53" t="str">
        <x:v>NIST</x:v>
      </x:c>
      <x:c r="E4" s="53" t="str">
        <x:v>Практический источник для групп METH|MATH</x:v>
      </x:c>
      <x:c r="F4" s="53" t="str">
        <x:v>https://www.itl.nist.gov/div898/handbook/</x:v>
      </x:c>
      <x:c r="G4" s="53" t="str">
        <x:v>https://www.itl.nist.gov/div898/handbook/</x:v>
      </x:c>
      <x:c r="H4" s="53" t="str">
        <x:v>https://www.itl.nist.gov/div898/handbook/cd.htm</x:v>
      </x:c>
      <x:c r="I4" s="53" t="str">
        <x:v>NIST page grants copying of handbook CD; capture exact terms</x:v>
      </x:c>
      <x:c r="J4" s="53" t="str">
        <x:v>en</x:v>
      </x:c>
      <x:c r="K4" s="53" t="str">
        <x:v>International/reference</x:v>
      </x:c>
      <x:c r="L4" s="53" t="str">
        <x:v>HTML/PDF/components</x:v>
      </x:c>
      <x:c r="M4" s="53" t="str">
        <x:v>archive allowed components and printer-friendly chapters</x:v>
      </x:c>
      <x:c r="N4" s="53" t="str">
        <x:v>L1</x:v>
      </x:c>
      <x:c r="O4" s="53" t="str">
        <x:v>S0_OBSERVE_READ</x:v>
      </x:c>
      <x:c r="P4" s="53" t="str">
        <x:v>ANNUAL_OR_EDITION</x:v>
      </x:c>
      <x:c r="Q4" s="53" t="n">
        <x:v>5</x:v>
      </x:c>
      <x:c r="R4" s="53" t="n">
        <x:v>5</x:v>
      </x:c>
      <x:c r="S4" s="53" t="n">
        <x:v>5</x:v>
      </x:c>
      <x:c r="T4" s="53" t="n">
        <x:v>5</x:v>
      </x:c>
      <x:c r="U4" s="53" t="n">
        <x:v>4</x:v>
      </x:c>
      <x:c r="V4" s="53" t="n">
        <x:v>4</x:v>
      </x:c>
      <x:c r="W4" s="53" t="n">
        <x:v>2</x:v>
      </x:c>
      <x:c r="X4" s="53" t="n">
        <x:v>4</x:v>
      </x:c>
      <x:c r="Y4" s="53" t="n">
        <x:v>0</x:v>
      </x:c>
      <x:c r="Z4" s="53" t="n">
        <x:v>1</x:v>
      </x:c>
      <x:c r="AA4" s="53" t="n">
        <x:v>1</x:v>
      </x:c>
      <x:c r="AB4" s="53" t="str">
        <x:v>CANDIDATE</x:v>
      </x:c>
      <x:c r="AC4" s="53" t="str">
        <x:v>NOT_DOWNLOADED</x:v>
      </x:c>
      <x:c r="AD4" s="53" t="str">
        <x:v>REQUIRES_ITEM_REVIEW</x:v>
      </x:c>
      <x:c r="AE4" s="53" t="str">
        <x:v>NOT_REVIEWED</x:v>
      </x:c>
      <x:c r="AF4" s="53" t="str">
        <x:v>NOT_TESTED</x:v>
      </x:c>
      <x:c r="AG4" s="53" t="str"/>
      <x:c r="AH4" s="53" t="str"/>
      <x:c r="AI4" s="53" t="str"/>
      <x:c r="AJ4" s="53" t="str"/>
      <x:c r="AK4" s="57" t="n">
        <x:f>MAX(0,MIN(100,ROUND(((Q4*'Overview'!$B$18)+(R4*'Overview'!$B$19)+(S4*'Overview'!$B$20)+(T4*'Overview'!$B$21)+(U4*'Overview'!$B$22)+(V4*'Overview'!$B$23)+(W4*'Overview'!$B$24)+(X4*'Overview'!$B$25)-(Y4*'Overview'!$B$26)-(Z4*'Overview'!$B$27)-(AA4*'Overview'!$B$28))/5*100,0)))</x:f>
        <x:v>89</x:v>
      </x:c>
      <x:c r="AL4" s="53" t="str">
        <x:v>Statistics, experimental design, calibration and reliability; verify current download layout.</x:v>
      </x:c>
    </x:row>
    <x:row r="5">
      <x:c r="A5" s="26" t="str">
        <x:v>PSP-002</x:v>
      </x:c>
      <x:c r="B5" s="26" t="str">
        <x:v>METH|MATH|PHYS|CHEM</x:v>
      </x:c>
      <x:c r="C5" s="26" t="str">
        <x:v>NIST Guide to the SI (SP 811)</x:v>
      </x:c>
      <x:c r="D5" s="26" t="str">
        <x:v>NIST</x:v>
      </x:c>
      <x:c r="E5" s="26" t="str">
        <x:v>Практический источник для групп METH|MATH|PHYS|CHEM</x:v>
      </x:c>
      <x:c r="F5" s="26" t="str">
        <x:v>https://www.nist.gov/publications/guide-use-international-system-units-si</x:v>
      </x:c>
      <x:c r="G5" s="26" t="str">
        <x:v>https://www.nist.gov/publications/guide-use-international-system-units-si</x:v>
      </x:c>
      <x:c r="H5" s="26" t="str">
        <x:v>https://www.nist.gov/open/copyright-fair-use-and-licensing-statements-srd-data-and-software</x:v>
      </x:c>
      <x:c r="I5" s="26" t="str">
        <x:v>US government/NIST terms; item review</x:v>
      </x:c>
      <x:c r="J5" s="26" t="str">
        <x:v>en</x:v>
      </x:c>
      <x:c r="K5" s="26" t="str">
        <x:v>International/reference</x:v>
      </x:c>
      <x:c r="L5" s="26" t="str">
        <x:v>PDF/HTML</x:v>
      </x:c>
      <x:c r="M5" s="26" t="str">
        <x:v>download official PDF and print core tables</x:v>
      </x:c>
      <x:c r="N5" s="26" t="str">
        <x:v>L0</x:v>
      </x:c>
      <x:c r="O5" s="26" t="str">
        <x:v>S0_OBSERVE_READ</x:v>
      </x:c>
      <x:c r="P5" s="26" t="str">
        <x:v>ANNUAL_OR_EDITION</x:v>
      </x:c>
      <x:c r="Q5" s="26" t="n">
        <x:v>4</x:v>
      </x:c>
      <x:c r="R5" s="26" t="n">
        <x:v>4</x:v>
      </x:c>
      <x:c r="S5" s="26" t="n">
        <x:v>3</x:v>
      </x:c>
      <x:c r="T5" s="26" t="n">
        <x:v>4</x:v>
      </x:c>
      <x:c r="U5" s="26" t="n">
        <x:v>4</x:v>
      </x:c>
      <x:c r="V5" s="26" t="n">
        <x:v>3</x:v>
      </x:c>
      <x:c r="W5" s="26" t="n">
        <x:v>2</x:v>
      </x:c>
      <x:c r="X5" s="26" t="n">
        <x:v>4</x:v>
      </x:c>
      <x:c r="Y5" s="26" t="n">
        <x:v>1</x:v>
      </x:c>
      <x:c r="Z5" s="26" t="n">
        <x:v>2</x:v>
      </x:c>
      <x:c r="AA5" s="26" t="n">
        <x:v>1</x:v>
      </x:c>
      <x:c r="AB5" s="26" t="str">
        <x:v>CANDIDATE</x:v>
      </x:c>
      <x:c r="AC5" s="26" t="str">
        <x:v>NOT_DOWNLOADED</x:v>
      </x:c>
      <x:c r="AD5" s="26" t="str">
        <x:v>REQUIRES_ITEM_REVIEW</x:v>
      </x:c>
      <x:c r="AE5" s="26" t="str">
        <x:v>NOT_REVIEWED</x:v>
      </x:c>
      <x:c r="AF5" s="26" t="str">
        <x:v>NOT_TESTED</x:v>
      </x:c>
      <x:c r="AG5" s="26" t="str"/>
      <x:c r="AH5" s="26" t="str"/>
      <x:c r="AI5" s="26" t="str"/>
      <x:c r="AJ5" s="26" t="str"/>
      <x:c r="AK5" s="57" t="n">
        <x:f>MAX(0,MIN(100,ROUND(((Q5*'Overview'!$B$18)+(R5*'Overview'!$B$19)+(S5*'Overview'!$B$20)+(T5*'Overview'!$B$21)+(U5*'Overview'!$B$22)+(V5*'Overview'!$B$23)+(W5*'Overview'!$B$24)+(X5*'Overview'!$B$25)-(Y5*'Overview'!$B$26)-(Z5*'Overview'!$B$27)-(AA5*'Overview'!$B$28))/5*100,0)))</x:f>
        <x:v>65</x:v>
      </x:c>
      <x:c r="AL5" s="26" t="str">
        <x:v>Units, symbols and reporting conventions.</x:v>
      </x:c>
    </x:row>
    <x:row r="6">
      <x:c r="A6" s="53" t="str">
        <x:v>PSP-003</x:v>
      </x:c>
      <x:c r="B6" s="53" t="str">
        <x:v>METH|PHYS|CHEM|ELEC</x:v>
      </x:c>
      <x:c r="C6" s="53" t="str">
        <x:v>BIPM SI Brochure</x:v>
      </x:c>
      <x:c r="D6" s="53" t="str">
        <x:v>BIPM</x:v>
      </x:c>
      <x:c r="E6" s="53" t="str">
        <x:v>Практический источник для групп METH|PHYS|CHEM|ELEC</x:v>
      </x:c>
      <x:c r="F6" s="53" t="str">
        <x:v>https://www.bipm.org/en/publications/si-brochure</x:v>
      </x:c>
      <x:c r="G6" s="53" t="str">
        <x:v>https://www.bipm.org/en/publications/si-brochure</x:v>
      </x:c>
      <x:c r="H6" s="53" t="str">
        <x:v>https://www.bipm.org/en/terms</x:v>
      </x:c>
      <x:c r="I6" s="53" t="str">
        <x:v>BIPM terms; capture item notice</x:v>
      </x:c>
      <x:c r="J6" s="53" t="str">
        <x:v>en|fr</x:v>
      </x:c>
      <x:c r="K6" s="53" t="str">
        <x:v>International/reference</x:v>
      </x:c>
      <x:c r="L6" s="53" t="str">
        <x:v>PDF/HTML</x:v>
      </x:c>
      <x:c r="M6" s="53" t="str">
        <x:v>download current edition and translations</x:v>
      </x:c>
      <x:c r="N6" s="53" t="str">
        <x:v>L1</x:v>
      </x:c>
      <x:c r="O6" s="53" t="str">
        <x:v>S0_OBSERVE_READ</x:v>
      </x:c>
      <x:c r="P6" s="53" t="str">
        <x:v>ANNUAL_OR_EDITION</x:v>
      </x:c>
      <x:c r="Q6" s="53" t="n">
        <x:v>4</x:v>
      </x:c>
      <x:c r="R6" s="53" t="n">
        <x:v>4</x:v>
      </x:c>
      <x:c r="S6" s="53" t="n">
        <x:v>3</x:v>
      </x:c>
      <x:c r="T6" s="53" t="n">
        <x:v>4</x:v>
      </x:c>
      <x:c r="U6" s="53" t="n">
        <x:v>4</x:v>
      </x:c>
      <x:c r="V6" s="53" t="n">
        <x:v>3</x:v>
      </x:c>
      <x:c r="W6" s="53" t="n">
        <x:v>2</x:v>
      </x:c>
      <x:c r="X6" s="53" t="n">
        <x:v>4</x:v>
      </x:c>
      <x:c r="Y6" s="53" t="n">
        <x:v>1</x:v>
      </x:c>
      <x:c r="Z6" s="53" t="n">
        <x:v>2</x:v>
      </x:c>
      <x:c r="AA6" s="53" t="n">
        <x:v>1</x:v>
      </x:c>
      <x:c r="AB6" s="53" t="str">
        <x:v>CANDIDATE</x:v>
      </x:c>
      <x:c r="AC6" s="53" t="str">
        <x:v>NOT_DOWNLOADED</x:v>
      </x:c>
      <x:c r="AD6" s="53" t="str">
        <x:v>REQUIRES_ITEM_REVIEW</x:v>
      </x:c>
      <x:c r="AE6" s="53" t="str">
        <x:v>NOT_REVIEWED</x:v>
      </x:c>
      <x:c r="AF6" s="53" t="str">
        <x:v>NOT_TESTED</x:v>
      </x:c>
      <x:c r="AG6" s="53" t="str"/>
      <x:c r="AH6" s="53" t="str"/>
      <x:c r="AI6" s="53" t="str"/>
      <x:c r="AJ6" s="53" t="str"/>
      <x:c r="AK6" s="57" t="n">
        <x:f>MAX(0,MIN(100,ROUND(((Q6*'Overview'!$B$18)+(R6*'Overview'!$B$19)+(S6*'Overview'!$B$20)+(T6*'Overview'!$B$21)+(U6*'Overview'!$B$22)+(V6*'Overview'!$B$23)+(W6*'Overview'!$B$24)+(X6*'Overview'!$B$25)-(Y6*'Overview'!$B$26)-(Z6*'Overview'!$B$27)-(AA6*'Overview'!$B$28))/5*100,0)))</x:f>
        <x:v>65</x:v>
      </x:c>
      <x:c r="AL6" s="53" t="str">
        <x:v>Primary international SI reference.</x:v>
      </x:c>
    </x:row>
    <x:row r="7">
      <x:c r="A7" s="26" t="str">
        <x:v>PSP-004</x:v>
      </x:c>
      <x:c r="B7" s="26" t="str">
        <x:v>CHEM|PHYS</x:v>
      </x:c>
      <x:c r="C7" s="26" t="str">
        <x:v>NIST Chemistry WebBook</x:v>
      </x:c>
      <x:c r="D7" s="26" t="str">
        <x:v>NIST</x:v>
      </x:c>
      <x:c r="E7" s="26" t="str">
        <x:v>Практический источник для групп CHEM|PHYS</x:v>
      </x:c>
      <x:c r="F7" s="26" t="str">
        <x:v>https://webbook.nist.gov/chemistry/</x:v>
      </x:c>
      <x:c r="G7" s="26" t="str">
        <x:v>https://webbook.nist.gov/chemistry/</x:v>
      </x:c>
      <x:c r="H7" s="26" t="str">
        <x:v>https://www.nist.gov/srd/public-law</x:v>
      </x:c>
      <x:c r="I7" s="26" t="str">
        <x:v>NIST Standard Reference Data terms</x:v>
      </x:c>
      <x:c r="J7" s="26" t="str">
        <x:v>en</x:v>
      </x:c>
      <x:c r="K7" s="26" t="str">
        <x:v>International/reference</x:v>
      </x:c>
      <x:c r="L7" s="26" t="str">
        <x:v>HTML/data</x:v>
      </x:c>
      <x:c r="M7" s="26" t="str">
        <x:v>archive permitted datasets/pages only after terms review</x:v>
      </x:c>
      <x:c r="N7" s="26" t="str">
        <x:v>L2</x:v>
      </x:c>
      <x:c r="O7" s="26" t="str">
        <x:v>S0_OBSERVE_READ</x:v>
      </x:c>
      <x:c r="P7" s="26" t="str">
        <x:v>ANNUAL_OR_EDITION</x:v>
      </x:c>
      <x:c r="Q7" s="26" t="n">
        <x:v>4</x:v>
      </x:c>
      <x:c r="R7" s="26" t="n">
        <x:v>4</x:v>
      </x:c>
      <x:c r="S7" s="26" t="n">
        <x:v>3</x:v>
      </x:c>
      <x:c r="T7" s="26" t="n">
        <x:v>4</x:v>
      </x:c>
      <x:c r="U7" s="26" t="n">
        <x:v>4</x:v>
      </x:c>
      <x:c r="V7" s="26" t="n">
        <x:v>3</x:v>
      </x:c>
      <x:c r="W7" s="26" t="n">
        <x:v>2</x:v>
      </x:c>
      <x:c r="X7" s="26" t="n">
        <x:v>4</x:v>
      </x:c>
      <x:c r="Y7" s="26" t="n">
        <x:v>1</x:v>
      </x:c>
      <x:c r="Z7" s="26" t="n">
        <x:v>2</x:v>
      </x:c>
      <x:c r="AA7" s="26" t="n">
        <x:v>1</x:v>
      </x:c>
      <x:c r="AB7" s="26" t="str">
        <x:v>CANDIDATE</x:v>
      </x:c>
      <x:c r="AC7" s="26" t="str">
        <x:v>NOT_DOWNLOADED</x:v>
      </x:c>
      <x:c r="AD7" s="26" t="str">
        <x:v>REQUIRES_ITEM_REVIEW</x:v>
      </x:c>
      <x:c r="AE7" s="26" t="str">
        <x:v>NOT_REVIEWED</x:v>
      </x:c>
      <x:c r="AF7" s="26" t="str">
        <x:v>NOT_TESTED</x:v>
      </x:c>
      <x:c r="AG7" s="26" t="str"/>
      <x:c r="AH7" s="26" t="str"/>
      <x:c r="AI7" s="26" t="str"/>
      <x:c r="AJ7" s="26" t="str"/>
      <x:c r="AK7" s="57" t="n">
        <x:f>MAX(0,MIN(100,ROUND(((Q7*'Overview'!$B$18)+(R7*'Overview'!$B$19)+(S7*'Overview'!$B$20)+(T7*'Overview'!$B$21)+(U7*'Overview'!$B$22)+(V7*'Overview'!$B$23)+(W7*'Overview'!$B$24)+(X7*'Overview'!$B$25)-(Y7*'Overview'!$B$26)-(Z7*'Overview'!$B$27)-(AA7*'Overview'!$B$28))/5*100,0)))</x:f>
        <x:v>65</x:v>
      </x:c>
      <x:c r="AL7" s="26" t="str">
        <x:v>Thermochemical and spectroscopic reference data; not a household procedure.</x:v>
      </x:c>
    </x:row>
    <x:row r="8">
      <x:c r="A8" s="53" t="str">
        <x:v>PSP-005</x:v>
      </x:c>
      <x:c r="B8" s="53" t="str">
        <x:v>METH|MATH</x:v>
      </x:c>
      <x:c r="C8" s="53" t="str">
        <x:v>NIST Statistical Reference Datasets</x:v>
      </x:c>
      <x:c r="D8" s="53" t="str">
        <x:v>NIST</x:v>
      </x:c>
      <x:c r="E8" s="53" t="str">
        <x:v>Практический источник для групп METH|MATH</x:v>
      </x:c>
      <x:c r="F8" s="53" t="str">
        <x:v>https://www.itl.nist.gov/div898/strd/</x:v>
      </x:c>
      <x:c r="G8" s="53" t="str">
        <x:v>https://www.itl.nist.gov/div898/strd/</x:v>
      </x:c>
      <x:c r="H8" s="53" t="str">
        <x:v>https://www.nist.gov/open/copyright-fair-use-and-licensing-statements-srd-data-and-software</x:v>
      </x:c>
      <x:c r="I8" s="53" t="str">
        <x:v>NIST SRD terms; item review</x:v>
      </x:c>
      <x:c r="J8" s="53" t="str">
        <x:v>en</x:v>
      </x:c>
      <x:c r="K8" s="53" t="str">
        <x:v>International/reference</x:v>
      </x:c>
      <x:c r="L8" s="53" t="str">
        <x:v>ASCII/HTML</x:v>
      </x:c>
      <x:c r="M8" s="53" t="str">
        <x:v>download datasets and certified values</x:v>
      </x:c>
      <x:c r="N8" s="53" t="str">
        <x:v>L1</x:v>
      </x:c>
      <x:c r="O8" s="53" t="str">
        <x:v>S0_OBSERVE_READ</x:v>
      </x:c>
      <x:c r="P8" s="53" t="str">
        <x:v>ANNUAL_OR_EDITION</x:v>
      </x:c>
      <x:c r="Q8" s="53" t="n">
        <x:v>4</x:v>
      </x:c>
      <x:c r="R8" s="53" t="n">
        <x:v>4</x:v>
      </x:c>
      <x:c r="S8" s="53" t="n">
        <x:v>3</x:v>
      </x:c>
      <x:c r="T8" s="53" t="n">
        <x:v>4</x:v>
      </x:c>
      <x:c r="U8" s="53" t="n">
        <x:v>4</x:v>
      </x:c>
      <x:c r="V8" s="53" t="n">
        <x:v>3</x:v>
      </x:c>
      <x:c r="W8" s="53" t="n">
        <x:v>2</x:v>
      </x:c>
      <x:c r="X8" s="53" t="n">
        <x:v>4</x:v>
      </x:c>
      <x:c r="Y8" s="53" t="n">
        <x:v>1</x:v>
      </x:c>
      <x:c r="Z8" s="53" t="n">
        <x:v>2</x:v>
      </x:c>
      <x:c r="AA8" s="53" t="n">
        <x:v>1</x:v>
      </x:c>
      <x:c r="AB8" s="53" t="str">
        <x:v>CANDIDATE</x:v>
      </x:c>
      <x:c r="AC8" s="53" t="str">
        <x:v>NOT_DOWNLOADED</x:v>
      </x:c>
      <x:c r="AD8" s="53" t="str">
        <x:v>REQUIRES_ITEM_REVIEW</x:v>
      </x:c>
      <x:c r="AE8" s="53" t="str">
        <x:v>NOT_REVIEWED</x:v>
      </x:c>
      <x:c r="AF8" s="53" t="str">
        <x:v>NOT_TESTED</x:v>
      </x:c>
      <x:c r="AG8" s="53" t="str"/>
      <x:c r="AH8" s="53" t="str"/>
      <x:c r="AI8" s="53" t="str"/>
      <x:c r="AJ8" s="53" t="str"/>
      <x:c r="AK8" s="57" t="n">
        <x:f>MAX(0,MIN(100,ROUND(((Q8*'Overview'!$B$18)+(R8*'Overview'!$B$19)+(S8*'Overview'!$B$20)+(T8*'Overview'!$B$21)+(U8*'Overview'!$B$22)+(V8*'Overview'!$B$23)+(W8*'Overview'!$B$24)+(X8*'Overview'!$B$25)-(Y8*'Overview'!$B$26)-(Z8*'Overview'!$B$27)-(AA8*'Overview'!$B$28))/5*100,0)))</x:f>
        <x:v>65</x:v>
      </x:c>
      <x:c r="AL8" s="53" t="str">
        <x:v>Reference data for verifying numerical software.</x:v>
      </x:c>
    </x:row>
    <x:row r="9">
      <x:c r="A9" s="26" t="str">
        <x:v>PSP-006</x:v>
      </x:c>
      <x:c r="B9" s="26" t="str">
        <x:v>METH|PHYS|CHEM|ELEC</x:v>
      </x:c>
      <x:c r="C9" s="26" t="str">
        <x:v>NIST Measurement Uncertainty resources</x:v>
      </x:c>
      <x:c r="D9" s="26" t="str">
        <x:v>NIST</x:v>
      </x:c>
      <x:c r="E9" s="26" t="str">
        <x:v>Практический источник для групп METH|PHYS|CHEM|ELEC</x:v>
      </x:c>
      <x:c r="F9" s="26" t="str">
        <x:v>https://www.nist.gov/itl/sed/resources</x:v>
      </x:c>
      <x:c r="G9" s="26" t="str">
        <x:v>https://www.nist.gov/itl/sed/resources</x:v>
      </x:c>
      <x:c r="H9" s="26" t="str">
        <x:v>https://www.nist.gov/open/copyright-fair-use-and-licensing-statements-srd-data-and-software</x:v>
      </x:c>
      <x:c r="I9" s="26" t="str">
        <x:v>NIST terms; item review</x:v>
      </x:c>
      <x:c r="J9" s="26" t="str">
        <x:v>en</x:v>
      </x:c>
      <x:c r="K9" s="26" t="str">
        <x:v>International/reference</x:v>
      </x:c>
      <x:c r="L9" s="26" t="str">
        <x:v>HTML/PDF</x:v>
      </x:c>
      <x:c r="M9" s="26" t="str">
        <x:v>download cited tutorials and examples per item</x:v>
      </x:c>
      <x:c r="N9" s="26" t="str">
        <x:v>L1</x:v>
      </x:c>
      <x:c r="O9" s="26" t="str">
        <x:v>S0_OBSERVE_READ</x:v>
      </x:c>
      <x:c r="P9" s="26" t="str">
        <x:v>ANNUAL_OR_EDITION</x:v>
      </x:c>
      <x:c r="Q9" s="26" t="n">
        <x:v>4</x:v>
      </x:c>
      <x:c r="R9" s="26" t="n">
        <x:v>4</x:v>
      </x:c>
      <x:c r="S9" s="26" t="n">
        <x:v>3</x:v>
      </x:c>
      <x:c r="T9" s="26" t="n">
        <x:v>4</x:v>
      </x:c>
      <x:c r="U9" s="26" t="n">
        <x:v>4</x:v>
      </x:c>
      <x:c r="V9" s="26" t="n">
        <x:v>3</x:v>
      </x:c>
      <x:c r="W9" s="26" t="n">
        <x:v>2</x:v>
      </x:c>
      <x:c r="X9" s="26" t="n">
        <x:v>4</x:v>
      </x:c>
      <x:c r="Y9" s="26" t="n">
        <x:v>1</x:v>
      </x:c>
      <x:c r="Z9" s="26" t="n">
        <x:v>2</x:v>
      </x:c>
      <x:c r="AA9" s="26" t="n">
        <x:v>1</x:v>
      </x:c>
      <x:c r="AB9" s="26" t="str">
        <x:v>CANDIDATE</x:v>
      </x:c>
      <x:c r="AC9" s="26" t="str">
        <x:v>NOT_DOWNLOADED</x:v>
      </x:c>
      <x:c r="AD9" s="26" t="str">
        <x:v>REQUIRES_ITEM_REVIEW</x:v>
      </x:c>
      <x:c r="AE9" s="26" t="str">
        <x:v>NOT_REVIEWED</x:v>
      </x:c>
      <x:c r="AF9" s="26" t="str">
        <x:v>NOT_TESTED</x:v>
      </x:c>
      <x:c r="AG9" s="26" t="str"/>
      <x:c r="AH9" s="26" t="str"/>
      <x:c r="AI9" s="26" t="str"/>
      <x:c r="AJ9" s="26" t="str"/>
      <x:c r="AK9" s="57" t="n">
        <x:f>MAX(0,MIN(100,ROUND(((Q9*'Overview'!$B$18)+(R9*'Overview'!$B$19)+(S9*'Overview'!$B$20)+(T9*'Overview'!$B$21)+(U9*'Overview'!$B$22)+(V9*'Overview'!$B$23)+(W9*'Overview'!$B$24)+(X9*'Overview'!$B$25)-(Y9*'Overview'!$B$26)-(Z9*'Overview'!$B$27)-(AA9*'Overview'!$B$28))/5*100,0)))</x:f>
        <x:v>65</x:v>
      </x:c>
      <x:c r="AL9" s="26" t="str">
        <x:v>Uncertainty and measurement process characterization.</x:v>
      </x:c>
    </x:row>
    <x:row r="10">
      <x:c r="A10" s="53" t="str">
        <x:v>PSP-007</x:v>
      </x:c>
      <x:c r="B10" s="53" t="str">
        <x:v>METH|OPS</x:v>
      </x:c>
      <x:c r="C10" s="53" t="str">
        <x:v>NASA Systems Engineering Handbook</x:v>
      </x:c>
      <x:c r="D10" s="53" t="str">
        <x:v>NASA</x:v>
      </x:c>
      <x:c r="E10" s="53" t="str">
        <x:v>Практический источник для групп METH|OPS</x:v>
      </x:c>
      <x:c r="F10" s="53" t="str">
        <x:v>https://science.nasa.gov/wp-content/uploads/2023/04/nasa_systems_engineering_handbook_0.pdf</x:v>
      </x:c>
      <x:c r="G10" s="53" t="str">
        <x:v>https://science.nasa.gov/wp-content/uploads/2023/04/nasa_systems_engineering_handbook_0.pdf</x:v>
      </x:c>
      <x:c r="H10" s="53" t="str">
        <x:v>https://www.nasa.gov/nasa-brand-center/images-and-media/</x:v>
      </x:c>
      <x:c r="I10" s="53" t="str">
        <x:v>US government work with NASA media/third-party exceptions</x:v>
      </x:c>
      <x:c r="J10" s="53" t="str">
        <x:v>en</x:v>
      </x:c>
      <x:c r="K10" s="53" t="str">
        <x:v>International/reference</x:v>
      </x:c>
      <x:c r="L10" s="53" t="str">
        <x:v>PDF</x:v>
      </x:c>
      <x:c r="M10" s="53" t="str">
        <x:v>download exact PDF; keep edition and hash</x:v>
      </x:c>
      <x:c r="N10" s="53" t="str">
        <x:v>L1</x:v>
      </x:c>
      <x:c r="O10" s="53" t="str">
        <x:v>S0_OBSERVE_READ</x:v>
      </x:c>
      <x:c r="P10" s="53" t="str">
        <x:v>ANNUAL_OR_EDITION</x:v>
      </x:c>
      <x:c r="Q10" s="53" t="n">
        <x:v>4</x:v>
      </x:c>
      <x:c r="R10" s="53" t="n">
        <x:v>4</x:v>
      </x:c>
      <x:c r="S10" s="53" t="n">
        <x:v>3</x:v>
      </x:c>
      <x:c r="T10" s="53" t="n">
        <x:v>4</x:v>
      </x:c>
      <x:c r="U10" s="53" t="n">
        <x:v>4</x:v>
      </x:c>
      <x:c r="V10" s="53" t="n">
        <x:v>3</x:v>
      </x:c>
      <x:c r="W10" s="53" t="n">
        <x:v>2</x:v>
      </x:c>
      <x:c r="X10" s="53" t="n">
        <x:v>4</x:v>
      </x:c>
      <x:c r="Y10" s="53" t="n">
        <x:v>1</x:v>
      </x:c>
      <x:c r="Z10" s="53" t="n">
        <x:v>2</x:v>
      </x:c>
      <x:c r="AA10" s="53" t="n">
        <x:v>1</x:v>
      </x:c>
      <x:c r="AB10" s="53" t="str">
        <x:v>CANDIDATE</x:v>
      </x:c>
      <x:c r="AC10" s="53" t="str">
        <x:v>NOT_DOWNLOADED</x:v>
      </x:c>
      <x:c r="AD10" s="53" t="str">
        <x:v>REQUIRES_ITEM_REVIEW</x:v>
      </x:c>
      <x:c r="AE10" s="53" t="str">
        <x:v>NOT_REVIEWED</x:v>
      </x:c>
      <x:c r="AF10" s="53" t="str">
        <x:v>NOT_TESTED</x:v>
      </x:c>
      <x:c r="AG10" s="53" t="str"/>
      <x:c r="AH10" s="53" t="str"/>
      <x:c r="AI10" s="53" t="str"/>
      <x:c r="AJ10" s="53" t="str"/>
      <x:c r="AK10" s="57" t="n">
        <x:f>MAX(0,MIN(100,ROUND(((Q10*'Overview'!$B$18)+(R10*'Overview'!$B$19)+(S10*'Overview'!$B$20)+(T10*'Overview'!$B$21)+(U10*'Overview'!$B$22)+(V10*'Overview'!$B$23)+(W10*'Overview'!$B$24)+(X10*'Overview'!$B$25)-(Y10*'Overview'!$B$26)-(Z10*'Overview'!$B$27)-(AA10*'Overview'!$B$28))/5*100,0)))</x:f>
        <x:v>65</x:v>
      </x:c>
      <x:c r="AL10" s="53" t="str">
        <x:v>Requirements, verification, validation, interfaces and lifecycle.</x:v>
      </x:c>
    </x:row>
    <x:row r="11">
      <x:c r="A11" s="26" t="str">
        <x:v>PSP-008</x:v>
      </x:c>
      <x:c r="B11" s="26" t="str">
        <x:v>OPS|MECH|ELEC</x:v>
      </x:c>
      <x:c r="C11" s="26" t="str">
        <x:v>NASA Reliability-Centered Maintenance Guide</x:v>
      </x:c>
      <x:c r="D11" s="26" t="str">
        <x:v>NASA</x:v>
      </x:c>
      <x:c r="E11" s="26" t="str">
        <x:v>Практический источник для групп OPS|MECH|ELEC</x:v>
      </x:c>
      <x:c r="F11" s="26" t="str">
        <x:v>https://www.nasa.gov/reference/reliability-centered-maintenance-guide/</x:v>
      </x:c>
      <x:c r="G11" s="26" t="str">
        <x:v>https://www.nasa.gov/reference/reliability-centered-maintenance-guide/</x:v>
      </x:c>
      <x:c r="H11" s="26" t="str">
        <x:v>https://www.nasa.gov/nasa-brand-center/images-and-media/</x:v>
      </x:c>
      <x:c r="I11" s="26" t="str">
        <x:v>US government work; item/third-party review</x:v>
      </x:c>
      <x:c r="J11" s="26" t="str">
        <x:v>en</x:v>
      </x:c>
      <x:c r="K11" s="26" t="str">
        <x:v>International/reference</x:v>
      </x:c>
      <x:c r="L11" s="26" t="str">
        <x:v>PDF/HTML</x:v>
      </x:c>
      <x:c r="M11" s="26" t="str">
        <x:v>download exact publication after item review</x:v>
      </x:c>
      <x:c r="N11" s="26" t="str">
        <x:v>L2</x:v>
      </x:c>
      <x:c r="O11" s="26" t="str">
        <x:v>S2_TRAINED_SUPERVISED</x:v>
      </x:c>
      <x:c r="P11" s="26" t="str">
        <x:v>ANNUAL_OR_EDITION</x:v>
      </x:c>
      <x:c r="Q11" s="26" t="n">
        <x:v>4</x:v>
      </x:c>
      <x:c r="R11" s="26" t="n">
        <x:v>4</x:v>
      </x:c>
      <x:c r="S11" s="26" t="n">
        <x:v>3</x:v>
      </x:c>
      <x:c r="T11" s="26" t="n">
        <x:v>4</x:v>
      </x:c>
      <x:c r="U11" s="26" t="n">
        <x:v>4</x:v>
      </x:c>
      <x:c r="V11" s="26" t="n">
        <x:v>3</x:v>
      </x:c>
      <x:c r="W11" s="26" t="n">
        <x:v>2</x:v>
      </x:c>
      <x:c r="X11" s="26" t="n">
        <x:v>4</x:v>
      </x:c>
      <x:c r="Y11" s="26" t="n">
        <x:v>2</x:v>
      </x:c>
      <x:c r="Z11" s="26" t="n">
        <x:v>2</x:v>
      </x:c>
      <x:c r="AA11" s="26" t="n">
        <x:v>1</x:v>
      </x:c>
      <x:c r="AB11" s="26" t="str">
        <x:v>CANDIDATE</x:v>
      </x:c>
      <x:c r="AC11" s="26" t="str">
        <x:v>NOT_DOWNLOADED</x:v>
      </x:c>
      <x:c r="AD11" s="26" t="str">
        <x:v>REQUIRES_ITEM_REVIEW</x:v>
      </x:c>
      <x:c r="AE11" s="26" t="str">
        <x:v>NOT_REVIEWED</x:v>
      </x:c>
      <x:c r="AF11" s="26" t="str">
        <x:v>NOT_TESTED</x:v>
      </x:c>
      <x:c r="AG11" s="26" t="str"/>
      <x:c r="AH11" s="26" t="str"/>
      <x:c r="AI11" s="26" t="str"/>
      <x:c r="AJ11" s="26" t="str"/>
      <x:c r="AK11" s="57" t="n">
        <x:f>MAX(0,MIN(100,ROUND(((Q11*'Overview'!$B$18)+(R11*'Overview'!$B$19)+(S11*'Overview'!$B$20)+(T11*'Overview'!$B$21)+(U11*'Overview'!$B$22)+(V11*'Overview'!$B$23)+(W11*'Overview'!$B$24)+(X11*'Overview'!$B$25)-(Y11*'Overview'!$B$26)-(Z11*'Overview'!$B$27)-(AA11*'Overview'!$B$28))/5*100,0)))</x:f>
        <x:v>62</x:v>
      </x:c>
      <x:c r="AL11" s="26" t="str">
        <x:v>Maintenance analysis; does not replace manufacturer procedures.</x:v>
      </x:c>
    </x:row>
    <x:row r="12">
      <x:c r="A12" s="53" t="str">
        <x:v>PSP-009</x:v>
      </x:c>
      <x:c r="B12" s="53" t="str">
        <x:v>ARCH|METH</x:v>
      </x:c>
      <x:c r="C12" s="53" t="str">
        <x:v>RFC 8493: The BagIt File Packaging Format</x:v>
      </x:c>
      <x:c r="D12" s="53" t="str">
        <x:v>IETF</x:v>
      </x:c>
      <x:c r="E12" s="53" t="str">
        <x:v>Практический источник для групп ARCH|METH</x:v>
      </x:c>
      <x:c r="F12" s="53" t="str">
        <x:v>https://www.rfc-editor.org/rfc/rfc8493.html</x:v>
      </x:c>
      <x:c r="G12" s="53" t="str">
        <x:v>https://www.rfc-editor.org/rfc/rfc8493.html</x:v>
      </x:c>
      <x:c r="H12" s="53" t="str">
        <x:v>https://trustee.ietf.org/documents/trust-legal-provisions/</x:v>
      </x:c>
      <x:c r="I12" s="53" t="str">
        <x:v>IETF Trust Legal Provisions</x:v>
      </x:c>
      <x:c r="J12" s="53" t="str">
        <x:v>en</x:v>
      </x:c>
      <x:c r="K12" s="53" t="str">
        <x:v>International/reference</x:v>
      </x:c>
      <x:c r="L12" s="53" t="str">
        <x:v>HTML/TXT/PDF/XML</x:v>
      </x:c>
      <x:c r="M12" s="53" t="str">
        <x:v>download canonical RFC formats</x:v>
      </x:c>
      <x:c r="N12" s="53" t="str">
        <x:v>L0</x:v>
      </x:c>
      <x:c r="O12" s="53" t="str">
        <x:v>S0_OBSERVE_READ</x:v>
      </x:c>
      <x:c r="P12" s="53" t="str">
        <x:v>ANNUAL_OR_EDITION</x:v>
      </x:c>
      <x:c r="Q12" s="53" t="n">
        <x:v>4</x:v>
      </x:c>
      <x:c r="R12" s="53" t="n">
        <x:v>4</x:v>
      </x:c>
      <x:c r="S12" s="53" t="n">
        <x:v>3</x:v>
      </x:c>
      <x:c r="T12" s="53" t="n">
        <x:v>4</x:v>
      </x:c>
      <x:c r="U12" s="53" t="n">
        <x:v>4</x:v>
      </x:c>
      <x:c r="V12" s="53" t="n">
        <x:v>3</x:v>
      </x:c>
      <x:c r="W12" s="53" t="n">
        <x:v>2</x:v>
      </x:c>
      <x:c r="X12" s="53" t="n">
        <x:v>4</x:v>
      </x:c>
      <x:c r="Y12" s="53" t="n">
        <x:v>1</x:v>
      </x:c>
      <x:c r="Z12" s="53" t="n">
        <x:v>2</x:v>
      </x:c>
      <x:c r="AA12" s="53" t="n">
        <x:v>1</x:v>
      </x:c>
      <x:c r="AB12" s="53" t="str">
        <x:v>CANDIDATE</x:v>
      </x:c>
      <x:c r="AC12" s="53" t="str">
        <x:v>NOT_DOWNLOADED</x:v>
      </x:c>
      <x:c r="AD12" s="53" t="str">
        <x:v>REQUIRES_ITEM_REVIEW</x:v>
      </x:c>
      <x:c r="AE12" s="53" t="str">
        <x:v>NOT_REVIEWED</x:v>
      </x:c>
      <x:c r="AF12" s="53" t="str">
        <x:v>NOT_TESTED</x:v>
      </x:c>
      <x:c r="AG12" s="53" t="str"/>
      <x:c r="AH12" s="53" t="str"/>
      <x:c r="AI12" s="53" t="str"/>
      <x:c r="AJ12" s="53" t="str"/>
      <x:c r="AK12" s="57" t="n">
        <x:f>MAX(0,MIN(100,ROUND(((Q12*'Overview'!$B$18)+(R12*'Overview'!$B$19)+(S12*'Overview'!$B$20)+(T12*'Overview'!$B$21)+(U12*'Overview'!$B$22)+(V12*'Overview'!$B$23)+(W12*'Overview'!$B$24)+(X12*'Overview'!$B$25)-(Y12*'Overview'!$B$26)-(Z12*'Overview'!$B$27)-(AA12*'Overview'!$B$28))/5*100,0)))</x:f>
        <x:v>65</x:v>
      </x:c>
      <x:c r="AL12" s="53" t="str">
        <x:v>Open packaging specification for transfer and fixity.</x:v>
      </x:c>
    </x:row>
    <x:row r="13">
      <x:c r="A13" s="26" t="str">
        <x:v>PSP-010</x:v>
      </x:c>
      <x:c r="B13" s="26" t="str">
        <x:v>ARCH</x:v>
      </x:c>
      <x:c r="C13" s="26" t="str">
        <x:v>PRONOM Technical Registry</x:v>
      </x:c>
      <x:c r="D13" s="26" t="str">
        <x:v>The National Archives UK</x:v>
      </x:c>
      <x:c r="E13" s="26" t="str">
        <x:v>Практический источник для групп ARCH</x:v>
      </x:c>
      <x:c r="F13" s="26" t="str">
        <x:v>https://www.nationalarchives.gov.uk/PRONOM/Default.aspx</x:v>
      </x:c>
      <x:c r="G13" s="26" t="str">
        <x:v>https://www.nationalarchives.gov.uk/PRONOM/Default.aspx</x:v>
      </x:c>
      <x:c r="H13" s="26" t="str">
        <x:v>https://www.nationalarchives.gov.uk/legal/copyright/</x:v>
      </x:c>
      <x:c r="I13" s="26" t="str">
        <x:v>UK Open Government Licence/item terms review</x:v>
      </x:c>
      <x:c r="J13" s="26" t="str">
        <x:v>en</x:v>
      </x:c>
      <x:c r="K13" s="26" t="str">
        <x:v>International/reference</x:v>
      </x:c>
      <x:c r="L13" s="26" t="str">
        <x:v>XML/CSV/HTML</x:v>
      </x:c>
      <x:c r="M13" s="26" t="str">
        <x:v>download published registry data and local identification tool</x:v>
      </x:c>
      <x:c r="N13" s="26" t="str">
        <x:v>L2</x:v>
      </x:c>
      <x:c r="O13" s="26" t="str">
        <x:v>S0_OBSERVE_READ</x:v>
      </x:c>
      <x:c r="P13" s="26" t="str">
        <x:v>ANNUAL_OR_EDITION</x:v>
      </x:c>
      <x:c r="Q13" s="26" t="n">
        <x:v>4</x:v>
      </x:c>
      <x:c r="R13" s="26" t="n">
        <x:v>4</x:v>
      </x:c>
      <x:c r="S13" s="26" t="n">
        <x:v>3</x:v>
      </x:c>
      <x:c r="T13" s="26" t="n">
        <x:v>4</x:v>
      </x:c>
      <x:c r="U13" s="26" t="n">
        <x:v>4</x:v>
      </x:c>
      <x:c r="V13" s="26" t="n">
        <x:v>3</x:v>
      </x:c>
      <x:c r="W13" s="26" t="n">
        <x:v>2</x:v>
      </x:c>
      <x:c r="X13" s="26" t="n">
        <x:v>4</x:v>
      </x:c>
      <x:c r="Y13" s="26" t="n">
        <x:v>1</x:v>
      </x:c>
      <x:c r="Z13" s="26" t="n">
        <x:v>2</x:v>
      </x:c>
      <x:c r="AA13" s="26" t="n">
        <x:v>1</x:v>
      </x:c>
      <x:c r="AB13" s="26" t="str">
        <x:v>CANDIDATE</x:v>
      </x:c>
      <x:c r="AC13" s="26" t="str">
        <x:v>NOT_DOWNLOADED</x:v>
      </x:c>
      <x:c r="AD13" s="26" t="str">
        <x:v>REQUIRES_ITEM_REVIEW</x:v>
      </x:c>
      <x:c r="AE13" s="26" t="str">
        <x:v>NOT_REVIEWED</x:v>
      </x:c>
      <x:c r="AF13" s="26" t="str">
        <x:v>NOT_TESTED</x:v>
      </x:c>
      <x:c r="AG13" s="26" t="str"/>
      <x:c r="AH13" s="26" t="str"/>
      <x:c r="AI13" s="26" t="str"/>
      <x:c r="AJ13" s="26" t="str"/>
      <x:c r="AK13" s="57" t="n">
        <x:f>MAX(0,MIN(100,ROUND(((Q13*'Overview'!$B$18)+(R13*'Overview'!$B$19)+(S13*'Overview'!$B$20)+(T13*'Overview'!$B$21)+(U13*'Overview'!$B$22)+(V13*'Overview'!$B$23)+(W13*'Overview'!$B$24)+(X13*'Overview'!$B$25)-(Y13*'Overview'!$B$26)-(Z13*'Overview'!$B$27)-(AA13*'Overview'!$B$28))/5*100,0)))</x:f>
        <x:v>65</x:v>
      </x:c>
      <x:c r="AL13" s="26" t="str">
        <x:v>Format identification and preservation planning.</x:v>
      </x:c>
    </x:row>
    <x:row r="14">
      <x:c r="A14" s="53" t="str">
        <x:v>PSP-011</x:v>
      </x:c>
      <x:c r="B14" s="53" t="str">
        <x:v>MATH</x:v>
      </x:c>
      <x:c r="C14" s="53" t="str">
        <x:v>OpenStax Prealgebra 2e</x:v>
      </x:c>
      <x:c r="D14" s="53" t="str">
        <x:v>OpenStax/Rice University</x:v>
      </x:c>
      <x:c r="E14" s="53" t="str">
        <x:v>Практический источник для групп MATH</x:v>
      </x:c>
      <x:c r="F14" s="53" t="str">
        <x:v>https://openstax.org/details/books/prealgebra-2e</x:v>
      </x:c>
      <x:c r="G14" s="53" t="str">
        <x:v>https://openstax.org/details/books/prealgebra-2e</x:v>
      </x:c>
      <x:c r="H14" s="53" t="str">
        <x:v>https://help.openstax.org/s/article/Licensing-information-of-OpenStax-textbooks</x:v>
      </x:c>
      <x:c r="I14" s="53" t="str">
        <x:v>CC BY-NC-SA 4.0 per current general policy; verify book notice</x:v>
      </x:c>
      <x:c r="J14" s="53" t="str">
        <x:v>en</x:v>
      </x:c>
      <x:c r="K14" s="53" t="str">
        <x:v>International/reference</x:v>
      </x:c>
      <x:c r="L14" s="53" t="str">
        <x:v>PDF/HTML</x:v>
      </x:c>
      <x:c r="M14" s="53" t="str">
        <x:v>official PDF download</x:v>
      </x:c>
      <x:c r="N14" s="53" t="str">
        <x:v>L1</x:v>
      </x:c>
      <x:c r="O14" s="53" t="str">
        <x:v>S0_OBSERVE_READ</x:v>
      </x:c>
      <x:c r="P14" s="53" t="str">
        <x:v>ANNUAL_OR_EDITION</x:v>
      </x:c>
      <x:c r="Q14" s="53" t="n">
        <x:v>4</x:v>
      </x:c>
      <x:c r="R14" s="53" t="n">
        <x:v>4</x:v>
      </x:c>
      <x:c r="S14" s="53" t="n">
        <x:v>4</x:v>
      </x:c>
      <x:c r="T14" s="53" t="n">
        <x:v>5</x:v>
      </x:c>
      <x:c r="U14" s="53" t="n">
        <x:v>5</x:v>
      </x:c>
      <x:c r="V14" s="53" t="n">
        <x:v>4</x:v>
      </x:c>
      <x:c r="W14" s="53" t="n">
        <x:v>2</x:v>
      </x:c>
      <x:c r="X14" s="53" t="n">
        <x:v>4</x:v>
      </x:c>
      <x:c r="Y14" s="53" t="n">
        <x:v>0</x:v>
      </x:c>
      <x:c r="Z14" s="53" t="n">
        <x:v>1</x:v>
      </x:c>
      <x:c r="AA14" s="53" t="n">
        <x:v>1</x:v>
      </x:c>
      <x:c r="AB14" s="53" t="str">
        <x:v>CANDIDATE</x:v>
      </x:c>
      <x:c r="AC14" s="53" t="str">
        <x:v>NOT_DOWNLOADED</x:v>
      </x:c>
      <x:c r="AD14" s="53" t="str">
        <x:v>REQUIRES_ITEM_REVIEW</x:v>
      </x:c>
      <x:c r="AE14" s="53" t="str">
        <x:v>NOT_REVIEWED</x:v>
      </x:c>
      <x:c r="AF14" s="53" t="str">
        <x:v>NOT_TESTED</x:v>
      </x:c>
      <x:c r="AG14" s="53" t="str"/>
      <x:c r="AH14" s="53" t="str"/>
      <x:c r="AI14" s="53" t="str"/>
      <x:c r="AJ14" s="53" t="str"/>
      <x:c r="AK14" s="57" t="n">
        <x:f>MAX(0,MIN(100,ROUND(((Q14*'Overview'!$B$18)+(R14*'Overview'!$B$19)+(S14*'Overview'!$B$20)+(T14*'Overview'!$B$21)+(U14*'Overview'!$B$22)+(V14*'Overview'!$B$23)+(W14*'Overview'!$B$24)+(X14*'Overview'!$B$25)-(Y14*'Overview'!$B$26)-(Z14*'Overview'!$B$27)-(AA14*'Overview'!$B$28))/5*100,0)))</x:f>
        <x:v>80</x:v>
      </x:c>
      <x:c r="AL14" s="53" t="str">
        <x:v>Arithmetic foundations; preserve exact title/edition and attribution.</x:v>
      </x:c>
    </x:row>
    <x:row r="15">
      <x:c r="A15" s="26" t="str">
        <x:v>PSP-012</x:v>
      </x:c>
      <x:c r="B15" s="26" t="str">
        <x:v>MATH</x:v>
      </x:c>
      <x:c r="C15" s="26" t="str">
        <x:v>OpenStax Algebra and Trigonometry 2e</x:v>
      </x:c>
      <x:c r="D15" s="26" t="str">
        <x:v>OpenStax/Rice University</x:v>
      </x:c>
      <x:c r="E15" s="26" t="str">
        <x:v>Практический источник для групп MATH</x:v>
      </x:c>
      <x:c r="F15" s="26" t="str">
        <x:v>https://openstax.org/details/books/algebra-and-trigonometry-2e</x:v>
      </x:c>
      <x:c r="G15" s="26" t="str">
        <x:v>https://openstax.org/details/books/algebra-and-trigonometry-2e</x:v>
      </x:c>
      <x:c r="H15" s="26" t="str">
        <x:v>https://help.openstax.org/s/article/Licensing-information-of-OpenStax-textbooks</x:v>
      </x:c>
      <x:c r="I15" s="26" t="str">
        <x:v>CC BY-NC-SA 4.0 policy; verify book notice</x:v>
      </x:c>
      <x:c r="J15" s="26" t="str">
        <x:v>en</x:v>
      </x:c>
      <x:c r="K15" s="26" t="str">
        <x:v>International/reference</x:v>
      </x:c>
      <x:c r="L15" s="26" t="str">
        <x:v>PDF/HTML</x:v>
      </x:c>
      <x:c r="M15" s="26" t="str">
        <x:v>official PDF download</x:v>
      </x:c>
      <x:c r="N15" s="26" t="str">
        <x:v>L1</x:v>
      </x:c>
      <x:c r="O15" s="26" t="str">
        <x:v>S0_OBSERVE_READ</x:v>
      </x:c>
      <x:c r="P15" s="26" t="str">
        <x:v>ANNUAL_OR_EDITION</x:v>
      </x:c>
      <x:c r="Q15" s="26" t="n">
        <x:v>4</x:v>
      </x:c>
      <x:c r="R15" s="26" t="n">
        <x:v>4</x:v>
      </x:c>
      <x:c r="S15" s="26" t="n">
        <x:v>3</x:v>
      </x:c>
      <x:c r="T15" s="26" t="n">
        <x:v>4</x:v>
      </x:c>
      <x:c r="U15" s="26" t="n">
        <x:v>4</x:v>
      </x:c>
      <x:c r="V15" s="26" t="n">
        <x:v>3</x:v>
      </x:c>
      <x:c r="W15" s="26" t="n">
        <x:v>2</x:v>
      </x:c>
      <x:c r="X15" s="26" t="n">
        <x:v>4</x:v>
      </x:c>
      <x:c r="Y15" s="26" t="n">
        <x:v>1</x:v>
      </x:c>
      <x:c r="Z15" s="26" t="n">
        <x:v>2</x:v>
      </x:c>
      <x:c r="AA15" s="26" t="n">
        <x:v>1</x:v>
      </x:c>
      <x:c r="AB15" s="26" t="str">
        <x:v>CANDIDATE</x:v>
      </x:c>
      <x:c r="AC15" s="26" t="str">
        <x:v>NOT_DOWNLOADED</x:v>
      </x:c>
      <x:c r="AD15" s="26" t="str">
        <x:v>REQUIRES_ITEM_REVIEW</x:v>
      </x:c>
      <x:c r="AE15" s="26" t="str">
        <x:v>NOT_REVIEWED</x:v>
      </x:c>
      <x:c r="AF15" s="26" t="str">
        <x:v>NOT_TESTED</x:v>
      </x:c>
      <x:c r="AG15" s="26" t="str"/>
      <x:c r="AH15" s="26" t="str"/>
      <x:c r="AI15" s="26" t="str"/>
      <x:c r="AJ15" s="26" t="str"/>
      <x:c r="AK15" s="57" t="n">
        <x:f>MAX(0,MIN(100,ROUND(((Q15*'Overview'!$B$18)+(R15*'Overview'!$B$19)+(S15*'Overview'!$B$20)+(T15*'Overview'!$B$21)+(U15*'Overview'!$B$22)+(V15*'Overview'!$B$23)+(W15*'Overview'!$B$24)+(X15*'Overview'!$B$25)-(Y15*'Overview'!$B$26)-(Z15*'Overview'!$B$27)-(AA15*'Overview'!$B$28))/5*100,0)))</x:f>
        <x:v>65</x:v>
      </x:c>
      <x:c r="AL15" s="26" t="str">
        <x:v>Algebra, functions and trigonometry.</x:v>
      </x:c>
    </x:row>
    <x:row r="16">
      <x:c r="A16" s="53" t="str">
        <x:v>PSP-013</x:v>
      </x:c>
      <x:c r="B16" s="53" t="str">
        <x:v>MATH|PHYS</x:v>
      </x:c>
      <x:c r="C16" s="53" t="str">
        <x:v>OpenStax Calculus Volume 1</x:v>
      </x:c>
      <x:c r="D16" s="53" t="str">
        <x:v>OpenStax/Rice University</x:v>
      </x:c>
      <x:c r="E16" s="53" t="str">
        <x:v>Практический источник для групп MATH|PHYS</x:v>
      </x:c>
      <x:c r="F16" s="53" t="str">
        <x:v>https://openstax.org/details/books/calculus-volume-1</x:v>
      </x:c>
      <x:c r="G16" s="53" t="str">
        <x:v>https://openstax.org/details/books/calculus-volume-1</x:v>
      </x:c>
      <x:c r="H16" s="53" t="str">
        <x:v>https://help.openstax.org/s/article/Licensing-information-of-OpenStax-textbooks</x:v>
      </x:c>
      <x:c r="I16" s="53" t="str">
        <x:v>CC BY-NC-SA 4.0 policy; verify book notice</x:v>
      </x:c>
      <x:c r="J16" s="53" t="str">
        <x:v>en</x:v>
      </x:c>
      <x:c r="K16" s="53" t="str">
        <x:v>International/reference</x:v>
      </x:c>
      <x:c r="L16" s="53" t="str">
        <x:v>PDF/HTML</x:v>
      </x:c>
      <x:c r="M16" s="53" t="str">
        <x:v>official PDF download</x:v>
      </x:c>
      <x:c r="N16" s="53" t="str">
        <x:v>L2</x:v>
      </x:c>
      <x:c r="O16" s="53" t="str">
        <x:v>S0_OBSERVE_READ</x:v>
      </x:c>
      <x:c r="P16" s="53" t="str">
        <x:v>ANNUAL_OR_EDITION</x:v>
      </x:c>
      <x:c r="Q16" s="53" t="n">
        <x:v>4</x:v>
      </x:c>
      <x:c r="R16" s="53" t="n">
        <x:v>4</x:v>
      </x:c>
      <x:c r="S16" s="53" t="n">
        <x:v>3</x:v>
      </x:c>
      <x:c r="T16" s="53" t="n">
        <x:v>4</x:v>
      </x:c>
      <x:c r="U16" s="53" t="n">
        <x:v>4</x:v>
      </x:c>
      <x:c r="V16" s="53" t="n">
        <x:v>3</x:v>
      </x:c>
      <x:c r="W16" s="53" t="n">
        <x:v>2</x:v>
      </x:c>
      <x:c r="X16" s="53" t="n">
        <x:v>4</x:v>
      </x:c>
      <x:c r="Y16" s="53" t="n">
        <x:v>1</x:v>
      </x:c>
      <x:c r="Z16" s="53" t="n">
        <x:v>2</x:v>
      </x:c>
      <x:c r="AA16" s="53" t="n">
        <x:v>1</x:v>
      </x:c>
      <x:c r="AB16" s="53" t="str">
        <x:v>CANDIDATE</x:v>
      </x:c>
      <x:c r="AC16" s="53" t="str">
        <x:v>NOT_DOWNLOADED</x:v>
      </x:c>
      <x:c r="AD16" s="53" t="str">
        <x:v>REQUIRES_ITEM_REVIEW</x:v>
      </x:c>
      <x:c r="AE16" s="53" t="str">
        <x:v>NOT_REVIEWED</x:v>
      </x:c>
      <x:c r="AF16" s="53" t="str">
        <x:v>NOT_TESTED</x:v>
      </x:c>
      <x:c r="AG16" s="53" t="str"/>
      <x:c r="AH16" s="53" t="str"/>
      <x:c r="AI16" s="53" t="str"/>
      <x:c r="AJ16" s="53" t="str"/>
      <x:c r="AK16" s="57" t="n">
        <x:f>MAX(0,MIN(100,ROUND(((Q16*'Overview'!$B$18)+(R16*'Overview'!$B$19)+(S16*'Overview'!$B$20)+(T16*'Overview'!$B$21)+(U16*'Overview'!$B$22)+(V16*'Overview'!$B$23)+(W16*'Overview'!$B$24)+(X16*'Overview'!$B$25)-(Y16*'Overview'!$B$26)-(Z16*'Overview'!$B$27)-(AA16*'Overview'!$B$28))/5*100,0)))</x:f>
        <x:v>65</x:v>
      </x:c>
      <x:c r="AL16" s="53" t="str">
        <x:v>Calculus foundation.</x:v>
      </x:c>
    </x:row>
    <x:row r="17">
      <x:c r="A17" s="26" t="str">
        <x:v>PSP-014</x:v>
      </x:c>
      <x:c r="B17" s="26" t="str">
        <x:v>MATH|METH</x:v>
      </x:c>
      <x:c r="C17" s="26" t="str">
        <x:v>OpenStax Introductory Statistics 2e</x:v>
      </x:c>
      <x:c r="D17" s="26" t="str">
        <x:v>OpenStax/Rice University</x:v>
      </x:c>
      <x:c r="E17" s="26" t="str">
        <x:v>Практический источник для групп MATH|METH</x:v>
      </x:c>
      <x:c r="F17" s="26" t="str">
        <x:v>https://openstax.org/details/books/introductory-statistics-2e</x:v>
      </x:c>
      <x:c r="G17" s="26" t="str">
        <x:v>https://openstax.org/details/books/introductory-statistics-2e</x:v>
      </x:c>
      <x:c r="H17" s="26" t="str">
        <x:v>https://help.openstax.org/s/article/Licensing-information-of-OpenStax-textbooks</x:v>
      </x:c>
      <x:c r="I17" s="26" t="str">
        <x:v>CC BY-NC-SA 4.0 policy; verify book notice</x:v>
      </x:c>
      <x:c r="J17" s="26" t="str">
        <x:v>en</x:v>
      </x:c>
      <x:c r="K17" s="26" t="str">
        <x:v>International/reference</x:v>
      </x:c>
      <x:c r="L17" s="26" t="str">
        <x:v>PDF/HTML</x:v>
      </x:c>
      <x:c r="M17" s="26" t="str">
        <x:v>official PDF download</x:v>
      </x:c>
      <x:c r="N17" s="26" t="str">
        <x:v>L1</x:v>
      </x:c>
      <x:c r="O17" s="26" t="str">
        <x:v>S0_OBSERVE_READ</x:v>
      </x:c>
      <x:c r="P17" s="26" t="str">
        <x:v>ANNUAL_OR_EDITION</x:v>
      </x:c>
      <x:c r="Q17" s="26" t="n">
        <x:v>4</x:v>
      </x:c>
      <x:c r="R17" s="26" t="n">
        <x:v>4</x:v>
      </x:c>
      <x:c r="S17" s="26" t="n">
        <x:v>3</x:v>
      </x:c>
      <x:c r="T17" s="26" t="n">
        <x:v>4</x:v>
      </x:c>
      <x:c r="U17" s="26" t="n">
        <x:v>4</x:v>
      </x:c>
      <x:c r="V17" s="26" t="n">
        <x:v>3</x:v>
      </x:c>
      <x:c r="W17" s="26" t="n">
        <x:v>2</x:v>
      </x:c>
      <x:c r="X17" s="26" t="n">
        <x:v>4</x:v>
      </x:c>
      <x:c r="Y17" s="26" t="n">
        <x:v>1</x:v>
      </x:c>
      <x:c r="Z17" s="26" t="n">
        <x:v>2</x:v>
      </x:c>
      <x:c r="AA17" s="26" t="n">
        <x:v>1</x:v>
      </x:c>
      <x:c r="AB17" s="26" t="str">
        <x:v>CANDIDATE</x:v>
      </x:c>
      <x:c r="AC17" s="26" t="str">
        <x:v>NOT_DOWNLOADED</x:v>
      </x:c>
      <x:c r="AD17" s="26" t="str">
        <x:v>REQUIRES_ITEM_REVIEW</x:v>
      </x:c>
      <x:c r="AE17" s="26" t="str">
        <x:v>NOT_REVIEWED</x:v>
      </x:c>
      <x:c r="AF17" s="26" t="str">
        <x:v>NOT_TESTED</x:v>
      </x:c>
      <x:c r="AG17" s="26" t="str"/>
      <x:c r="AH17" s="26" t="str"/>
      <x:c r="AI17" s="26" t="str"/>
      <x:c r="AJ17" s="26" t="str"/>
      <x:c r="AK17" s="57" t="n">
        <x:f>MAX(0,MIN(100,ROUND(((Q17*'Overview'!$B$18)+(R17*'Overview'!$B$19)+(S17*'Overview'!$B$20)+(T17*'Overview'!$B$21)+(U17*'Overview'!$B$22)+(V17*'Overview'!$B$23)+(W17*'Overview'!$B$24)+(X17*'Overview'!$B$25)-(Y17*'Overview'!$B$26)-(Z17*'Overview'!$B$27)-(AA17*'Overview'!$B$28))/5*100,0)))</x:f>
        <x:v>65</x:v>
      </x:c>
      <x:c r="AL17" s="26" t="str">
        <x:v>Statistics curriculum and exercises.</x:v>
      </x:c>
    </x:row>
    <x:row r="18">
      <x:c r="A18" s="53" t="str">
        <x:v>PSP-015</x:v>
      </x:c>
      <x:c r="B18" s="53" t="str">
        <x:v>PHYS</x:v>
      </x:c>
      <x:c r="C18" s="53" t="str">
        <x:v>OpenStax College Physics 2e</x:v>
      </x:c>
      <x:c r="D18" s="53" t="str">
        <x:v>OpenStax/Rice University</x:v>
      </x:c>
      <x:c r="E18" s="53" t="str">
        <x:v>Практический источник для групп PHYS</x:v>
      </x:c>
      <x:c r="F18" s="53" t="str">
        <x:v>https://openstax.org/details/books/college-physics-2e</x:v>
      </x:c>
      <x:c r="G18" s="53" t="str">
        <x:v>https://openstax.org/details/books/college-physics-2e</x:v>
      </x:c>
      <x:c r="H18" s="53" t="str">
        <x:v>https://help.openstax.org/s/article/Licensing-information-of-OpenStax-textbooks</x:v>
      </x:c>
      <x:c r="I18" s="53" t="str">
        <x:v>CC BY-NC-SA 4.0 policy; verify book notice</x:v>
      </x:c>
      <x:c r="J18" s="53" t="str">
        <x:v>en</x:v>
      </x:c>
      <x:c r="K18" s="53" t="str">
        <x:v>International/reference</x:v>
      </x:c>
      <x:c r="L18" s="53" t="str">
        <x:v>PDF/HTML</x:v>
      </x:c>
      <x:c r="M18" s="53" t="str">
        <x:v>official PDF download</x:v>
      </x:c>
      <x:c r="N18" s="53" t="str">
        <x:v>L1</x:v>
      </x:c>
      <x:c r="O18" s="53" t="str">
        <x:v>S1_LOW_RISK_HOUSEHOLD</x:v>
      </x:c>
      <x:c r="P18" s="53" t="str">
        <x:v>ANNUAL_OR_EDITION</x:v>
      </x:c>
      <x:c r="Q18" s="53" t="n">
        <x:v>4</x:v>
      </x:c>
      <x:c r="R18" s="53" t="n">
        <x:v>4</x:v>
      </x:c>
      <x:c r="S18" s="53" t="n">
        <x:v>3</x:v>
      </x:c>
      <x:c r="T18" s="53" t="n">
        <x:v>4</x:v>
      </x:c>
      <x:c r="U18" s="53" t="n">
        <x:v>4</x:v>
      </x:c>
      <x:c r="V18" s="53" t="n">
        <x:v>3</x:v>
      </x:c>
      <x:c r="W18" s="53" t="n">
        <x:v>2</x:v>
      </x:c>
      <x:c r="X18" s="53" t="n">
        <x:v>4</x:v>
      </x:c>
      <x:c r="Y18" s="53" t="n">
        <x:v>1</x:v>
      </x:c>
      <x:c r="Z18" s="53" t="n">
        <x:v>2</x:v>
      </x:c>
      <x:c r="AA18" s="53" t="n">
        <x:v>1</x:v>
      </x:c>
      <x:c r="AB18" s="53" t="str">
        <x:v>CANDIDATE</x:v>
      </x:c>
      <x:c r="AC18" s="53" t="str">
        <x:v>NOT_DOWNLOADED</x:v>
      </x:c>
      <x:c r="AD18" s="53" t="str">
        <x:v>REQUIRES_ITEM_REVIEW</x:v>
      </x:c>
      <x:c r="AE18" s="53" t="str">
        <x:v>NOT_REVIEWED</x:v>
      </x:c>
      <x:c r="AF18" s="53" t="str">
        <x:v>NOT_TESTED</x:v>
      </x:c>
      <x:c r="AG18" s="53" t="str"/>
      <x:c r="AH18" s="53" t="str"/>
      <x:c r="AI18" s="53" t="str"/>
      <x:c r="AJ18" s="53" t="str"/>
      <x:c r="AK18" s="57" t="n">
        <x:f>MAX(0,MIN(100,ROUND(((Q18*'Overview'!$B$18)+(R18*'Overview'!$B$19)+(S18*'Overview'!$B$20)+(T18*'Overview'!$B$21)+(U18*'Overview'!$B$22)+(V18*'Overview'!$B$23)+(W18*'Overview'!$B$24)+(X18*'Overview'!$B$25)-(Y18*'Overview'!$B$26)-(Z18*'Overview'!$B$27)-(AA18*'Overview'!$B$28))/5*100,0)))</x:f>
        <x:v>65</x:v>
      </x:c>
      <x:c r="AL18" s="53" t="str">
        <x:v>Broad algebra-based physics; experiments still need local safety review.</x:v>
      </x:c>
    </x:row>
    <x:row r="19">
      <x:c r="A19" s="26" t="str">
        <x:v>PSP-016</x:v>
      </x:c>
      <x:c r="B19" s="26" t="str">
        <x:v>CHEM</x:v>
      </x:c>
      <x:c r="C19" s="26" t="str">
        <x:v>OpenStax Chemistry 2e</x:v>
      </x:c>
      <x:c r="D19" s="26" t="str">
        <x:v>OpenStax/Rice University</x:v>
      </x:c>
      <x:c r="E19" s="26" t="str">
        <x:v>Практический источник для групп CHEM</x:v>
      </x:c>
      <x:c r="F19" s="26" t="str">
        <x:v>https://openstax.org/details/books/chemistry-2e</x:v>
      </x:c>
      <x:c r="G19" s="26" t="str">
        <x:v>https://openstax.org/details/books/chemistry-2e</x:v>
      </x:c>
      <x:c r="H19" s="26" t="str">
        <x:v>https://help.openstax.org/s/article/Licensing-information-of-OpenStax-textbooks</x:v>
      </x:c>
      <x:c r="I19" s="26" t="str">
        <x:v>CC BY-NC-SA 4.0 policy; verify book notice</x:v>
      </x:c>
      <x:c r="J19" s="26" t="str">
        <x:v>en</x:v>
      </x:c>
      <x:c r="K19" s="26" t="str">
        <x:v>International/reference</x:v>
      </x:c>
      <x:c r="L19" s="26" t="str">
        <x:v>PDF/HTML</x:v>
      </x:c>
      <x:c r="M19" s="26" t="str">
        <x:v>official PDF download</x:v>
      </x:c>
      <x:c r="N19" s="26" t="str">
        <x:v>L2</x:v>
      </x:c>
      <x:c r="O19" s="26" t="str">
        <x:v>S4_REFERENCE_ONLY_PROHIBITED_HOUSEHOLD</x:v>
      </x:c>
      <x:c r="P19" s="26" t="str">
        <x:v>ANNUAL_OR_EDITION</x:v>
      </x:c>
      <x:c r="Q19" s="26" t="n">
        <x:v>4</x:v>
      </x:c>
      <x:c r="R19" s="26" t="n">
        <x:v>4</x:v>
      </x:c>
      <x:c r="S19" s="26" t="n">
        <x:v>3</x:v>
      </x:c>
      <x:c r="T19" s="26" t="n">
        <x:v>4</x:v>
      </x:c>
      <x:c r="U19" s="26" t="n">
        <x:v>4</x:v>
      </x:c>
      <x:c r="V19" s="26" t="n">
        <x:v>3</x:v>
      </x:c>
      <x:c r="W19" s="26" t="n">
        <x:v>2</x:v>
      </x:c>
      <x:c r="X19" s="26" t="n">
        <x:v>4</x:v>
      </x:c>
      <x:c r="Y19" s="26" t="n">
        <x:v>5</x:v>
      </x:c>
      <x:c r="Z19" s="26" t="n">
        <x:v>2</x:v>
      </x:c>
      <x:c r="AA19" s="26" t="n">
        <x:v>1</x:v>
      </x:c>
      <x:c r="AB19" s="26" t="str">
        <x:v>CANDIDATE</x:v>
      </x:c>
      <x:c r="AC19" s="26" t="str">
        <x:v>NOT_DOWNLOADED</x:v>
      </x:c>
      <x:c r="AD19" s="26" t="str">
        <x:v>REQUIRES_ITEM_REVIEW</x:v>
      </x:c>
      <x:c r="AE19" s="26" t="str">
        <x:v>NOT_REVIEWED</x:v>
      </x:c>
      <x:c r="AF19" s="26" t="str">
        <x:v>NOT_TESTED</x:v>
      </x:c>
      <x:c r="AG19" s="26" t="str"/>
      <x:c r="AH19" s="26" t="str"/>
      <x:c r="AI19" s="26" t="str"/>
      <x:c r="AJ19" s="26" t="str"/>
      <x:c r="AK19" s="57" t="n">
        <x:f>MAX(0,MIN(100,ROUND(((Q19*'Overview'!$B$18)+(R19*'Overview'!$B$19)+(S19*'Overview'!$B$20)+(T19*'Overview'!$B$21)+(U19*'Overview'!$B$22)+(V19*'Overview'!$B$23)+(W19*'Overview'!$B$24)+(X19*'Overview'!$B$25)-(Y19*'Overview'!$B$26)-(Z19*'Overview'!$B$27)-(AA19*'Overview'!$B$28))/5*100,0)))</x:f>
        <x:v>53</x:v>
      </x:c>
      <x:c r="AL19" s="26" t="str">
        <x:v>Theory and exercises; laboratory procedures are separately gated. [CANONICAL_URL_SAFETY_FLOOR=S4_REFERENCE_ONLY_PROHIBITED_HOUSEHOLD]</x:v>
      </x:c>
    </x:row>
    <x:row r="20">
      <x:c r="A20" s="53" t="str">
        <x:v>PSP-017</x:v>
      </x:c>
      <x:c r="B20" s="53" t="str">
        <x:v>LIFE</x:v>
      </x:c>
      <x:c r="C20" s="53" t="str">
        <x:v>OpenStax Biology 2e</x:v>
      </x:c>
      <x:c r="D20" s="53" t="str">
        <x:v>OpenStax/Rice University</x:v>
      </x:c>
      <x:c r="E20" s="53" t="str">
        <x:v>Практический источник для групп LIFE</x:v>
      </x:c>
      <x:c r="F20" s="53" t="str">
        <x:v>https://openstax.org/details/books/biology-2e</x:v>
      </x:c>
      <x:c r="G20" s="53" t="str">
        <x:v>https://openstax.org/details/books/biology-2e</x:v>
      </x:c>
      <x:c r="H20" s="53" t="str">
        <x:v>https://help.openstax.org/s/article/Licensing-information-of-OpenStax-textbooks</x:v>
      </x:c>
      <x:c r="I20" s="53" t="str">
        <x:v>CC BY-NC-SA 4.0 policy; verify book notice</x:v>
      </x:c>
      <x:c r="J20" s="53" t="str">
        <x:v>en</x:v>
      </x:c>
      <x:c r="K20" s="53" t="str">
        <x:v>International/reference</x:v>
      </x:c>
      <x:c r="L20" s="53" t="str">
        <x:v>PDF/HTML</x:v>
      </x:c>
      <x:c r="M20" s="53" t="str">
        <x:v>official PDF download</x:v>
      </x:c>
      <x:c r="N20" s="53" t="str">
        <x:v>L1</x:v>
      </x:c>
      <x:c r="O20" s="53" t="str">
        <x:v>S1_LOW_RISK_HOUSEHOLD</x:v>
      </x:c>
      <x:c r="P20" s="53" t="str">
        <x:v>ANNUAL_OR_EDITION</x:v>
      </x:c>
      <x:c r="Q20" s="53" t="n">
        <x:v>4</x:v>
      </x:c>
      <x:c r="R20" s="53" t="n">
        <x:v>4</x:v>
      </x:c>
      <x:c r="S20" s="53" t="n">
        <x:v>3</x:v>
      </x:c>
      <x:c r="T20" s="53" t="n">
        <x:v>4</x:v>
      </x:c>
      <x:c r="U20" s="53" t="n">
        <x:v>4</x:v>
      </x:c>
      <x:c r="V20" s="53" t="n">
        <x:v>3</x:v>
      </x:c>
      <x:c r="W20" s="53" t="n">
        <x:v>2</x:v>
      </x:c>
      <x:c r="X20" s="53" t="n">
        <x:v>4</x:v>
      </x:c>
      <x:c r="Y20" s="53" t="n">
        <x:v>1</x:v>
      </x:c>
      <x:c r="Z20" s="53" t="n">
        <x:v>2</x:v>
      </x:c>
      <x:c r="AA20" s="53" t="n">
        <x:v>1</x:v>
      </x:c>
      <x:c r="AB20" s="53" t="str">
        <x:v>CANDIDATE</x:v>
      </x:c>
      <x:c r="AC20" s="53" t="str">
        <x:v>NOT_DOWNLOADED</x:v>
      </x:c>
      <x:c r="AD20" s="53" t="str">
        <x:v>REQUIRES_ITEM_REVIEW</x:v>
      </x:c>
      <x:c r="AE20" s="53" t="str">
        <x:v>NOT_REVIEWED</x:v>
      </x:c>
      <x:c r="AF20" s="53" t="str">
        <x:v>NOT_TESTED</x:v>
      </x:c>
      <x:c r="AG20" s="53" t="str"/>
      <x:c r="AH20" s="53" t="str"/>
      <x:c r="AI20" s="53" t="str"/>
      <x:c r="AJ20" s="53" t="str"/>
      <x:c r="AK20" s="57" t="n">
        <x:f>MAX(0,MIN(100,ROUND(((Q20*'Overview'!$B$18)+(R20*'Overview'!$B$19)+(S20*'Overview'!$B$20)+(T20*'Overview'!$B$21)+(U20*'Overview'!$B$22)+(V20*'Overview'!$B$23)+(W20*'Overview'!$B$24)+(X20*'Overview'!$B$25)-(Y20*'Overview'!$B$26)-(Z20*'Overview'!$B$27)-(AA20*'Overview'!$B$28))/5*100,0)))</x:f>
        <x:v>65</x:v>
      </x:c>
      <x:c r="AL20" s="53" t="str">
        <x:v>General biology.</x:v>
      </x:c>
    </x:row>
    <x:row r="21">
      <x:c r="A21" s="26" t="str">
        <x:v>PSP-018</x:v>
      </x:c>
      <x:c r="B21" s="26" t="str">
        <x:v>HEALTH|LIFE</x:v>
      </x:c>
      <x:c r="C21" s="26" t="str">
        <x:v>OpenStax Anatomy and Physiology 2e</x:v>
      </x:c>
      <x:c r="D21" s="26" t="str">
        <x:v>OpenStax/Rice University</x:v>
      </x:c>
      <x:c r="E21" s="26" t="str">
        <x:v>Практический источник для групп HEALTH|LIFE</x:v>
      </x:c>
      <x:c r="F21" s="26" t="str">
        <x:v>https://openstax.org/details/books/anatomy-and-physiology-2e</x:v>
      </x:c>
      <x:c r="G21" s="26" t="str">
        <x:v>https://openstax.org/details/books/anatomy-and-physiology-2e</x:v>
      </x:c>
      <x:c r="H21" s="26" t="str">
        <x:v>https://help.openstax.org/s/article/Licensing-information-of-OpenStax-textbooks</x:v>
      </x:c>
      <x:c r="I21" s="26" t="str">
        <x:v>CC BY-NC-SA 4.0 policy; verify book notice</x:v>
      </x:c>
      <x:c r="J21" s="26" t="str">
        <x:v>en</x:v>
      </x:c>
      <x:c r="K21" s="26" t="str">
        <x:v>International/reference</x:v>
      </x:c>
      <x:c r="L21" s="26" t="str">
        <x:v>PDF/HTML</x:v>
      </x:c>
      <x:c r="M21" s="26" t="str">
        <x:v>official PDF download</x:v>
      </x:c>
      <x:c r="N21" s="26" t="str">
        <x:v>L1</x:v>
      </x:c>
      <x:c r="O21" s="26" t="str">
        <x:v>S0_OBSERVE_READ</x:v>
      </x:c>
      <x:c r="P21" s="26" t="str">
        <x:v>ANNUAL_OR_EDITION</x:v>
      </x:c>
      <x:c r="Q21" s="26" t="n">
        <x:v>4</x:v>
      </x:c>
      <x:c r="R21" s="26" t="n">
        <x:v>4</x:v>
      </x:c>
      <x:c r="S21" s="26" t="n">
        <x:v>3</x:v>
      </x:c>
      <x:c r="T21" s="26" t="n">
        <x:v>4</x:v>
      </x:c>
      <x:c r="U21" s="26" t="n">
        <x:v>4</x:v>
      </x:c>
      <x:c r="V21" s="26" t="n">
        <x:v>3</x:v>
      </x:c>
      <x:c r="W21" s="26" t="n">
        <x:v>2</x:v>
      </x:c>
      <x:c r="X21" s="26" t="n">
        <x:v>4</x:v>
      </x:c>
      <x:c r="Y21" s="26" t="n">
        <x:v>1</x:v>
      </x:c>
      <x:c r="Z21" s="26" t="n">
        <x:v>2</x:v>
      </x:c>
      <x:c r="AA21" s="26" t="n">
        <x:v>1</x:v>
      </x:c>
      <x:c r="AB21" s="26" t="str">
        <x:v>CANDIDATE</x:v>
      </x:c>
      <x:c r="AC21" s="26" t="str">
        <x:v>NOT_DOWNLOADED</x:v>
      </x:c>
      <x:c r="AD21" s="26" t="str">
        <x:v>REQUIRES_ITEM_REVIEW</x:v>
      </x:c>
      <x:c r="AE21" s="26" t="str">
        <x:v>NOT_REVIEWED</x:v>
      </x:c>
      <x:c r="AF21" s="26" t="str">
        <x:v>NOT_TESTED</x:v>
      </x:c>
      <x:c r="AG21" s="26" t="str"/>
      <x:c r="AH21" s="26" t="str"/>
      <x:c r="AI21" s="26" t="str"/>
      <x:c r="AJ21" s="26" t="str"/>
      <x:c r="AK21" s="57" t="n">
        <x:f>MAX(0,MIN(100,ROUND(((Q21*'Overview'!$B$18)+(R21*'Overview'!$B$19)+(S21*'Overview'!$B$20)+(T21*'Overview'!$B$21)+(U21*'Overview'!$B$22)+(V21*'Overview'!$B$23)+(W21*'Overview'!$B$24)+(X21*'Overview'!$B$25)-(Y21*'Overview'!$B$26)-(Z21*'Overview'!$B$27)-(AA21*'Overview'!$B$28))/5*100,0)))</x:f>
        <x:v>65</x:v>
      </x:c>
      <x:c r="AL21" s="26" t="str">
        <x:v>Educational anatomy; not diagnostic or clinical authority.</x:v>
      </x:c>
    </x:row>
    <x:row r="22">
      <x:c r="A22" s="53" t="str">
        <x:v>PSP-019</x:v>
      </x:c>
      <x:c r="B22" s="53" t="str">
        <x:v>LIFE|HEALTH</x:v>
      </x:c>
      <x:c r="C22" s="53" t="str">
        <x:v>OpenStax Microbiology</x:v>
      </x:c>
      <x:c r="D22" s="53" t="str">
        <x:v>OpenStax/Rice University</x:v>
      </x:c>
      <x:c r="E22" s="53" t="str">
        <x:v>Практический источник для групп LIFE|HEALTH</x:v>
      </x:c>
      <x:c r="F22" s="53" t="str">
        <x:v>https://openstax.org/details/books/microbiology</x:v>
      </x:c>
      <x:c r="G22" s="53" t="str">
        <x:v>https://openstax.org/details/books/microbiology</x:v>
      </x:c>
      <x:c r="H22" s="53" t="str">
        <x:v>https://help.openstax.org/s/article/Licensing-information-of-OpenStax-textbooks</x:v>
      </x:c>
      <x:c r="I22" s="53" t="str">
        <x:v>CC BY-NC-SA policy; verify book notice</x:v>
      </x:c>
      <x:c r="J22" s="53" t="str">
        <x:v>en</x:v>
      </x:c>
      <x:c r="K22" s="53" t="str">
        <x:v>International/reference</x:v>
      </x:c>
      <x:c r="L22" s="53" t="str">
        <x:v>PDF/HTML</x:v>
      </x:c>
      <x:c r="M22" s="53" t="str">
        <x:v>official PDF download</x:v>
      </x:c>
      <x:c r="N22" s="53" t="str">
        <x:v>L2</x:v>
      </x:c>
      <x:c r="O22" s="53" t="str">
        <x:v>S4_REFERENCE_ONLY_PROHIBITED_HOUSEHOLD</x:v>
      </x:c>
      <x:c r="P22" s="53" t="str">
        <x:v>ANNUAL_OR_EDITION</x:v>
      </x:c>
      <x:c r="Q22" s="53" t="n">
        <x:v>4</x:v>
      </x:c>
      <x:c r="R22" s="53" t="n">
        <x:v>4</x:v>
      </x:c>
      <x:c r="S22" s="53" t="n">
        <x:v>3</x:v>
      </x:c>
      <x:c r="T22" s="53" t="n">
        <x:v>4</x:v>
      </x:c>
      <x:c r="U22" s="53" t="n">
        <x:v>4</x:v>
      </x:c>
      <x:c r="V22" s="53" t="n">
        <x:v>3</x:v>
      </x:c>
      <x:c r="W22" s="53" t="n">
        <x:v>2</x:v>
      </x:c>
      <x:c r="X22" s="53" t="n">
        <x:v>4</x:v>
      </x:c>
      <x:c r="Y22" s="53" t="n">
        <x:v>4</x:v>
      </x:c>
      <x:c r="Z22" s="53" t="n">
        <x:v>2</x:v>
      </x:c>
      <x:c r="AA22" s="53" t="n">
        <x:v>1</x:v>
      </x:c>
      <x:c r="AB22" s="53" t="str">
        <x:v>CANDIDATE</x:v>
      </x:c>
      <x:c r="AC22" s="53" t="str">
        <x:v>NOT_DOWNLOADED</x:v>
      </x:c>
      <x:c r="AD22" s="53" t="str">
        <x:v>REQUIRES_ITEM_REVIEW</x:v>
      </x:c>
      <x:c r="AE22" s="53" t="str">
        <x:v>NOT_REVIEWED</x:v>
      </x:c>
      <x:c r="AF22" s="53" t="str">
        <x:v>NOT_TESTED</x:v>
      </x:c>
      <x:c r="AG22" s="53" t="str"/>
      <x:c r="AH22" s="53" t="str"/>
      <x:c r="AI22" s="53" t="str"/>
      <x:c r="AJ22" s="53" t="str"/>
      <x:c r="AK22" s="57" t="n">
        <x:f>MAX(0,MIN(100,ROUND(((Q22*'Overview'!$B$18)+(R22*'Overview'!$B$19)+(S22*'Overview'!$B$20)+(T22*'Overview'!$B$21)+(U22*'Overview'!$B$22)+(V22*'Overview'!$B$23)+(W22*'Overview'!$B$24)+(X22*'Overview'!$B$25)-(Y22*'Overview'!$B$26)-(Z22*'Overview'!$B$27)-(AA22*'Overview'!$B$28))/5*100,0)))</x:f>
        <x:v>56</x:v>
      </x:c>
      <x:c r="AL22" s="53" t="str">
        <x:v>Reference only in household kit; no unknown-organism culturing.</x:v>
      </x:c>
    </x:row>
    <x:row r="23">
      <x:c r="A23" s="26" t="str">
        <x:v>PSP-020</x:v>
      </x:c>
      <x:c r="B23" s="26" t="str">
        <x:v>COMP</x:v>
      </x:c>
      <x:c r="C23" s="26" t="str">
        <x:v>OpenStax Introduction to Computer Science</x:v>
      </x:c>
      <x:c r="D23" s="26" t="str">
        <x:v>OpenStax/Rice University</x:v>
      </x:c>
      <x:c r="E23" s="26" t="str">
        <x:v>Практический источник для групп COMP</x:v>
      </x:c>
      <x:c r="F23" s="26" t="str">
        <x:v>https://openstax.org/details/books/introduction-computer-science</x:v>
      </x:c>
      <x:c r="G23" s="26" t="str">
        <x:v>https://openstax.org/details/books/introduction-computer-science</x:v>
      </x:c>
      <x:c r="H23" s="26" t="str">
        <x:v>https://help.openstax.org/s/article/Licensing-information-of-OpenStax-textbooks</x:v>
      </x:c>
      <x:c r="I23" s="26" t="str">
        <x:v>CC BY-NC-SA 4.0 per book preface/current policy</x:v>
      </x:c>
      <x:c r="J23" s="26" t="str">
        <x:v>en</x:v>
      </x:c>
      <x:c r="K23" s="26" t="str">
        <x:v>International/reference</x:v>
      </x:c>
      <x:c r="L23" s="26" t="str">
        <x:v>PDF/HTML</x:v>
      </x:c>
      <x:c r="M23" s="26" t="str">
        <x:v>official PDF download</x:v>
      </x:c>
      <x:c r="N23" s="26" t="str">
        <x:v>L1</x:v>
      </x:c>
      <x:c r="O23" s="26" t="str">
        <x:v>S0_OBSERVE_READ</x:v>
      </x:c>
      <x:c r="P23" s="26" t="str">
        <x:v>ANNUAL_OR_EDITION</x:v>
      </x:c>
      <x:c r="Q23" s="26" t="n">
        <x:v>4</x:v>
      </x:c>
      <x:c r="R23" s="26" t="n">
        <x:v>4</x:v>
      </x:c>
      <x:c r="S23" s="26" t="n">
        <x:v>3</x:v>
      </x:c>
      <x:c r="T23" s="26" t="n">
        <x:v>4</x:v>
      </x:c>
      <x:c r="U23" s="26" t="n">
        <x:v>4</x:v>
      </x:c>
      <x:c r="V23" s="26" t="n">
        <x:v>3</x:v>
      </x:c>
      <x:c r="W23" s="26" t="n">
        <x:v>2</x:v>
      </x:c>
      <x:c r="X23" s="26" t="n">
        <x:v>4</x:v>
      </x:c>
      <x:c r="Y23" s="26" t="n">
        <x:v>1</x:v>
      </x:c>
      <x:c r="Z23" s="26" t="n">
        <x:v>2</x:v>
      </x:c>
      <x:c r="AA23" s="26" t="n">
        <x:v>1</x:v>
      </x:c>
      <x:c r="AB23" s="26" t="str">
        <x:v>CANDIDATE</x:v>
      </x:c>
      <x:c r="AC23" s="26" t="str">
        <x:v>NOT_DOWNLOADED</x:v>
      </x:c>
      <x:c r="AD23" s="26" t="str">
        <x:v>REQUIRES_ITEM_REVIEW</x:v>
      </x:c>
      <x:c r="AE23" s="26" t="str">
        <x:v>NOT_REVIEWED</x:v>
      </x:c>
      <x:c r="AF23" s="26" t="str">
        <x:v>NOT_TESTED</x:v>
      </x:c>
      <x:c r="AG23" s="26" t="str"/>
      <x:c r="AH23" s="26" t="str"/>
      <x:c r="AI23" s="26" t="str"/>
      <x:c r="AJ23" s="26" t="str"/>
      <x:c r="AK23" s="57" t="n">
        <x:f>MAX(0,MIN(100,ROUND(((Q23*'Overview'!$B$18)+(R23*'Overview'!$B$19)+(S23*'Overview'!$B$20)+(T23*'Overview'!$B$21)+(U23*'Overview'!$B$22)+(V23*'Overview'!$B$23)+(W23*'Overview'!$B$24)+(X23*'Overview'!$B$25)-(Y23*'Overview'!$B$26)-(Z23*'Overview'!$B$27)-(AA23*'Overview'!$B$28))/5*100,0)))</x:f>
        <x:v>65</x:v>
      </x:c>
      <x:c r="AL23" s="26" t="str">
        <x:v>Computer-science curriculum.</x:v>
      </x:c>
    </x:row>
    <x:row r="24">
      <x:c r="A24" s="53" t="str">
        <x:v>PSP-021</x:v>
      </x:c>
      <x:c r="B24" s="53" t="str">
        <x:v>MATH|PHYS|CHEM|COMP</x:v>
      </x:c>
      <x:c r="C24" s="53" t="str">
        <x:v>MIT OpenCourseWare core STEM course set</x:v>
      </x:c>
      <x:c r="D24" s="53" t="str">
        <x:v>MIT OpenCourseWare</x:v>
      </x:c>
      <x:c r="E24" s="53" t="str">
        <x:v>Практический источник для групп MATH|PHYS|CHEM|COMP</x:v>
      </x:c>
      <x:c r="F24" s="53" t="str">
        <x:v>https://ocw.mit.edu/</x:v>
      </x:c>
      <x:c r="G24" s="53" t="str">
        <x:v>https://ocw.mit.edu/</x:v>
      </x:c>
      <x:c r="H24" s="53" t="str">
        <x:v>https://ocw.mit.edu/pages/privacy-and-terms-of-use/</x:v>
      </x:c>
      <x:c r="I24" s="53" t="str">
        <x:v>CC BY-NC-SA with third-party exclusions</x:v>
      </x:c>
      <x:c r="J24" s="53" t="str">
        <x:v>en</x:v>
      </x:c>
      <x:c r="K24" s="53" t="str">
        <x:v>International/reference</x:v>
      </x:c>
      <x:c r="L24" s="53" t="str">
        <x:v>HTML/PDF/video/source</x:v>
      </x:c>
      <x:c r="M24" s="53" t="str">
        <x:v>use official per-course download; exclude third-party items</x:v>
      </x:c>
      <x:c r="N24" s="53" t="str">
        <x:v>L3</x:v>
      </x:c>
      <x:c r="O24" s="53" t="str">
        <x:v>S1_LOW_RISK_HOUSEHOLD</x:v>
      </x:c>
      <x:c r="P24" s="53" t="str">
        <x:v>ANNUAL_OR_EDITION</x:v>
      </x:c>
      <x:c r="Q24" s="53" t="n">
        <x:v>4</x:v>
      </x:c>
      <x:c r="R24" s="53" t="n">
        <x:v>5</x:v>
      </x:c>
      <x:c r="S24" s="53" t="n">
        <x:v>4</x:v>
      </x:c>
      <x:c r="T24" s="53" t="n">
        <x:v>5</x:v>
      </x:c>
      <x:c r="U24" s="53" t="n">
        <x:v>4</x:v>
      </x:c>
      <x:c r="V24" s="53" t="n">
        <x:v>4</x:v>
      </x:c>
      <x:c r="W24" s="53" t="n">
        <x:v>2</x:v>
      </x:c>
      <x:c r="X24" s="53" t="n">
        <x:v>3</x:v>
      </x:c>
      <x:c r="Y24" s="53" t="n">
        <x:v>1</x:v>
      </x:c>
      <x:c r="Z24" s="53" t="n">
        <x:v>1</x:v>
      </x:c>
      <x:c r="AA24" s="53" t="n">
        <x:v>4</x:v>
      </x:c>
      <x:c r="AB24" s="53" t="str">
        <x:v>CANDIDATE</x:v>
      </x:c>
      <x:c r="AC24" s="53" t="str">
        <x:v>NOT_DOWNLOADED</x:v>
      </x:c>
      <x:c r="AD24" s="53" t="str">
        <x:v>REQUIRES_ITEM_REVIEW</x:v>
      </x:c>
      <x:c r="AE24" s="53" t="str">
        <x:v>NOT_REVIEWED</x:v>
      </x:c>
      <x:c r="AF24" s="53" t="str">
        <x:v>NOT_TESTED</x:v>
      </x:c>
      <x:c r="AG24" s="53" t="str"/>
      <x:c r="AH24" s="53" t="str"/>
      <x:c r="AI24" s="53" t="str"/>
      <x:c r="AJ24" s="53" t="str"/>
      <x:c r="AK24" s="57" t="n">
        <x:f>MAX(0,MIN(100,ROUND(((Q24*'Overview'!$B$18)+(R24*'Overview'!$B$19)+(S24*'Overview'!$B$20)+(T24*'Overview'!$B$21)+(U24*'Overview'!$B$22)+(V24*'Overview'!$B$23)+(W24*'Overview'!$B$24)+(X24*'Overview'!$B$25)-(Y24*'Overview'!$B$26)-(Z24*'Overview'!$B$27)-(AA24*'Overview'!$B$28))/5*100,0)))</x:f>
        <x:v>74</x:v>
      </x:c>
      <x:c r="AL24" s="53" t="str">
        <x:v>Select prerequisite-complete courses; do not bulk scrape unrelated MIT Learn content.</x:v>
      </x:c>
    </x:row>
    <x:row r="25">
      <x:c r="A25" s="26" t="str">
        <x:v>PSP-022</x:v>
      </x:c>
      <x:c r="B25" s="26" t="str">
        <x:v>MECH|ELEC|COMP</x:v>
      </x:c>
      <x:c r="C25" s="26" t="str">
        <x:v>MIT OpenCourseWare engineering course set</x:v>
      </x:c>
      <x:c r="D25" s="26" t="str">
        <x:v>MIT OpenCourseWare</x:v>
      </x:c>
      <x:c r="E25" s="26" t="str">
        <x:v>Практический источник для групп MECH|ELEC|COMP</x:v>
      </x:c>
      <x:c r="F25" s="26" t="str">
        <x:v>https://ocw.mit.edu/search/?d=Mechanical%20Engineering</x:v>
      </x:c>
      <x:c r="G25" s="26" t="str">
        <x:v>https://ocw.mit.edu/search/?d=Mechanical%20Engineering</x:v>
      </x:c>
      <x:c r="H25" s="26" t="str">
        <x:v>https://ocw.mit.edu/pages/privacy-and-terms-of-use/</x:v>
      </x:c>
      <x:c r="I25" s="26" t="str">
        <x:v>CC BY-NC-SA; per-course third-party review</x:v>
      </x:c>
      <x:c r="J25" s="26" t="str">
        <x:v>en</x:v>
      </x:c>
      <x:c r="K25" s="26" t="str">
        <x:v>International/reference</x:v>
      </x:c>
      <x:c r="L25" s="26" t="str">
        <x:v>HTML/PDF/video/source</x:v>
      </x:c>
      <x:c r="M25" s="26" t="str">
        <x:v>official per-course downloads only</x:v>
      </x:c>
      <x:c r="N25" s="26" t="str">
        <x:v>L3</x:v>
      </x:c>
      <x:c r="O25" s="26" t="str">
        <x:v>S2_TRAINED_SUPERVISED</x:v>
      </x:c>
      <x:c r="P25" s="26" t="str">
        <x:v>ANNUAL_OR_EDITION</x:v>
      </x:c>
      <x:c r="Q25" s="26" t="n">
        <x:v>4</x:v>
      </x:c>
      <x:c r="R25" s="26" t="n">
        <x:v>4</x:v>
      </x:c>
      <x:c r="S25" s="26" t="n">
        <x:v>3</x:v>
      </x:c>
      <x:c r="T25" s="26" t="n">
        <x:v>4</x:v>
      </x:c>
      <x:c r="U25" s="26" t="n">
        <x:v>4</x:v>
      </x:c>
      <x:c r="V25" s="26" t="n">
        <x:v>3</x:v>
      </x:c>
      <x:c r="W25" s="26" t="n">
        <x:v>2</x:v>
      </x:c>
      <x:c r="X25" s="26" t="n">
        <x:v>4</x:v>
      </x:c>
      <x:c r="Y25" s="26" t="n">
        <x:v>2</x:v>
      </x:c>
      <x:c r="Z25" s="26" t="n">
        <x:v>2</x:v>
      </x:c>
      <x:c r="AA25" s="26" t="n">
        <x:v>1</x:v>
      </x:c>
      <x:c r="AB25" s="26" t="str">
        <x:v>CANDIDATE</x:v>
      </x:c>
      <x:c r="AC25" s="26" t="str">
        <x:v>NOT_DOWNLOADED</x:v>
      </x:c>
      <x:c r="AD25" s="26" t="str">
        <x:v>REQUIRES_ITEM_REVIEW</x:v>
      </x:c>
      <x:c r="AE25" s="26" t="str">
        <x:v>NOT_REVIEWED</x:v>
      </x:c>
      <x:c r="AF25" s="26" t="str">
        <x:v>NOT_TESTED</x:v>
      </x:c>
      <x:c r="AG25" s="26" t="str"/>
      <x:c r="AH25" s="26" t="str"/>
      <x:c r="AI25" s="26" t="str"/>
      <x:c r="AJ25" s="26" t="str"/>
      <x:c r="AK25" s="57" t="n">
        <x:f>MAX(0,MIN(100,ROUND(((Q25*'Overview'!$B$18)+(R25*'Overview'!$B$19)+(S25*'Overview'!$B$20)+(T25*'Overview'!$B$21)+(U25*'Overview'!$B$22)+(V25*'Overview'!$B$23)+(W25*'Overview'!$B$24)+(X25*'Overview'!$B$25)-(Y25*'Overview'!$B$26)-(Z25*'Overview'!$B$27)-(AA25*'Overview'!$B$28))/5*100,0)))</x:f>
        <x:v>62</x:v>
      </x:c>
      <x:c r="AL25" s="26" t="str">
        <x:v>Engineering theory and design; shop/lab execution remains gated.</x:v>
      </x:c>
    </x:row>
    <x:row r="26">
      <x:c r="A26" s="53" t="str">
        <x:v>PSP-023</x:v>
      </x:c>
      <x:c r="B26" s="53" t="str">
        <x:v>METH|OPS</x:v>
      </x:c>
      <x:c r="C26" s="53" t="str">
        <x:v>MIT OpenCourseWare systems and operations set</x:v>
      </x:c>
      <x:c r="D26" s="53" t="str">
        <x:v>MIT OpenCourseWare</x:v>
      </x:c>
      <x:c r="E26" s="53" t="str">
        <x:v>Практический источник для групп METH|OPS</x:v>
      </x:c>
      <x:c r="F26" s="53" t="str">
        <x:v>https://ocw.mit.edu/search/?q=systems%20engineering</x:v>
      </x:c>
      <x:c r="G26" s="53" t="str">
        <x:v>https://ocw.mit.edu/search/?q=systems%20engineering</x:v>
      </x:c>
      <x:c r="H26" s="53" t="str">
        <x:v>https://ocw.mit.edu/pages/privacy-and-terms-of-use/</x:v>
      </x:c>
      <x:c r="I26" s="53" t="str">
        <x:v>CC BY-NC-SA; per-course third-party review</x:v>
      </x:c>
      <x:c r="J26" s="53" t="str">
        <x:v>en</x:v>
      </x:c>
      <x:c r="K26" s="53" t="str">
        <x:v>International/reference</x:v>
      </x:c>
      <x:c r="L26" s="53" t="str">
        <x:v>HTML/PDF/video</x:v>
      </x:c>
      <x:c r="M26" s="53" t="str">
        <x:v>official per-course downloads only</x:v>
      </x:c>
      <x:c r="N26" s="53" t="str">
        <x:v>L2</x:v>
      </x:c>
      <x:c r="O26" s="53" t="str">
        <x:v>S0_OBSERVE_READ</x:v>
      </x:c>
      <x:c r="P26" s="53" t="str">
        <x:v>ANNUAL_OR_EDITION</x:v>
      </x:c>
      <x:c r="Q26" s="53" t="n">
        <x:v>4</x:v>
      </x:c>
      <x:c r="R26" s="53" t="n">
        <x:v>4</x:v>
      </x:c>
      <x:c r="S26" s="53" t="n">
        <x:v>3</x:v>
      </x:c>
      <x:c r="T26" s="53" t="n">
        <x:v>4</x:v>
      </x:c>
      <x:c r="U26" s="53" t="n">
        <x:v>4</x:v>
      </x:c>
      <x:c r="V26" s="53" t="n">
        <x:v>3</x:v>
      </x:c>
      <x:c r="W26" s="53" t="n">
        <x:v>2</x:v>
      </x:c>
      <x:c r="X26" s="53" t="n">
        <x:v>4</x:v>
      </x:c>
      <x:c r="Y26" s="53" t="n">
        <x:v>1</x:v>
      </x:c>
      <x:c r="Z26" s="53" t="n">
        <x:v>2</x:v>
      </x:c>
      <x:c r="AA26" s="53" t="n">
        <x:v>1</x:v>
      </x:c>
      <x:c r="AB26" s="53" t="str">
        <x:v>CANDIDATE</x:v>
      </x:c>
      <x:c r="AC26" s="53" t="str">
        <x:v>NOT_DOWNLOADED</x:v>
      </x:c>
      <x:c r="AD26" s="53" t="str">
        <x:v>REQUIRES_ITEM_REVIEW</x:v>
      </x:c>
      <x:c r="AE26" s="53" t="str">
        <x:v>NOT_REVIEWED</x:v>
      </x:c>
      <x:c r="AF26" s="53" t="str">
        <x:v>NOT_TESTED</x:v>
      </x:c>
      <x:c r="AG26" s="53" t="str"/>
      <x:c r="AH26" s="53" t="str"/>
      <x:c r="AI26" s="53" t="str"/>
      <x:c r="AJ26" s="53" t="str"/>
      <x:c r="AK26" s="57" t="n">
        <x:f>MAX(0,MIN(100,ROUND(((Q26*'Overview'!$B$18)+(R26*'Overview'!$B$19)+(S26*'Overview'!$B$20)+(T26*'Overview'!$B$21)+(U26*'Overview'!$B$22)+(V26*'Overview'!$B$23)+(W26*'Overview'!$B$24)+(X26*'Overview'!$B$25)-(Y26*'Overview'!$B$26)-(Z26*'Overview'!$B$27)-(AA26*'Overview'!$B$28))/5*100,0)))</x:f>
        <x:v>65</x:v>
      </x:c>
      <x:c r="AL26" s="53" t="str">
        <x:v>Systems thinking, operations and decision analysis.</x:v>
      </x:c>
    </x:row>
    <x:row r="27">
      <x:c r="A27" s="26" t="str">
        <x:v>PSP-024</x:v>
      </x:c>
      <x:c r="B27" s="26" t="str">
        <x:v>PHYS|CHEM|MATH</x:v>
      </x:c>
      <x:c r="C27" s="26" t="str">
        <x:v>PhET regular HTML simulations</x:v>
      </x:c>
      <x:c r="D27" s="26" t="str">
        <x:v>University of Colorado Boulder PhET</x:v>
      </x:c>
      <x:c r="E27" s="26" t="str">
        <x:v>Практический источник для групп PHYS|CHEM|MATH</x:v>
      </x:c>
      <x:c r="F27" s="26" t="str">
        <x:v>https://phet.colorado.edu/en/offline-access</x:v>
      </x:c>
      <x:c r="G27" s="26" t="str">
        <x:v>https://phet.colorado.edu/en/offline-access</x:v>
      </x:c>
      <x:c r="H27" s="26" t="str">
        <x:v>https://phet.colorado.edu/en/licensing</x:v>
      </x:c>
      <x:c r="I27" s="26" t="str">
        <x:v>CC BY-NC 4.0 for regular HTML sims; PhET-iO/Studio excluded</x:v>
      </x:c>
      <x:c r="J27" s="26" t="str">
        <x:v>multi</x:v>
      </x:c>
      <x:c r="K27" s="26" t="str">
        <x:v>International/reference</x:v>
      </x:c>
      <x:c r="L27" s="26" t="str">
        <x:v>HTML5</x:v>
      </x:c>
      <x:c r="M27" s="26" t="str">
        <x:v>download individual regular HTML simulations or licensed offline app</x:v>
      </x:c>
      <x:c r="N27" s="26" t="str">
        <x:v>L1</x:v>
      </x:c>
      <x:c r="O27" s="26" t="str">
        <x:v>S1_LOW_RISK_HOUSEHOLD</x:v>
      </x:c>
      <x:c r="P27" s="26" t="str">
        <x:v>ANNUAL_OR_EDITION</x:v>
      </x:c>
      <x:c r="Q27" s="26" t="n">
        <x:v>4</x:v>
      </x:c>
      <x:c r="R27" s="26" t="n">
        <x:v>4</x:v>
      </x:c>
      <x:c r="S27" s="26" t="n">
        <x:v>3</x:v>
      </x:c>
      <x:c r="T27" s="26" t="n">
        <x:v>4</x:v>
      </x:c>
      <x:c r="U27" s="26" t="n">
        <x:v>4</x:v>
      </x:c>
      <x:c r="V27" s="26" t="n">
        <x:v>3</x:v>
      </x:c>
      <x:c r="W27" s="26" t="n">
        <x:v>2</x:v>
      </x:c>
      <x:c r="X27" s="26" t="n">
        <x:v>4</x:v>
      </x:c>
      <x:c r="Y27" s="26" t="n">
        <x:v>1</x:v>
      </x:c>
      <x:c r="Z27" s="26" t="n">
        <x:v>2</x:v>
      </x:c>
      <x:c r="AA27" s="26" t="n">
        <x:v>1</x:v>
      </x:c>
      <x:c r="AB27" s="26" t="str">
        <x:v>CANDIDATE</x:v>
      </x:c>
      <x:c r="AC27" s="26" t="str">
        <x:v>NOT_DOWNLOADED</x:v>
      </x:c>
      <x:c r="AD27" s="26" t="str">
        <x:v>REQUIRES_ITEM_REVIEW</x:v>
      </x:c>
      <x:c r="AE27" s="26" t="str">
        <x:v>NOT_REVIEWED</x:v>
      </x:c>
      <x:c r="AF27" s="26" t="str">
        <x:v>NOT_TESTED</x:v>
      </x:c>
      <x:c r="AG27" s="26" t="str"/>
      <x:c r="AH27" s="26" t="str"/>
      <x:c r="AI27" s="26" t="str"/>
      <x:c r="AJ27" s="26" t="str"/>
      <x:c r="AK27" s="57" t="n">
        <x:f>MAX(0,MIN(100,ROUND(((Q27*'Overview'!$B$18)+(R27*'Overview'!$B$19)+(S27*'Overview'!$B$20)+(T27*'Overview'!$B$21)+(U27*'Overview'!$B$22)+(V27*'Overview'!$B$23)+(W27*'Overview'!$B$24)+(X27*'Overview'!$B$25)-(Y27*'Overview'!$B$26)-(Z27*'Overview'!$B$27)-(AA27*'Overview'!$B$28))/5*100,0)))</x:f>
        <x:v>65</x:v>
      </x:c>
      <x:c r="AL27" s="26" t="str">
        <x:v>Offline interactive simulations; preserve attribution and exact variant.</x:v>
      </x:c>
    </x:row>
    <x:row r="28">
      <x:c r="A28" s="53" t="str">
        <x:v>PSP-025</x:v>
      </x:c>
      <x:c r="B28" s="53" t="str">
        <x:v>EDU|MATH|PHYS|CHEM|LIFE</x:v>
      </x:c>
      <x:c r="C28" s="53" t="str">
        <x:v>Kolibri offline learning platform and selected channels</x:v>
      </x:c>
      <x:c r="D28" s="53" t="str">
        <x:v>Learning Equality</x:v>
      </x:c>
      <x:c r="E28" s="53" t="str">
        <x:v>Практический источник для групп EDU|MATH|PHYS|CHEM|LIFE</x:v>
      </x:c>
      <x:c r="F28" s="53" t="str">
        <x:v>https://learningequality.org/kolibri/about-kolibri/</x:v>
      </x:c>
      <x:c r="G28" s="53" t="str">
        <x:v>https://learningequality.org/kolibri/about-kolibri/</x:v>
      </x:c>
      <x:c r="H28" s="53" t="str">
        <x:v>https://kolibri.readthedocs.io/en/latest/manage/resources.html</x:v>
      </x:c>
      <x:c r="I28" s="53" t="str">
        <x:v>software open source; content rights per channel/resource</x:v>
      </x:c>
      <x:c r="J28" s="53" t="str">
        <x:v>multi</x:v>
      </x:c>
      <x:c r="K28" s="53" t="str">
        <x:v>International/reference</x:v>
      </x:c>
      <x:c r="L28" s="53" t="str">
        <x:v>software/content channels</x:v>
      </x:c>
      <x:c r="M28" s="53" t="str">
        <x:v>export/import selected channels by USB</x:v>
      </x:c>
      <x:c r="N28" s="53" t="str">
        <x:v>L2</x:v>
      </x:c>
      <x:c r="O28" s="53" t="str">
        <x:v>S0_OBSERVE_READ</x:v>
      </x:c>
      <x:c r="P28" s="53" t="str">
        <x:v>ANNUAL_OR_EDITION</x:v>
      </x:c>
      <x:c r="Q28" s="53" t="n">
        <x:v>4</x:v>
      </x:c>
      <x:c r="R28" s="53" t="n">
        <x:v>4</x:v>
      </x:c>
      <x:c r="S28" s="53" t="n">
        <x:v>3</x:v>
      </x:c>
      <x:c r="T28" s="53" t="n">
        <x:v>4</x:v>
      </x:c>
      <x:c r="U28" s="53" t="n">
        <x:v>4</x:v>
      </x:c>
      <x:c r="V28" s="53" t="n">
        <x:v>3</x:v>
      </x:c>
      <x:c r="W28" s="53" t="n">
        <x:v>2</x:v>
      </x:c>
      <x:c r="X28" s="53" t="n">
        <x:v>4</x:v>
      </x:c>
      <x:c r="Y28" s="53" t="n">
        <x:v>1</x:v>
      </x:c>
      <x:c r="Z28" s="53" t="n">
        <x:v>2</x:v>
      </x:c>
      <x:c r="AA28" s="53" t="n">
        <x:v>1</x:v>
      </x:c>
      <x:c r="AB28" s="53" t="str">
        <x:v>CANDIDATE</x:v>
      </x:c>
      <x:c r="AC28" s="53" t="str">
        <x:v>NOT_DOWNLOADED</x:v>
      </x:c>
      <x:c r="AD28" s="53" t="str">
        <x:v>REQUIRES_ITEM_REVIEW</x:v>
      </x:c>
      <x:c r="AE28" s="53" t="str">
        <x:v>NOT_REVIEWED</x:v>
      </x:c>
      <x:c r="AF28" s="53" t="str">
        <x:v>NOT_TESTED</x:v>
      </x:c>
      <x:c r="AG28" s="53" t="str"/>
      <x:c r="AH28" s="53" t="str"/>
      <x:c r="AI28" s="53" t="str"/>
      <x:c r="AJ28" s="53" t="str"/>
      <x:c r="AK28" s="57" t="n">
        <x:f>MAX(0,MIN(100,ROUND(((Q28*'Overview'!$B$18)+(R28*'Overview'!$B$19)+(S28*'Overview'!$B$20)+(T28*'Overview'!$B$21)+(U28*'Overview'!$B$22)+(V28*'Overview'!$B$23)+(W28*'Overview'!$B$24)+(X28*'Overview'!$B$25)-(Y28*'Overview'!$B$26)-(Z28*'Overview'!$B$27)-(AA28*'Overview'!$B$28))/5*100,0)))</x:f>
        <x:v>65</x:v>
      </x:c>
      <x:c r="AL28" s="53" t="str">
        <x:v>Container is not a blanket license for its content.</x:v>
      </x:c>
    </x:row>
    <x:row r="29">
      <x:c r="A29" s="26" t="str">
        <x:v>PSP-026</x:v>
      </x:c>
      <x:c r="B29" s="26" t="str">
        <x:v>EDU|MATH|PHYS|CHEM|LIFE|COMP</x:v>
      </x:c>
      <x:c r="C29" s="26" t="str">
        <x:v>Kiwix library catalog and OpenZIM packages</x:v>
      </x:c>
      <x:c r="D29" s="26" t="str">
        <x:v>Kiwix/OpenZIM</x:v>
      </x:c>
      <x:c r="E29" s="26" t="str">
        <x:v>Практический источник для групп EDU|MATH|PHYS|CHEM|LIFE|COMP</x:v>
      </x:c>
      <x:c r="F29" s="26" t="str">
        <x:v>https://library.kiwix.org/</x:v>
      </x:c>
      <x:c r="G29" s="26" t="str">
        <x:v>https://library.kiwix.org/</x:v>
      </x:c>
      <x:c r="H29" s="26" t="str">
        <x:v>https://www.kiwix.org/en/legal/</x:v>
      </x:c>
      <x:c r="I29" s="26" t="str">
        <x:v>rights per source project and ZIM</x:v>
      </x:c>
      <x:c r="J29" s="26" t="str">
        <x:v>multi</x:v>
      </x:c>
      <x:c r="K29" s="26" t="str">
        <x:v>International/reference</x:v>
      </x:c>
      <x:c r="L29" s="26" t="str">
        <x:v>ZIM</x:v>
      </x:c>
      <x:c r="M29" s="26" t="str">
        <x:v>download selected ZIM and reader; preserve catalog metadata/hash</x:v>
      </x:c>
      <x:c r="N29" s="26" t="str">
        <x:v>L2</x:v>
      </x:c>
      <x:c r="O29" s="26" t="str">
        <x:v>S0_OBSERVE_READ</x:v>
      </x:c>
      <x:c r="P29" s="26" t="str">
        <x:v>ANNUAL_OR_EDITION</x:v>
      </x:c>
      <x:c r="Q29" s="26" t="n">
        <x:v>4</x:v>
      </x:c>
      <x:c r="R29" s="26" t="n">
        <x:v>4</x:v>
      </x:c>
      <x:c r="S29" s="26" t="n">
        <x:v>3</x:v>
      </x:c>
      <x:c r="T29" s="26" t="n">
        <x:v>4</x:v>
      </x:c>
      <x:c r="U29" s="26" t="n">
        <x:v>4</x:v>
      </x:c>
      <x:c r="V29" s="26" t="n">
        <x:v>3</x:v>
      </x:c>
      <x:c r="W29" s="26" t="n">
        <x:v>2</x:v>
      </x:c>
      <x:c r="X29" s="26" t="n">
        <x:v>4</x:v>
      </x:c>
      <x:c r="Y29" s="26" t="n">
        <x:v>1</x:v>
      </x:c>
      <x:c r="Z29" s="26" t="n">
        <x:v>2</x:v>
      </x:c>
      <x:c r="AA29" s="26" t="n">
        <x:v>1</x:v>
      </x:c>
      <x:c r="AB29" s="26" t="str">
        <x:v>CANDIDATE</x:v>
      </x:c>
      <x:c r="AC29" s="26" t="str">
        <x:v>NOT_DOWNLOADED</x:v>
      </x:c>
      <x:c r="AD29" s="26" t="str">
        <x:v>REQUIRES_ITEM_REVIEW</x:v>
      </x:c>
      <x:c r="AE29" s="26" t="str">
        <x:v>NOT_REVIEWED</x:v>
      </x:c>
      <x:c r="AF29" s="26" t="str">
        <x:v>NOT_TESTED</x:v>
      </x:c>
      <x:c r="AG29" s="26" t="str"/>
      <x:c r="AH29" s="26" t="str"/>
      <x:c r="AI29" s="26" t="str"/>
      <x:c r="AJ29" s="26" t="str"/>
      <x:c r="AK29" s="57" t="n">
        <x:f>MAX(0,MIN(100,ROUND(((Q29*'Overview'!$B$18)+(R29*'Overview'!$B$19)+(S29*'Overview'!$B$20)+(T29*'Overview'!$B$21)+(U29*'Overview'!$B$22)+(V29*'Overview'!$B$23)+(W29*'Overview'!$B$24)+(X29*'Overview'!$B$25)-(Y29*'Overview'!$B$26)-(Z29*'Overview'!$B$27)-(AA29*'Overview'!$B$28))/5*100,0)))</x:f>
        <x:v>65</x:v>
      </x:c>
      <x:c r="AL29" s="26" t="str">
        <x:v>General reference and education; not action authority.</x:v>
      </x:c>
    </x:row>
    <x:row r="30">
      <x:c r="A30" s="53" t="str">
        <x:v>PSP-027</x:v>
      </x:c>
      <x:c r="B30" s="53" t="str">
        <x:v>EDU|MATH|PHYS|CHEM|LIFE</x:v>
      </x:c>
      <x:c r="C30" s="53" t="str">
        <x:v>Wikibooks/Wikiversity offline ZIM set</x:v>
      </x:c>
      <x:c r="D30" s="53" t="str">
        <x:v>Wikimedia/OpenZIM</x:v>
      </x:c>
      <x:c r="E30" s="53" t="str">
        <x:v>Практический источник для групп EDU|MATH|PHYS|CHEM|LIFE</x:v>
      </x:c>
      <x:c r="F30" s="53" t="str">
        <x:v>https://download.kiwix.org/zim/wikibooks/</x:v>
      </x:c>
      <x:c r="G30" s="53" t="str">
        <x:v>https://download.kiwix.org/zim/wikibooks/</x:v>
      </x:c>
      <x:c r="H30" s="53" t="str">
        <x:v>https://foundation.wikimedia.org/wiki/Policy:Terms_of_Use</x:v>
      </x:c>
      <x:c r="I30" s="53" t="str">
        <x:v>project and page licenses; attribution required</x:v>
      </x:c>
      <x:c r="J30" s="53" t="str">
        <x:v>multi</x:v>
      </x:c>
      <x:c r="K30" s="53" t="str">
        <x:v>International/reference</x:v>
      </x:c>
      <x:c r="L30" s="53" t="str">
        <x:v>ZIM</x:v>
      </x:c>
      <x:c r="M30" s="53" t="str">
        <x:v>select language/variant/date and download ZIM</x:v>
      </x:c>
      <x:c r="N30" s="53" t="str">
        <x:v>L2</x:v>
      </x:c>
      <x:c r="O30" s="53" t="str">
        <x:v>S0_OBSERVE_READ</x:v>
      </x:c>
      <x:c r="P30" s="53" t="str">
        <x:v>ANNUAL_OR_EDITION</x:v>
      </x:c>
      <x:c r="Q30" s="53" t="n">
        <x:v>4</x:v>
      </x:c>
      <x:c r="R30" s="53" t="n">
        <x:v>4</x:v>
      </x:c>
      <x:c r="S30" s="53" t="n">
        <x:v>3</x:v>
      </x:c>
      <x:c r="T30" s="53" t="n">
        <x:v>4</x:v>
      </x:c>
      <x:c r="U30" s="53" t="n">
        <x:v>4</x:v>
      </x:c>
      <x:c r="V30" s="53" t="n">
        <x:v>3</x:v>
      </x:c>
      <x:c r="W30" s="53" t="n">
        <x:v>2</x:v>
      </x:c>
      <x:c r="X30" s="53" t="n">
        <x:v>4</x:v>
      </x:c>
      <x:c r="Y30" s="53" t="n">
        <x:v>1</x:v>
      </x:c>
      <x:c r="Z30" s="53" t="n">
        <x:v>2</x:v>
      </x:c>
      <x:c r="AA30" s="53" t="n">
        <x:v>1</x:v>
      </x:c>
      <x:c r="AB30" s="53" t="str">
        <x:v>CANDIDATE</x:v>
      </x:c>
      <x:c r="AC30" s="53" t="str">
        <x:v>NOT_DOWNLOADED</x:v>
      </x:c>
      <x:c r="AD30" s="53" t="str">
        <x:v>REQUIRES_ITEM_REVIEW</x:v>
      </x:c>
      <x:c r="AE30" s="53" t="str">
        <x:v>NOT_REVIEWED</x:v>
      </x:c>
      <x:c r="AF30" s="53" t="str">
        <x:v>NOT_TESTED</x:v>
      </x:c>
      <x:c r="AG30" s="53" t="str"/>
      <x:c r="AH30" s="53" t="str"/>
      <x:c r="AI30" s="53" t="str"/>
      <x:c r="AJ30" s="53" t="str"/>
      <x:c r="AK30" s="57" t="n">
        <x:f>MAX(0,MIN(100,ROUND(((Q30*'Overview'!$B$18)+(R30*'Overview'!$B$19)+(S30*'Overview'!$B$20)+(T30*'Overview'!$B$21)+(U30*'Overview'!$B$22)+(V30*'Overview'!$B$23)+(W30*'Overview'!$B$24)+(X30*'Overview'!$B$25)-(Y30*'Overview'!$B$26)-(Z30*'Overview'!$B$27)-(AA30*'Overview'!$B$28))/5*100,0)))</x:f>
        <x:v>65</x:v>
      </x:c>
      <x:c r="AL30" s="53" t="str">
        <x:v>Community education; verify quality and safety per lesson.</x:v>
      </x:c>
    </x:row>
    <x:row r="31">
      <x:c r="A31" s="26" t="str">
        <x:v>PSP-028</x:v>
      </x:c>
      <x:c r="B31" s="26" t="str">
        <x:v>COMP|MECH|ELEC</x:v>
      </x:c>
      <x:c r="C31" s="26" t="str">
        <x:v>Stack Exchange technical offline ZIM set</x:v>
      </x:c>
      <x:c r="D31" s="26" t="str">
        <x:v>Stack Exchange/OpenZIM</x:v>
      </x:c>
      <x:c r="E31" s="26" t="str">
        <x:v>Практический источник для групп COMP|MECH|ELEC</x:v>
      </x:c>
      <x:c r="F31" s="26" t="str">
        <x:v>https://download.kiwix.org/zim/stack_exchange/</x:v>
      </x:c>
      <x:c r="G31" s="26" t="str">
        <x:v>https://download.kiwix.org/zim/stack_exchange/</x:v>
      </x:c>
      <x:c r="H31" s="26" t="str">
        <x:v>https://stackoverflow.com/help/licensing</x:v>
      </x:c>
      <x:c r="I31" s="26" t="str">
        <x:v>CC BY-SA versions/attribution per posts; verify ZIM notices</x:v>
      </x:c>
      <x:c r="J31" s="26" t="str">
        <x:v>en</x:v>
      </x:c>
      <x:c r="K31" s="26" t="str">
        <x:v>International/reference</x:v>
      </x:c>
      <x:c r="L31" s="26" t="str">
        <x:v>ZIM</x:v>
      </x:c>
      <x:c r="M31" s="26" t="str">
        <x:v>select communities/date and download ZIM</x:v>
      </x:c>
      <x:c r="N31" s="26" t="str">
        <x:v>L3</x:v>
      </x:c>
      <x:c r="O31" s="26" t="str">
        <x:v>S0_OBSERVE_READ</x:v>
      </x:c>
      <x:c r="P31" s="26" t="str">
        <x:v>ANNUAL_OR_EDITION</x:v>
      </x:c>
      <x:c r="Q31" s="26" t="n">
        <x:v>4</x:v>
      </x:c>
      <x:c r="R31" s="26" t="n">
        <x:v>4</x:v>
      </x:c>
      <x:c r="S31" s="26" t="n">
        <x:v>3</x:v>
      </x:c>
      <x:c r="T31" s="26" t="n">
        <x:v>4</x:v>
      </x:c>
      <x:c r="U31" s="26" t="n">
        <x:v>4</x:v>
      </x:c>
      <x:c r="V31" s="26" t="n">
        <x:v>3</x:v>
      </x:c>
      <x:c r="W31" s="26" t="n">
        <x:v>2</x:v>
      </x:c>
      <x:c r="X31" s="26" t="n">
        <x:v>4</x:v>
      </x:c>
      <x:c r="Y31" s="26" t="n">
        <x:v>1</x:v>
      </x:c>
      <x:c r="Z31" s="26" t="n">
        <x:v>2</x:v>
      </x:c>
      <x:c r="AA31" s="26" t="n">
        <x:v>1</x:v>
      </x:c>
      <x:c r="AB31" s="26" t="str">
        <x:v>CANDIDATE</x:v>
      </x:c>
      <x:c r="AC31" s="26" t="str">
        <x:v>NOT_DOWNLOADED</x:v>
      </x:c>
      <x:c r="AD31" s="26" t="str">
        <x:v>REQUIRES_ITEM_REVIEW</x:v>
      </x:c>
      <x:c r="AE31" s="26" t="str">
        <x:v>NOT_REVIEWED</x:v>
      </x:c>
      <x:c r="AF31" s="26" t="str">
        <x:v>NOT_TESTED</x:v>
      </x:c>
      <x:c r="AG31" s="26" t="str"/>
      <x:c r="AH31" s="26" t="str"/>
      <x:c r="AI31" s="26" t="str"/>
      <x:c r="AJ31" s="26" t="str"/>
      <x:c r="AK31" s="57" t="n">
        <x:f>MAX(0,MIN(100,ROUND(((Q31*'Overview'!$B$18)+(R31*'Overview'!$B$19)+(S31*'Overview'!$B$20)+(T31*'Overview'!$B$21)+(U31*'Overview'!$B$22)+(V31*'Overview'!$B$23)+(W31*'Overview'!$B$24)+(X31*'Overview'!$B$25)-(Y31*'Overview'!$B$26)-(Z31*'Overview'!$B$27)-(AA31*'Overview'!$B$28))/5*100,0)))</x:f>
        <x:v>65</x:v>
      </x:c>
      <x:c r="AL31" s="26" t="str">
        <x:v>Troubleshooting background; answers are not automatically correct.</x:v>
      </x:c>
    </x:row>
    <x:row r="32">
      <x:c r="A32" s="53" t="str">
        <x:v>PSP-029</x:v>
      </x:c>
      <x:c r="B32" s="53" t="str">
        <x:v>EDU|PORT</x:v>
      </x:c>
      <x:c r="C32" s="53" t="str">
        <x:v>Wiktionary RU/UK/PT/EN offline set</x:v>
      </x:c>
      <x:c r="D32" s="53" t="str">
        <x:v>Wikimedia/OpenZIM</x:v>
      </x:c>
      <x:c r="E32" s="53" t="str">
        <x:v>Практический источник для групп EDU|PORT</x:v>
      </x:c>
      <x:c r="F32" s="53" t="str">
        <x:v>https://download.kiwix.org/zim/wiktionary/</x:v>
      </x:c>
      <x:c r="G32" s="53" t="str">
        <x:v>https://download.kiwix.org/zim/wiktionary/</x:v>
      </x:c>
      <x:c r="H32" s="53" t="str">
        <x:v>https://foundation.wikimedia.org/wiki/Policy:Terms_of_Use</x:v>
      </x:c>
      <x:c r="I32" s="53" t="str">
        <x:v>Wikimedia project licenses and attribution</x:v>
      </x:c>
      <x:c r="J32" s="53" t="str">
        <x:v>ru|uk|pt|en</x:v>
      </x:c>
      <x:c r="K32" s="53" t="str">
        <x:v>Portugal/EU</x:v>
      </x:c>
      <x:c r="L32" s="53" t="str">
        <x:v>ZIM</x:v>
      </x:c>
      <x:c r="M32" s="53" t="str">
        <x:v>download exact language/date variants</x:v>
      </x:c>
      <x:c r="N32" s="53" t="str">
        <x:v>L1</x:v>
      </x:c>
      <x:c r="O32" s="53" t="str">
        <x:v>S0_OBSERVE_READ</x:v>
      </x:c>
      <x:c r="P32" s="53" t="str">
        <x:v>ANNUAL_OR_EDITION</x:v>
      </x:c>
      <x:c r="Q32" s="53" t="n">
        <x:v>4</x:v>
      </x:c>
      <x:c r="R32" s="53" t="n">
        <x:v>4</x:v>
      </x:c>
      <x:c r="S32" s="53" t="n">
        <x:v>3</x:v>
      </x:c>
      <x:c r="T32" s="53" t="n">
        <x:v>4</x:v>
      </x:c>
      <x:c r="U32" s="53" t="n">
        <x:v>4</x:v>
      </x:c>
      <x:c r="V32" s="53" t="n">
        <x:v>3</x:v>
      </x:c>
      <x:c r="W32" s="53" t="n">
        <x:v>2</x:v>
      </x:c>
      <x:c r="X32" s="53" t="n">
        <x:v>4</x:v>
      </x:c>
      <x:c r="Y32" s="53" t="n">
        <x:v>1</x:v>
      </x:c>
      <x:c r="Z32" s="53" t="n">
        <x:v>2</x:v>
      </x:c>
      <x:c r="AA32" s="53" t="n">
        <x:v>1</x:v>
      </x:c>
      <x:c r="AB32" s="53" t="str">
        <x:v>CANDIDATE</x:v>
      </x:c>
      <x:c r="AC32" s="53" t="str">
        <x:v>NOT_DOWNLOADED</x:v>
      </x:c>
      <x:c r="AD32" s="53" t="str">
        <x:v>REQUIRES_ITEM_REVIEW</x:v>
      </x:c>
      <x:c r="AE32" s="53" t="str">
        <x:v>NOT_REVIEWED</x:v>
      </x:c>
      <x:c r="AF32" s="53" t="str">
        <x:v>NOT_TESTED</x:v>
      </x:c>
      <x:c r="AG32" s="53" t="str"/>
      <x:c r="AH32" s="53" t="str"/>
      <x:c r="AI32" s="53" t="str"/>
      <x:c r="AJ32" s="53" t="str"/>
      <x:c r="AK32" s="57" t="n">
        <x:f>MAX(0,MIN(100,ROUND(((Q32*'Overview'!$B$18)+(R32*'Overview'!$B$19)+(S32*'Overview'!$B$20)+(T32*'Overview'!$B$21)+(U32*'Overview'!$B$22)+(V32*'Overview'!$B$23)+(W32*'Overview'!$B$24)+(X32*'Overview'!$B$25)-(Y32*'Overview'!$B$26)-(Z32*'Overview'!$B$27)-(AA32*'Overview'!$B$28))/5*100,0)))</x:f>
        <x:v>65</x:v>
      </x:c>
      <x:c r="AL32" s="53" t="str">
        <x:v>Language continuity and terminology.</x:v>
      </x:c>
    </x:row>
    <x:row r="33">
      <x:c r="A33" s="26" t="str">
        <x:v>PSP-030</x:v>
      </x:c>
      <x:c r="B33" s="26" t="str">
        <x:v>ARCH|EDU</x:v>
      </x:c>
      <x:c r="C33" s="26" t="str">
        <x:v>Wikimedia project XML dumps</x:v>
      </x:c>
      <x:c r="D33" s="26" t="str">
        <x:v>Wikimedia Foundation</x:v>
      </x:c>
      <x:c r="E33" s="26" t="str">
        <x:v>Практический источник для групп ARCH|EDU</x:v>
      </x:c>
      <x:c r="F33" s="26" t="str">
        <x:v>https://dumps.wikimedia.org/backup-index.html</x:v>
      </x:c>
      <x:c r="G33" s="26" t="str">
        <x:v>https://dumps.wikimedia.org/backup-index.html</x:v>
      </x:c>
      <x:c r="H33" s="26" t="str">
        <x:v>https://foundation.wikimedia.org/wiki/Policy:Terms_of_Use</x:v>
      </x:c>
      <x:c r="I33" s="26" t="str">
        <x:v>project/page licenses and attribution</x:v>
      </x:c>
      <x:c r="J33" s="26" t="str">
        <x:v>multi</x:v>
      </x:c>
      <x:c r="K33" s="26" t="str">
        <x:v>International/reference</x:v>
      </x:c>
      <x:c r="L33" s="26" t="str">
        <x:v>XML/BZ2/7z</x:v>
      </x:c>
      <x:c r="M33" s="26" t="str">
        <x:v>download selected project dumps with checksums</x:v>
      </x:c>
      <x:c r="N33" s="26" t="str">
        <x:v>L4</x:v>
      </x:c>
      <x:c r="O33" s="26" t="str">
        <x:v>S0_OBSERVE_READ</x:v>
      </x:c>
      <x:c r="P33" s="26" t="str">
        <x:v>ANNUAL_OR_EDITION</x:v>
      </x:c>
      <x:c r="Q33" s="26" t="n">
        <x:v>2</x:v>
      </x:c>
      <x:c r="R33" s="26" t="n">
        <x:v>5</x:v>
      </x:c>
      <x:c r="S33" s="26" t="n">
        <x:v>1</x:v>
      </x:c>
      <x:c r="T33" s="26" t="n">
        <x:v>3</x:v>
      </x:c>
      <x:c r="U33" s="26" t="n">
        <x:v>2</x:v>
      </x:c>
      <x:c r="V33" s="26" t="n">
        <x:v>3</x:v>
      </x:c>
      <x:c r="W33" s="26" t="n">
        <x:v>4</x:v>
      </x:c>
      <x:c r="X33" s="26" t="n">
        <x:v>3</x:v>
      </x:c>
      <x:c r="Y33" s="26" t="n">
        <x:v>0</x:v>
      </x:c>
      <x:c r="Z33" s="26" t="n">
        <x:v>1</x:v>
      </x:c>
      <x:c r="AA33" s="26" t="n">
        <x:v>5</x:v>
      </x:c>
      <x:c r="AB33" s="26" t="str">
        <x:v>CANDIDATE</x:v>
      </x:c>
      <x:c r="AC33" s="26" t="str">
        <x:v>NOT_DOWNLOADED</x:v>
      </x:c>
      <x:c r="AD33" s="26" t="str">
        <x:v>REQUIRES_ITEM_REVIEW</x:v>
      </x:c>
      <x:c r="AE33" s="26" t="str">
        <x:v>NOT_REVIEWED</x:v>
      </x:c>
      <x:c r="AF33" s="26" t="str">
        <x:v>NOT_TESTED</x:v>
      </x:c>
      <x:c r="AG33" s="26" t="str"/>
      <x:c r="AH33" s="26" t="str"/>
      <x:c r="AI33" s="26" t="str"/>
      <x:c r="AJ33" s="26" t="str"/>
      <x:c r="AK33" s="57" t="n">
        <x:f>MAX(0,MIN(100,ROUND(((Q33*'Overview'!$B$18)+(R33*'Overview'!$B$19)+(S33*'Overview'!$B$20)+(T33*'Overview'!$B$21)+(U33*'Overview'!$B$22)+(V33*'Overview'!$B$23)+(W33*'Overview'!$B$24)+(X33*'Overview'!$B$25)-(Y33*'Overview'!$B$26)-(Z33*'Overview'!$B$27)-(AA33*'Overview'!$B$28))/5*100,0)))</x:f>
        <x:v>47</x:v>
      </x:c>
      <x:c r="AL33" s="26" t="str">
        <x:v>Deep preservation source; needs renderer/index build and large storage.</x:v>
      </x:c>
    </x:row>
    <x:row r="34">
      <x:c r="A34" s="53" t="str">
        <x:v>PSP-031</x:v>
      </x:c>
      <x:c r="B34" s="53" t="str">
        <x:v>EARTH|PORT</x:v>
      </x:c>
      <x:c r="C34" s="53" t="str">
        <x:v>USGS The National Map datasets</x:v>
      </x:c>
      <x:c r="D34" s="53" t="str">
        <x:v>US Geological Survey</x:v>
      </x:c>
      <x:c r="E34" s="53" t="str">
        <x:v>Практический источник для групп EARTH|PORT</x:v>
      </x:c>
      <x:c r="F34" s="53" t="str">
        <x:v>https://www.usgs.gov/the-national-map-data-delivery/gis-data-download</x:v>
      </x:c>
      <x:c r="G34" s="53" t="str">
        <x:v>https://www.usgs.gov/the-national-map-data-delivery/gis-data-download</x:v>
      </x:c>
      <x:c r="H34" s="53" t="str">
        <x:v>https://www.usgs.gov/information-policies-and-instructions/copyrights-and-credits</x:v>
      </x:c>
      <x:c r="I34" s="53" t="str">
        <x:v>US government public domain with exceptions/credit</x:v>
      </x:c>
      <x:c r="J34" s="53" t="str">
        <x:v>en</x:v>
      </x:c>
      <x:c r="K34" s="53" t="str">
        <x:v>Portugal/EU</x:v>
      </x:c>
      <x:c r="L34" s="53" t="str">
        <x:v>GeoTIFF/GeoPackage/shapefile</x:v>
      </x:c>
      <x:c r="M34" s="53" t="str">
        <x:v>download selected areas/layers and metadata</x:v>
      </x:c>
      <x:c r="N34" s="53" t="str">
        <x:v>L3</x:v>
      </x:c>
      <x:c r="O34" s="53" t="str">
        <x:v>S0_OBSERVE_READ</x:v>
      </x:c>
      <x:c r="P34" s="53" t="str">
        <x:v>ANNUAL_OR_EDITION</x:v>
      </x:c>
      <x:c r="Q34" s="53" t="n">
        <x:v>4</x:v>
      </x:c>
      <x:c r="R34" s="53" t="n">
        <x:v>4</x:v>
      </x:c>
      <x:c r="S34" s="53" t="n">
        <x:v>3</x:v>
      </x:c>
      <x:c r="T34" s="53" t="n">
        <x:v>4</x:v>
      </x:c>
      <x:c r="U34" s="53" t="n">
        <x:v>4</x:v>
      </x:c>
      <x:c r="V34" s="53" t="n">
        <x:v>3</x:v>
      </x:c>
      <x:c r="W34" s="53" t="n">
        <x:v>2</x:v>
      </x:c>
      <x:c r="X34" s="53" t="n">
        <x:v>4</x:v>
      </x:c>
      <x:c r="Y34" s="53" t="n">
        <x:v>1</x:v>
      </x:c>
      <x:c r="Z34" s="53" t="n">
        <x:v>2</x:v>
      </x:c>
      <x:c r="AA34" s="53" t="n">
        <x:v>1</x:v>
      </x:c>
      <x:c r="AB34" s="53" t="str">
        <x:v>CANDIDATE</x:v>
      </x:c>
      <x:c r="AC34" s="53" t="str">
        <x:v>NOT_DOWNLOADED</x:v>
      </x:c>
      <x:c r="AD34" s="53" t="str">
        <x:v>REQUIRES_ITEM_REVIEW</x:v>
      </x:c>
      <x:c r="AE34" s="53" t="str">
        <x:v>NOT_REVIEWED</x:v>
      </x:c>
      <x:c r="AF34" s="53" t="str">
        <x:v>NOT_TESTED</x:v>
      </x:c>
      <x:c r="AG34" s="53" t="str"/>
      <x:c r="AH34" s="53" t="str"/>
      <x:c r="AI34" s="53" t="str"/>
      <x:c r="AJ34" s="53" t="str"/>
      <x:c r="AK34" s="57" t="n">
        <x:f>MAX(0,MIN(100,ROUND(((Q34*'Overview'!$B$18)+(R34*'Overview'!$B$19)+(S34*'Overview'!$B$20)+(T34*'Overview'!$B$21)+(U34*'Overview'!$B$22)+(V34*'Overview'!$B$23)+(W34*'Overview'!$B$24)+(X34*'Overview'!$B$25)-(Y34*'Overview'!$B$26)-(Z34*'Overview'!$B$27)-(AA34*'Overview'!$B$28))/5*100,0)))</x:f>
        <x:v>65</x:v>
      </x:c>
      <x:c r="AL34" s="53" t="str">
        <x:v>US-reference geodata; not Portugal operational mapping.</x:v>
      </x:c>
    </x:row>
    <x:row r="35">
      <x:c r="A35" s="26" t="str">
        <x:v>PSP-032</x:v>
      </x:c>
      <x:c r="B35" s="26" t="str">
        <x:v>EARTH|HEALTH</x:v>
      </x:c>
      <x:c r="C35" s="26" t="str">
        <x:v>USGS Water Science School</x:v>
      </x:c>
      <x:c r="D35" s="26" t="str">
        <x:v>US Geological Survey</x:v>
      </x:c>
      <x:c r="E35" s="26" t="str">
        <x:v>Практический источник для групп EARTH|HEALTH</x:v>
      </x:c>
      <x:c r="F35" s="26" t="str">
        <x:v>https://www.usgs.gov/special-topics/water-science-school</x:v>
      </x:c>
      <x:c r="G35" s="26" t="str">
        <x:v>https://www.usgs.gov/special-topics/water-science-school</x:v>
      </x:c>
      <x:c r="H35" s="26" t="str">
        <x:v>https://www.usgs.gov/information-policies-and-instructions/copyrights-and-credits</x:v>
      </x:c>
      <x:c r="I35" s="26" t="str">
        <x:v>US government public domain with exceptions</x:v>
      </x:c>
      <x:c r="J35" s="26" t="str">
        <x:v>en</x:v>
      </x:c>
      <x:c r="K35" s="26" t="str">
        <x:v>International/reference</x:v>
      </x:c>
      <x:c r="L35" s="26" t="str">
        <x:v>HTML/PDF/images</x:v>
      </x:c>
      <x:c r="M35" s="26" t="str">
        <x:v>archive selected educational pages/items</x:v>
      </x:c>
      <x:c r="N35" s="26" t="str">
        <x:v>L1</x:v>
      </x:c>
      <x:c r="O35" s="26" t="str">
        <x:v>S0_OBSERVE_READ</x:v>
      </x:c>
      <x:c r="P35" s="26" t="str">
        <x:v>ANNUAL_OR_EDITION</x:v>
      </x:c>
      <x:c r="Q35" s="26" t="n">
        <x:v>4</x:v>
      </x:c>
      <x:c r="R35" s="26" t="n">
        <x:v>4</x:v>
      </x:c>
      <x:c r="S35" s="26" t="n">
        <x:v>3</x:v>
      </x:c>
      <x:c r="T35" s="26" t="n">
        <x:v>4</x:v>
      </x:c>
      <x:c r="U35" s="26" t="n">
        <x:v>4</x:v>
      </x:c>
      <x:c r="V35" s="26" t="n">
        <x:v>3</x:v>
      </x:c>
      <x:c r="W35" s="26" t="n">
        <x:v>2</x:v>
      </x:c>
      <x:c r="X35" s="26" t="n">
        <x:v>4</x:v>
      </x:c>
      <x:c r="Y35" s="26" t="n">
        <x:v>1</x:v>
      </x:c>
      <x:c r="Z35" s="26" t="n">
        <x:v>2</x:v>
      </x:c>
      <x:c r="AA35" s="26" t="n">
        <x:v>1</x:v>
      </x:c>
      <x:c r="AB35" s="26" t="str">
        <x:v>CANDIDATE</x:v>
      </x:c>
      <x:c r="AC35" s="26" t="str">
        <x:v>NOT_DOWNLOADED</x:v>
      </x:c>
      <x:c r="AD35" s="26" t="str">
        <x:v>REQUIRES_ITEM_REVIEW</x:v>
      </x:c>
      <x:c r="AE35" s="26" t="str">
        <x:v>NOT_REVIEWED</x:v>
      </x:c>
      <x:c r="AF35" s="26" t="str">
        <x:v>NOT_TESTED</x:v>
      </x:c>
      <x:c r="AG35" s="26" t="str"/>
      <x:c r="AH35" s="26" t="str"/>
      <x:c r="AI35" s="26" t="str"/>
      <x:c r="AJ35" s="26" t="str"/>
      <x:c r="AK35" s="57" t="n">
        <x:f>MAX(0,MIN(100,ROUND(((Q35*'Overview'!$B$18)+(R35*'Overview'!$B$19)+(S35*'Overview'!$B$20)+(T35*'Overview'!$B$21)+(U35*'Overview'!$B$22)+(V35*'Overview'!$B$23)+(W35*'Overview'!$B$24)+(X35*'Overview'!$B$25)-(Y35*'Overview'!$B$26)-(Z35*'Overview'!$B$27)-(AA35*'Overview'!$B$28))/5*100,0)))</x:f>
        <x:v>65</x:v>
      </x:c>
      <x:c r="AL35" s="26" t="str">
        <x:v>Hydrology education; not water-safety certification.</x:v>
      </x:c>
    </x:row>
    <x:row r="36">
      <x:c r="A36" s="53" t="str">
        <x:v>PSP-033</x:v>
      </x:c>
      <x:c r="B36" s="53" t="str">
        <x:v>EARTH</x:v>
      </x:c>
      <x:c r="C36" s="53" t="str">
        <x:v>USGS Publications Warehouse selected handbooks/maps</x:v>
      </x:c>
      <x:c r="D36" s="53" t="str">
        <x:v>US Geological Survey</x:v>
      </x:c>
      <x:c r="E36" s="53" t="str">
        <x:v>Практический источник для групп EARTH</x:v>
      </x:c>
      <x:c r="F36" s="53" t="str">
        <x:v>https://pubs.usgs.gov/</x:v>
      </x:c>
      <x:c r="G36" s="53" t="str">
        <x:v>https://pubs.usgs.gov/</x:v>
      </x:c>
      <x:c r="H36" s="53" t="str">
        <x:v>https://www.usgs.gov/information-policies-and-instructions/copyrights-and-credits</x:v>
      </x:c>
      <x:c r="I36" s="53" t="str">
        <x:v>US government public domain with exceptions</x:v>
      </x:c>
      <x:c r="J36" s="53" t="str">
        <x:v>en</x:v>
      </x:c>
      <x:c r="K36" s="53" t="str">
        <x:v>International/reference</x:v>
      </x:c>
      <x:c r="L36" s="53" t="str">
        <x:v>PDF/data</x:v>
      </x:c>
      <x:c r="M36" s="53" t="str">
        <x:v>per-item download and metadata capture</x:v>
      </x:c>
      <x:c r="N36" s="53" t="str">
        <x:v>L2</x:v>
      </x:c>
      <x:c r="O36" s="53" t="str">
        <x:v>S0_OBSERVE_READ</x:v>
      </x:c>
      <x:c r="P36" s="53" t="str">
        <x:v>ANNUAL_OR_EDITION</x:v>
      </x:c>
      <x:c r="Q36" s="53" t="n">
        <x:v>4</x:v>
      </x:c>
      <x:c r="R36" s="53" t="n">
        <x:v>4</x:v>
      </x:c>
      <x:c r="S36" s="53" t="n">
        <x:v>3</x:v>
      </x:c>
      <x:c r="T36" s="53" t="n">
        <x:v>4</x:v>
      </x:c>
      <x:c r="U36" s="53" t="n">
        <x:v>4</x:v>
      </x:c>
      <x:c r="V36" s="53" t="n">
        <x:v>3</x:v>
      </x:c>
      <x:c r="W36" s="53" t="n">
        <x:v>2</x:v>
      </x:c>
      <x:c r="X36" s="53" t="n">
        <x:v>4</x:v>
      </x:c>
      <x:c r="Y36" s="53" t="n">
        <x:v>1</x:v>
      </x:c>
      <x:c r="Z36" s="53" t="n">
        <x:v>2</x:v>
      </x:c>
      <x:c r="AA36" s="53" t="n">
        <x:v>1</x:v>
      </x:c>
      <x:c r="AB36" s="53" t="str">
        <x:v>CANDIDATE</x:v>
      </x:c>
      <x:c r="AC36" s="53" t="str">
        <x:v>NOT_DOWNLOADED</x:v>
      </x:c>
      <x:c r="AD36" s="53" t="str">
        <x:v>REQUIRES_ITEM_REVIEW</x:v>
      </x:c>
      <x:c r="AE36" s="53" t="str">
        <x:v>NOT_REVIEWED</x:v>
      </x:c>
      <x:c r="AF36" s="53" t="str">
        <x:v>NOT_TESTED</x:v>
      </x:c>
      <x:c r="AG36" s="53" t="str"/>
      <x:c r="AH36" s="53" t="str"/>
      <x:c r="AI36" s="53" t="str"/>
      <x:c r="AJ36" s="53" t="str"/>
      <x:c r="AK36" s="57" t="n">
        <x:f>MAX(0,MIN(100,ROUND(((Q36*'Overview'!$B$18)+(R36*'Overview'!$B$19)+(S36*'Overview'!$B$20)+(T36*'Overview'!$B$21)+(U36*'Overview'!$B$22)+(V36*'Overview'!$B$23)+(W36*'Overview'!$B$24)+(X36*'Overview'!$B$25)-(Y36*'Overview'!$B$26)-(Z36*'Overview'!$B$27)-(AA36*'Overview'!$B$28))/5*100,0)))</x:f>
        <x:v>65</x:v>
      </x:c>
      <x:c r="AL36" s="53" t="str">
        <x:v>Geology, hydrology and hazards; select region-relevant items.</x:v>
      </x:c>
    </x:row>
    <x:row r="37">
      <x:c r="A37" s="26" t="str">
        <x:v>PSP-034</x:v>
      </x:c>
      <x:c r="B37" s="26" t="str">
        <x:v>EARTH|AGRI</x:v>
      </x:c>
      <x:c r="C37" s="26" t="str">
        <x:v>NASA Earthdata selected open datasets and tutorials</x:v>
      </x:c>
      <x:c r="D37" s="26" t="str">
        <x:v>NASA</x:v>
      </x:c>
      <x:c r="E37" s="26" t="str">
        <x:v>Практический источник для групп EARTH|AGRI</x:v>
      </x:c>
      <x:c r="F37" s="26" t="str">
        <x:v>https://www.earthdata.nasa.gov/</x:v>
      </x:c>
      <x:c r="G37" s="26" t="str">
        <x:v>https://www.earthdata.nasa.gov/</x:v>
      </x:c>
      <x:c r="H37" s="26" t="str">
        <x:v>https://www.earthdata.nasa.gov/engage/open-data-services-and-software/data-and-information-policy</x:v>
      </x:c>
      <x:c r="I37" s="26" t="str">
        <x:v>NASA Earth science data policy; dataset-specific terms</x:v>
      </x:c>
      <x:c r="J37" s="26" t="str">
        <x:v>en</x:v>
      </x:c>
      <x:c r="K37" s="26" t="str">
        <x:v>International/reference</x:v>
      </x:c>
      <x:c r="L37" s="26" t="str">
        <x:v>data/GeoTIFF/NetCDF/HTML</x:v>
      </x:c>
      <x:c r="M37" s="26" t="str">
        <x:v>use official download mechanisms; preserve DOI/metadata</x:v>
      </x:c>
      <x:c r="N37" s="26" t="str">
        <x:v>L3</x:v>
      </x:c>
      <x:c r="O37" s="26" t="str">
        <x:v>S0_OBSERVE_READ</x:v>
      </x:c>
      <x:c r="P37" s="26" t="str">
        <x:v>ANNUAL_OR_EDITION</x:v>
      </x:c>
      <x:c r="Q37" s="26" t="n">
        <x:v>4</x:v>
      </x:c>
      <x:c r="R37" s="26" t="n">
        <x:v>4</x:v>
      </x:c>
      <x:c r="S37" s="26" t="n">
        <x:v>3</x:v>
      </x:c>
      <x:c r="T37" s="26" t="n">
        <x:v>4</x:v>
      </x:c>
      <x:c r="U37" s="26" t="n">
        <x:v>4</x:v>
      </x:c>
      <x:c r="V37" s="26" t="n">
        <x:v>3</x:v>
      </x:c>
      <x:c r="W37" s="26" t="n">
        <x:v>2</x:v>
      </x:c>
      <x:c r="X37" s="26" t="n">
        <x:v>4</x:v>
      </x:c>
      <x:c r="Y37" s="26" t="n">
        <x:v>1</x:v>
      </x:c>
      <x:c r="Z37" s="26" t="n">
        <x:v>2</x:v>
      </x:c>
      <x:c r="AA37" s="26" t="n">
        <x:v>1</x:v>
      </x:c>
      <x:c r="AB37" s="26" t="str">
        <x:v>CANDIDATE</x:v>
      </x:c>
      <x:c r="AC37" s="26" t="str">
        <x:v>NOT_DOWNLOADED</x:v>
      </x:c>
      <x:c r="AD37" s="26" t="str">
        <x:v>REQUIRES_ITEM_REVIEW</x:v>
      </x:c>
      <x:c r="AE37" s="26" t="str">
        <x:v>NOT_REVIEWED</x:v>
      </x:c>
      <x:c r="AF37" s="26" t="str">
        <x:v>NOT_TESTED</x:v>
      </x:c>
      <x:c r="AG37" s="26" t="str"/>
      <x:c r="AH37" s="26" t="str"/>
      <x:c r="AI37" s="26" t="str"/>
      <x:c r="AJ37" s="26" t="str"/>
      <x:c r="AK37" s="57" t="n">
        <x:f>MAX(0,MIN(100,ROUND(((Q37*'Overview'!$B$18)+(R37*'Overview'!$B$19)+(S37*'Overview'!$B$20)+(T37*'Overview'!$B$21)+(U37*'Overview'!$B$22)+(V37*'Overview'!$B$23)+(W37*'Overview'!$B$24)+(X37*'Overview'!$B$25)-(Y37*'Overview'!$B$26)-(Z37*'Overview'!$B$27)-(AA37*'Overview'!$B$28))/5*100,0)))</x:f>
        <x:v>65</x:v>
      </x:c>
      <x:c r="AL37" s="26" t="str">
        <x:v>Remote sensing and climate; may require account/tooling.</x:v>
      </x:c>
    </x:row>
    <x:row r="38">
      <x:c r="A38" s="53" t="str">
        <x:v>PSP-035</x:v>
      </x:c>
      <x:c r="B38" s="53" t="str">
        <x:v>EARTH</x:v>
      </x:c>
      <x:c r="C38" s="53" t="str">
        <x:v>NOAA Climate Data Online and educational references</x:v>
      </x:c>
      <x:c r="D38" s="53" t="str">
        <x:v>NOAA/NCEI</x:v>
      </x:c>
      <x:c r="E38" s="53" t="str">
        <x:v>Практический источник для групп EARTH</x:v>
      </x:c>
      <x:c r="F38" s="53" t="str">
        <x:v>https://www.ncei.noaa.gov/cdo-web/</x:v>
      </x:c>
      <x:c r="G38" s="53" t="str">
        <x:v>https://www.ncei.noaa.gov/cdo-web/</x:v>
      </x:c>
      <x:c r="H38" s="53" t="str">
        <x:v>https://www.noaa.gov/information-technology/open-data-dissemination</x:v>
      </x:c>
      <x:c r="I38" s="53" t="str">
        <x:v>US government data with dataset exceptions</x:v>
      </x:c>
      <x:c r="J38" s="53" t="str">
        <x:v>en</x:v>
      </x:c>
      <x:c r="K38" s="53" t="str">
        <x:v>International/reference</x:v>
      </x:c>
      <x:c r="L38" s="53" t="str">
        <x:v>CSV/data/HTML</x:v>
      </x:c>
      <x:c r="M38" s="53" t="str">
        <x:v>download selected stations/periods and metadata</x:v>
      </x:c>
      <x:c r="N38" s="53" t="str">
        <x:v>L3</x:v>
      </x:c>
      <x:c r="O38" s="53" t="str">
        <x:v>S0_OBSERVE_READ</x:v>
      </x:c>
      <x:c r="P38" s="53" t="str">
        <x:v>ANNUAL_OR_EDITION</x:v>
      </x:c>
      <x:c r="Q38" s="53" t="n">
        <x:v>4</x:v>
      </x:c>
      <x:c r="R38" s="53" t="n">
        <x:v>4</x:v>
      </x:c>
      <x:c r="S38" s="53" t="n">
        <x:v>3</x:v>
      </x:c>
      <x:c r="T38" s="53" t="n">
        <x:v>4</x:v>
      </x:c>
      <x:c r="U38" s="53" t="n">
        <x:v>4</x:v>
      </x:c>
      <x:c r="V38" s="53" t="n">
        <x:v>3</x:v>
      </x:c>
      <x:c r="W38" s="53" t="n">
        <x:v>2</x:v>
      </x:c>
      <x:c r="X38" s="53" t="n">
        <x:v>4</x:v>
      </x:c>
      <x:c r="Y38" s="53" t="n">
        <x:v>1</x:v>
      </x:c>
      <x:c r="Z38" s="53" t="n">
        <x:v>2</x:v>
      </x:c>
      <x:c r="AA38" s="53" t="n">
        <x:v>1</x:v>
      </x:c>
      <x:c r="AB38" s="53" t="str">
        <x:v>CANDIDATE</x:v>
      </x:c>
      <x:c r="AC38" s="53" t="str">
        <x:v>NOT_DOWNLOADED</x:v>
      </x:c>
      <x:c r="AD38" s="53" t="str">
        <x:v>REQUIRES_ITEM_REVIEW</x:v>
      </x:c>
      <x:c r="AE38" s="53" t="str">
        <x:v>NOT_REVIEWED</x:v>
      </x:c>
      <x:c r="AF38" s="53" t="str">
        <x:v>NOT_TESTED</x:v>
      </x:c>
      <x:c r="AG38" s="53" t="str"/>
      <x:c r="AH38" s="53" t="str"/>
      <x:c r="AI38" s="53" t="str"/>
      <x:c r="AJ38" s="53" t="str"/>
      <x:c r="AK38" s="57" t="n">
        <x:f>MAX(0,MIN(100,ROUND(((Q38*'Overview'!$B$18)+(R38*'Overview'!$B$19)+(S38*'Overview'!$B$20)+(T38*'Overview'!$B$21)+(U38*'Overview'!$B$22)+(V38*'Overview'!$B$23)+(W38*'Overview'!$B$24)+(X38*'Overview'!$B$25)-(Y38*'Overview'!$B$26)-(Z38*'Overview'!$B$27)-(AA38*'Overview'!$B$28))/5*100,0)))</x:f>
        <x:v>65</x:v>
      </x:c>
      <x:c r="AL38" s="53" t="str">
        <x:v>Historical climate reference; not local live warning.</x:v>
      </x:c>
    </x:row>
    <x:row r="39">
      <x:c r="A39" s="26" t="str">
        <x:v>PSP-036</x:v>
      </x:c>
      <x:c r="B39" s="26" t="str">
        <x:v>EARTH|PORT</x:v>
      </x:c>
      <x:c r="C39" s="26" t="str">
        <x:v>Copernicus Climate Data Store</x:v>
      </x:c>
      <x:c r="D39" s="26" t="str">
        <x:v>ECMWF/Copernicus</x:v>
      </x:c>
      <x:c r="E39" s="26" t="str">
        <x:v>Практический источник для групп EARTH|PORT</x:v>
      </x:c>
      <x:c r="F39" s="26" t="str">
        <x:v>https://cds.climate.copernicus.eu/</x:v>
      </x:c>
      <x:c r="G39" s="26" t="str">
        <x:v>https://cds.climate.copernicus.eu/</x:v>
      </x:c>
      <x:c r="H39" s="26" t="str">
        <x:v>https://cds.climate.copernicus.eu/terms-of-use</x:v>
      </x:c>
      <x:c r="I39" s="26" t="str">
        <x:v>Copernicus licence/attribution and dataset terms</x:v>
      </x:c>
      <x:c r="J39" s="26" t="str">
        <x:v>en</x:v>
      </x:c>
      <x:c r="K39" s="26" t="str">
        <x:v>Portugal/EU</x:v>
      </x:c>
      <x:c r="L39" s="26" t="str">
        <x:v>NetCDF/GRIB/CSV</x:v>
      </x:c>
      <x:c r="M39" s="26" t="str">
        <x:v>official API/manual subset export</x:v>
      </x:c>
      <x:c r="N39" s="26" t="str">
        <x:v>L3</x:v>
      </x:c>
      <x:c r="O39" s="26" t="str">
        <x:v>S0_OBSERVE_READ</x:v>
      </x:c>
      <x:c r="P39" s="26" t="str">
        <x:v>ANNUAL_OR_EDITION</x:v>
      </x:c>
      <x:c r="Q39" s="26" t="n">
        <x:v>4</x:v>
      </x:c>
      <x:c r="R39" s="26" t="n">
        <x:v>4</x:v>
      </x:c>
      <x:c r="S39" s="26" t="n">
        <x:v>3</x:v>
      </x:c>
      <x:c r="T39" s="26" t="n">
        <x:v>4</x:v>
      </x:c>
      <x:c r="U39" s="26" t="n">
        <x:v>4</x:v>
      </x:c>
      <x:c r="V39" s="26" t="n">
        <x:v>3</x:v>
      </x:c>
      <x:c r="W39" s="26" t="n">
        <x:v>2</x:v>
      </x:c>
      <x:c r="X39" s="26" t="n">
        <x:v>4</x:v>
      </x:c>
      <x:c r="Y39" s="26" t="n">
        <x:v>1</x:v>
      </x:c>
      <x:c r="Z39" s="26" t="n">
        <x:v>2</x:v>
      </x:c>
      <x:c r="AA39" s="26" t="n">
        <x:v>1</x:v>
      </x:c>
      <x:c r="AB39" s="26" t="str">
        <x:v>CANDIDATE</x:v>
      </x:c>
      <x:c r="AC39" s="26" t="str">
        <x:v>NOT_DOWNLOADED</x:v>
      </x:c>
      <x:c r="AD39" s="26" t="str">
        <x:v>REQUIRES_ITEM_REVIEW</x:v>
      </x:c>
      <x:c r="AE39" s="26" t="str">
        <x:v>NOT_REVIEWED</x:v>
      </x:c>
      <x:c r="AF39" s="26" t="str">
        <x:v>NOT_TESTED</x:v>
      </x:c>
      <x:c r="AG39" s="26" t="str"/>
      <x:c r="AH39" s="26" t="str"/>
      <x:c r="AI39" s="26" t="str"/>
      <x:c r="AJ39" s="26" t="str"/>
      <x:c r="AK39" s="57" t="n">
        <x:f>MAX(0,MIN(100,ROUND(((Q39*'Overview'!$B$18)+(R39*'Overview'!$B$19)+(S39*'Overview'!$B$20)+(T39*'Overview'!$B$21)+(U39*'Overview'!$B$22)+(V39*'Overview'!$B$23)+(W39*'Overview'!$B$24)+(X39*'Overview'!$B$25)-(Y39*'Overview'!$B$26)-(Z39*'Overview'!$B$27)-(AA39*'Overview'!$B$28))/5*100,0)))</x:f>
        <x:v>65</x:v>
      </x:c>
      <x:c r="AL39" s="26" t="str">
        <x:v>Climate reanalysis and derived datasets.</x:v>
      </x:c>
    </x:row>
    <x:row r="40">
      <x:c r="A40" s="53" t="str">
        <x:v>PSP-037</x:v>
      </x:c>
      <x:c r="B40" s="53" t="str">
        <x:v>EARTH|PORT</x:v>
      </x:c>
      <x:c r="C40" s="53" t="str">
        <x:v>Copernicus Emergency Management Service data</x:v>
      </x:c>
      <x:c r="D40" s="53" t="str">
        <x:v>European Commission/JRC</x:v>
      </x:c>
      <x:c r="E40" s="53" t="str">
        <x:v>Практический источник для групп EARTH|PORT</x:v>
      </x:c>
      <x:c r="F40" s="53" t="str">
        <x:v>https://emergency.copernicus.eu/</x:v>
      </x:c>
      <x:c r="G40" s="53" t="str">
        <x:v>https://emergency.copernicus.eu/</x:v>
      </x:c>
      <x:c r="H40" s="53" t="str">
        <x:v>https://emergency.copernicus.eu/mapping/ems/terms-and-conditions</x:v>
      </x:c>
      <x:c r="I40" s="53" t="str">
        <x:v>Copernicus terms and attribution</x:v>
      </x:c>
      <x:c r="J40" s="53" t="str">
        <x:v>en</x:v>
      </x:c>
      <x:c r="K40" s="53" t="str">
        <x:v>Portugal/EU</x:v>
      </x:c>
      <x:c r="L40" s="53" t="str">
        <x:v>maps/data</x:v>
      </x:c>
      <x:c r="M40" s="53" t="str">
        <x:v>download published activations/products per terms</x:v>
      </x:c>
      <x:c r="N40" s="53" t="str">
        <x:v>L2</x:v>
      </x:c>
      <x:c r="O40" s="53" t="str">
        <x:v>S0_OBSERVE_READ</x:v>
      </x:c>
      <x:c r="P40" s="53" t="str">
        <x:v>ANNUAL_OR_EDITION</x:v>
      </x:c>
      <x:c r="Q40" s="53" t="n">
        <x:v>4</x:v>
      </x:c>
      <x:c r="R40" s="53" t="n">
        <x:v>4</x:v>
      </x:c>
      <x:c r="S40" s="53" t="n">
        <x:v>3</x:v>
      </x:c>
      <x:c r="T40" s="53" t="n">
        <x:v>4</x:v>
      </x:c>
      <x:c r="U40" s="53" t="n">
        <x:v>4</x:v>
      </x:c>
      <x:c r="V40" s="53" t="n">
        <x:v>3</x:v>
      </x:c>
      <x:c r="W40" s="53" t="n">
        <x:v>2</x:v>
      </x:c>
      <x:c r="X40" s="53" t="n">
        <x:v>4</x:v>
      </x:c>
      <x:c r="Y40" s="53" t="n">
        <x:v>1</x:v>
      </x:c>
      <x:c r="Z40" s="53" t="n">
        <x:v>2</x:v>
      </x:c>
      <x:c r="AA40" s="53" t="n">
        <x:v>1</x:v>
      </x:c>
      <x:c r="AB40" s="53" t="str">
        <x:v>CANDIDATE</x:v>
      </x:c>
      <x:c r="AC40" s="53" t="str">
        <x:v>NOT_DOWNLOADED</x:v>
      </x:c>
      <x:c r="AD40" s="53" t="str">
        <x:v>REQUIRES_ITEM_REVIEW</x:v>
      </x:c>
      <x:c r="AE40" s="53" t="str">
        <x:v>NOT_REVIEWED</x:v>
      </x:c>
      <x:c r="AF40" s="53" t="str">
        <x:v>NOT_TESTED</x:v>
      </x:c>
      <x:c r="AG40" s="53" t="str"/>
      <x:c r="AH40" s="53" t="str"/>
      <x:c r="AI40" s="53" t="str"/>
      <x:c r="AJ40" s="53" t="str"/>
      <x:c r="AK40" s="57" t="n">
        <x:f>MAX(0,MIN(100,ROUND(((Q40*'Overview'!$B$18)+(R40*'Overview'!$B$19)+(S40*'Overview'!$B$20)+(T40*'Overview'!$B$21)+(U40*'Overview'!$B$22)+(V40*'Overview'!$B$23)+(W40*'Overview'!$B$24)+(X40*'Overview'!$B$25)-(Y40*'Overview'!$B$26)-(Z40*'Overview'!$B$27)-(AA40*'Overview'!$B$28))/5*100,0)))</x:f>
        <x:v>65</x:v>
      </x:c>
      <x:c r="AL40" s="53" t="str">
        <x:v>Historical/reference products; not replacement for current authorities.</x:v>
      </x:c>
    </x:row>
    <x:row r="41">
      <x:c r="A41" s="26" t="str">
        <x:v>PSP-038</x:v>
      </x:c>
      <x:c r="B41" s="26" t="str">
        <x:v>EARTH|PORT</x:v>
      </x:c>
      <x:c r="C41" s="26" t="str">
        <x:v>European Environment Agency datasets</x:v>
      </x:c>
      <x:c r="D41" s="26" t="str">
        <x:v>EEA</x:v>
      </x:c>
      <x:c r="E41" s="26" t="str">
        <x:v>Практический источник для групп EARTH|PORT</x:v>
      </x:c>
      <x:c r="F41" s="26" t="str">
        <x:v>https://www.eea.europa.eu/en/datahub</x:v>
      </x:c>
      <x:c r="G41" s="26" t="str">
        <x:v>https://www.eea.europa.eu/en/datahub</x:v>
      </x:c>
      <x:c r="H41" s="26" t="str">
        <x:v>https://www.eea.europa.eu/en/legal-notice</x:v>
      </x:c>
      <x:c r="I41" s="26" t="str">
        <x:v>EEA reuse/legal notice; third-party exceptions</x:v>
      </x:c>
      <x:c r="J41" s="26" t="str">
        <x:v>en</x:v>
      </x:c>
      <x:c r="K41" s="26" t="str">
        <x:v>Portugal/EU</x:v>
      </x:c>
      <x:c r="L41" s="26" t="str">
        <x:v>CSV/GIS/API/PDF</x:v>
      </x:c>
      <x:c r="M41" s="26" t="str">
        <x:v>per-dataset export and metadata capture</x:v>
      </x:c>
      <x:c r="N41" s="26" t="str">
        <x:v>L3</x:v>
      </x:c>
      <x:c r="O41" s="26" t="str">
        <x:v>S0_OBSERVE_READ</x:v>
      </x:c>
      <x:c r="P41" s="26" t="str">
        <x:v>ANNUAL_OR_EDITION</x:v>
      </x:c>
      <x:c r="Q41" s="26" t="n">
        <x:v>4</x:v>
      </x:c>
      <x:c r="R41" s="26" t="n">
        <x:v>4</x:v>
      </x:c>
      <x:c r="S41" s="26" t="n">
        <x:v>3</x:v>
      </x:c>
      <x:c r="T41" s="26" t="n">
        <x:v>4</x:v>
      </x:c>
      <x:c r="U41" s="26" t="n">
        <x:v>4</x:v>
      </x:c>
      <x:c r="V41" s="26" t="n">
        <x:v>3</x:v>
      </x:c>
      <x:c r="W41" s="26" t="n">
        <x:v>2</x:v>
      </x:c>
      <x:c r="X41" s="26" t="n">
        <x:v>4</x:v>
      </x:c>
      <x:c r="Y41" s="26" t="n">
        <x:v>1</x:v>
      </x:c>
      <x:c r="Z41" s="26" t="n">
        <x:v>2</x:v>
      </x:c>
      <x:c r="AA41" s="26" t="n">
        <x:v>1</x:v>
      </x:c>
      <x:c r="AB41" s="26" t="str">
        <x:v>CANDIDATE</x:v>
      </x:c>
      <x:c r="AC41" s="26" t="str">
        <x:v>NOT_DOWNLOADED</x:v>
      </x:c>
      <x:c r="AD41" s="26" t="str">
        <x:v>REQUIRES_ITEM_REVIEW</x:v>
      </x:c>
      <x:c r="AE41" s="26" t="str">
        <x:v>NOT_REVIEWED</x:v>
      </x:c>
      <x:c r="AF41" s="26" t="str">
        <x:v>NOT_TESTED</x:v>
      </x:c>
      <x:c r="AG41" s="26" t="str"/>
      <x:c r="AH41" s="26" t="str"/>
      <x:c r="AI41" s="26" t="str"/>
      <x:c r="AJ41" s="26" t="str"/>
      <x:c r="AK41" s="57" t="n">
        <x:f>MAX(0,MIN(100,ROUND(((Q41*'Overview'!$B$18)+(R41*'Overview'!$B$19)+(S41*'Overview'!$B$20)+(T41*'Overview'!$B$21)+(U41*'Overview'!$B$22)+(V41*'Overview'!$B$23)+(W41*'Overview'!$B$24)+(X41*'Overview'!$B$25)-(Y41*'Overview'!$B$26)-(Z41*'Overview'!$B$27)-(AA41*'Overview'!$B$28))/5*100,0)))</x:f>
        <x:v>65</x:v>
      </x:c>
      <x:c r="AL41" s="26" t="str">
        <x:v>European environment indicators and spatial data.</x:v>
      </x:c>
    </x:row>
    <x:row r="42">
      <x:c r="A42" s="53" t="str">
        <x:v>PSP-039</x:v>
      </x:c>
      <x:c r="B42" s="53" t="str">
        <x:v>EARTH|PORT</x:v>
      </x:c>
      <x:c r="C42" s="53" t="str">
        <x:v>ESA Earth observation education and data guides</x:v>
      </x:c>
      <x:c r="D42" s="53" t="str">
        <x:v>European Space Agency</x:v>
      </x:c>
      <x:c r="E42" s="53" t="str">
        <x:v>Практический источник для групп EARTH|PORT</x:v>
      </x:c>
      <x:c r="F42" s="53" t="str">
        <x:v>https://earth.esa.int/eogateway/</x:v>
      </x:c>
      <x:c r="G42" s="53" t="str">
        <x:v>https://earth.esa.int/eogateway/</x:v>
      </x:c>
      <x:c r="H42" s="53" t="str">
        <x:v>https://www.esa.int/Terms_and_Conditions</x:v>
      </x:c>
      <x:c r="I42" s="53" t="str">
        <x:v>ESA terms; item/mission review</x:v>
      </x:c>
      <x:c r="J42" s="53" t="str">
        <x:v>en</x:v>
      </x:c>
      <x:c r="K42" s="53" t="str">
        <x:v>Portugal/EU</x:v>
      </x:c>
      <x:c r="L42" s="53" t="str">
        <x:v>HTML/PDF/data links</x:v>
      </x:c>
      <x:c r="M42" s="53" t="str">
        <x:v>archive allowed guides; data per mission terms</x:v>
      </x:c>
      <x:c r="N42" s="53" t="str">
        <x:v>L2</x:v>
      </x:c>
      <x:c r="O42" s="53" t="str">
        <x:v>S0_OBSERVE_READ</x:v>
      </x:c>
      <x:c r="P42" s="53" t="str">
        <x:v>ANNUAL_OR_EDITION</x:v>
      </x:c>
      <x:c r="Q42" s="53" t="n">
        <x:v>4</x:v>
      </x:c>
      <x:c r="R42" s="53" t="n">
        <x:v>4</x:v>
      </x:c>
      <x:c r="S42" s="53" t="n">
        <x:v>3</x:v>
      </x:c>
      <x:c r="T42" s="53" t="n">
        <x:v>4</x:v>
      </x:c>
      <x:c r="U42" s="53" t="n">
        <x:v>4</x:v>
      </x:c>
      <x:c r="V42" s="53" t="n">
        <x:v>3</x:v>
      </x:c>
      <x:c r="W42" s="53" t="n">
        <x:v>2</x:v>
      </x:c>
      <x:c r="X42" s="53" t="n">
        <x:v>4</x:v>
      </x:c>
      <x:c r="Y42" s="53" t="n">
        <x:v>1</x:v>
      </x:c>
      <x:c r="Z42" s="53" t="n">
        <x:v>2</x:v>
      </x:c>
      <x:c r="AA42" s="53" t="n">
        <x:v>1</x:v>
      </x:c>
      <x:c r="AB42" s="53" t="str">
        <x:v>CANDIDATE</x:v>
      </x:c>
      <x:c r="AC42" s="53" t="str">
        <x:v>NOT_DOWNLOADED</x:v>
      </x:c>
      <x:c r="AD42" s="53" t="str">
        <x:v>REQUIRES_ITEM_REVIEW</x:v>
      </x:c>
      <x:c r="AE42" s="53" t="str">
        <x:v>NOT_REVIEWED</x:v>
      </x:c>
      <x:c r="AF42" s="53" t="str">
        <x:v>NOT_TESTED</x:v>
      </x:c>
      <x:c r="AG42" s="53" t="str"/>
      <x:c r="AH42" s="53" t="str"/>
      <x:c r="AI42" s="53" t="str"/>
      <x:c r="AJ42" s="53" t="str"/>
      <x:c r="AK42" s="57" t="n">
        <x:f>MAX(0,MIN(100,ROUND(((Q42*'Overview'!$B$18)+(R42*'Overview'!$B$19)+(S42*'Overview'!$B$20)+(T42*'Overview'!$B$21)+(U42*'Overview'!$B$22)+(V42*'Overview'!$B$23)+(W42*'Overview'!$B$24)+(X42*'Overview'!$B$25)-(Y42*'Overview'!$B$26)-(Z42*'Overview'!$B$27)-(AA42*'Overview'!$B$28))/5*100,0)))</x:f>
        <x:v>65</x:v>
      </x:c>
      <x:c r="AL42" s="53" t="str">
        <x:v>Earth observation methods and mission documentation.</x:v>
      </x:c>
    </x:row>
    <x:row r="43">
      <x:c r="A43" s="26" t="str">
        <x:v>PSP-040</x:v>
      </x:c>
      <x:c r="B43" s="26" t="str">
        <x:v>EARTH|PORT</x:v>
      </x:c>
      <x:c r="C43" s="26" t="str">
        <x:v>WMO guides and manuals catalog</x:v>
      </x:c>
      <x:c r="D43" s="26" t="str">
        <x:v>World Meteorological Organization</x:v>
      </x:c>
      <x:c r="E43" s="26" t="str">
        <x:v>Практический источник для групп EARTH|PORT</x:v>
      </x:c>
      <x:c r="F43" s="26" t="str">
        <x:v>https://library.wmo.int/</x:v>
      </x:c>
      <x:c r="G43" s="26" t="str">
        <x:v>https://library.wmo.int/</x:v>
      </x:c>
      <x:c r="H43" s="26" t="str">
        <x:v>https://public.wmo.int/en/copyright-notice</x:v>
      </x:c>
      <x:c r="I43" s="26" t="str">
        <x:v>WMO copyright/item terms</x:v>
      </x:c>
      <x:c r="J43" s="26" t="str">
        <x:v>en|fr|es|ru</x:v>
      </x:c>
      <x:c r="K43" s="26" t="str">
        <x:v>Portugal/EU</x:v>
      </x:c>
      <x:c r="L43" s="26" t="str">
        <x:v>PDF/metadata</x:v>
      </x:c>
      <x:c r="M43" s="26" t="str">
        <x:v>per-item download after license notice review</x:v>
      </x:c>
      <x:c r="N43" s="26" t="str">
        <x:v>L2</x:v>
      </x:c>
      <x:c r="O43" s="26" t="str">
        <x:v>S2_TRAINED_SUPERVISED</x:v>
      </x:c>
      <x:c r="P43" s="26" t="str">
        <x:v>ANNUAL_OR_EDITION</x:v>
      </x:c>
      <x:c r="Q43" s="26" t="n">
        <x:v>4</x:v>
      </x:c>
      <x:c r="R43" s="26" t="n">
        <x:v>4</x:v>
      </x:c>
      <x:c r="S43" s="26" t="n">
        <x:v>3</x:v>
      </x:c>
      <x:c r="T43" s="26" t="n">
        <x:v>4</x:v>
      </x:c>
      <x:c r="U43" s="26" t="n">
        <x:v>4</x:v>
      </x:c>
      <x:c r="V43" s="26" t="n">
        <x:v>3</x:v>
      </x:c>
      <x:c r="W43" s="26" t="n">
        <x:v>2</x:v>
      </x:c>
      <x:c r="X43" s="26" t="n">
        <x:v>4</x:v>
      </x:c>
      <x:c r="Y43" s="26" t="n">
        <x:v>2</x:v>
      </x:c>
      <x:c r="Z43" s="26" t="n">
        <x:v>2</x:v>
      </x:c>
      <x:c r="AA43" s="26" t="n">
        <x:v>1</x:v>
      </x:c>
      <x:c r="AB43" s="26" t="str">
        <x:v>CANDIDATE</x:v>
      </x:c>
      <x:c r="AC43" s="26" t="str">
        <x:v>NOT_DOWNLOADED</x:v>
      </x:c>
      <x:c r="AD43" s="26" t="str">
        <x:v>REQUIRES_ITEM_REVIEW</x:v>
      </x:c>
      <x:c r="AE43" s="26" t="str">
        <x:v>NOT_REVIEWED</x:v>
      </x:c>
      <x:c r="AF43" s="26" t="str">
        <x:v>NOT_TESTED</x:v>
      </x:c>
      <x:c r="AG43" s="26" t="str"/>
      <x:c r="AH43" s="26" t="str"/>
      <x:c r="AI43" s="26" t="str"/>
      <x:c r="AJ43" s="26" t="str"/>
      <x:c r="AK43" s="57" t="n">
        <x:f>MAX(0,MIN(100,ROUND(((Q43*'Overview'!$B$18)+(R43*'Overview'!$B$19)+(S43*'Overview'!$B$20)+(T43*'Overview'!$B$21)+(U43*'Overview'!$B$22)+(V43*'Overview'!$B$23)+(W43*'Overview'!$B$24)+(X43*'Overview'!$B$25)-(Y43*'Overview'!$B$26)-(Z43*'Overview'!$B$27)-(AA43*'Overview'!$B$28))/5*100,0)))</x:f>
        <x:v>62</x:v>
      </x:c>
      <x:c r="AL43" s="26" t="str">
        <x:v>Meteorological observation and climatology; professional procedures gated.</x:v>
      </x:c>
    </x:row>
    <x:row r="44">
      <x:c r="A44" s="53" t="str">
        <x:v>PSP-041</x:v>
      </x:c>
      <x:c r="B44" s="53" t="str">
        <x:v>AGRI|LIFE|EARTH</x:v>
      </x:c>
      <x:c r="C44" s="53" t="str">
        <x:v>FAO Knowledge Repository selected manuals</x:v>
      </x:c>
      <x:c r="D44" s="53" t="str">
        <x:v>FAO</x:v>
      </x:c>
      <x:c r="E44" s="53" t="str">
        <x:v>Практический источник для групп AGRI|LIFE|EARTH</x:v>
      </x:c>
      <x:c r="F44" s="53" t="str">
        <x:v>https://openknowledge.fao.org/</x:v>
      </x:c>
      <x:c r="G44" s="53" t="str">
        <x:v>https://openknowledge.fao.org/</x:v>
      </x:c>
      <x:c r="H44" s="53" t="str">
        <x:v>https://www.fao.org/publications/about-fao-publishing/permissions/</x:v>
      </x:c>
      <x:c r="I44" s="53" t="str">
        <x:v>license per publication; many use CC BY-NC-SA 3.0 IGO</x:v>
      </x:c>
      <x:c r="J44" s="53" t="str">
        <x:v>multi</x:v>
      </x:c>
      <x:c r="K44" s="53" t="str">
        <x:v>International/reference</x:v>
      </x:c>
      <x:c r="L44" s="53" t="str">
        <x:v>PDF/metadata</x:v>
      </x:c>
      <x:c r="M44" s="53" t="str">
        <x:v>per-item PDF acquisition and license capture</x:v>
      </x:c>
      <x:c r="N44" s="53" t="str">
        <x:v>L2</x:v>
      </x:c>
      <x:c r="O44" s="53" t="str">
        <x:v>S2_TRAINED_SUPERVISED</x:v>
      </x:c>
      <x:c r="P44" s="53" t="str">
        <x:v>ANNUAL_OR_EDITION</x:v>
      </x:c>
      <x:c r="Q44" s="53" t="n">
        <x:v>4</x:v>
      </x:c>
      <x:c r="R44" s="53" t="n">
        <x:v>4</x:v>
      </x:c>
      <x:c r="S44" s="53" t="n">
        <x:v>3</x:v>
      </x:c>
      <x:c r="T44" s="53" t="n">
        <x:v>4</x:v>
      </x:c>
      <x:c r="U44" s="53" t="n">
        <x:v>4</x:v>
      </x:c>
      <x:c r="V44" s="53" t="n">
        <x:v>3</x:v>
      </x:c>
      <x:c r="W44" s="53" t="n">
        <x:v>2</x:v>
      </x:c>
      <x:c r="X44" s="53" t="n">
        <x:v>4</x:v>
      </x:c>
      <x:c r="Y44" s="53" t="n">
        <x:v>2</x:v>
      </x:c>
      <x:c r="Z44" s="53" t="n">
        <x:v>2</x:v>
      </x:c>
      <x:c r="AA44" s="53" t="n">
        <x:v>1</x:v>
      </x:c>
      <x:c r="AB44" s="53" t="str">
        <x:v>CANDIDATE</x:v>
      </x:c>
      <x:c r="AC44" s="53" t="str">
        <x:v>NOT_DOWNLOADED</x:v>
      </x:c>
      <x:c r="AD44" s="53" t="str">
        <x:v>REQUIRES_ITEM_REVIEW</x:v>
      </x:c>
      <x:c r="AE44" s="53" t="str">
        <x:v>NOT_REVIEWED</x:v>
      </x:c>
      <x:c r="AF44" s="53" t="str">
        <x:v>NOT_TESTED</x:v>
      </x:c>
      <x:c r="AG44" s="53" t="str"/>
      <x:c r="AH44" s="53" t="str"/>
      <x:c r="AI44" s="53" t="str"/>
      <x:c r="AJ44" s="53" t="str"/>
      <x:c r="AK44" s="57" t="n">
        <x:f>MAX(0,MIN(100,ROUND(((Q44*'Overview'!$B$18)+(R44*'Overview'!$B$19)+(S44*'Overview'!$B$20)+(T44*'Overview'!$B$21)+(U44*'Overview'!$B$22)+(V44*'Overview'!$B$23)+(W44*'Overview'!$B$24)+(X44*'Overview'!$B$25)-(Y44*'Overview'!$B$26)-(Z44*'Overview'!$B$27)-(AA44*'Overview'!$B$28))/5*100,0)))</x:f>
        <x:v>62</x:v>
      </x:c>
      <x:c r="AL44" s="53" t="str">
        <x:v>Agriculture, food, forestry, water and rural systems.</x:v>
      </x:c>
    </x:row>
    <x:row r="45">
      <x:c r="A45" s="26" t="str">
        <x:v>PSP-042</x:v>
      </x:c>
      <x:c r="B45" s="26" t="str">
        <x:v>AGRI|LIFE</x:v>
      </x:c>
      <x:c r="C45" s="26" t="str">
        <x:v>AGRIS Open Data dump</x:v>
      </x:c>
      <x:c r="D45" s="26" t="str">
        <x:v>FAO</x:v>
      </x:c>
      <x:c r="E45" s="26" t="str">
        <x:v>Практический источник для групп AGRI|LIFE</x:v>
      </x:c>
      <x:c r="F45" s="26" t="str">
        <x:v>https://www.fao.org/agris/download</x:v>
      </x:c>
      <x:c r="G45" s="26" t="str">
        <x:v>https://www.fao.org/agris/download</x:v>
      </x:c>
      <x:c r="H45" s="26" t="str">
        <x:v>https://www.fao.org/agris/download</x:v>
      </x:c>
      <x:c r="I45" s="26" t="str">
        <x:v>CC BY 3.0 IGO stated for AGRIS dataset; verify release</x:v>
      </x:c>
      <x:c r="J45" s="26" t="str">
        <x:v>multi</x:v>
      </x:c>
      <x:c r="K45" s="26" t="str">
        <x:v>International/reference</x:v>
      </x:c>
      <x:c r="L45" s="26" t="str">
        <x:v>RDF/XML/CSV</x:v>
      </x:c>
      <x:c r="M45" s="26" t="str">
        <x:v>official bulk dump and checksum if published</x:v>
      </x:c>
      <x:c r="N45" s="26" t="str">
        <x:v>L3</x:v>
      </x:c>
      <x:c r="O45" s="26" t="str">
        <x:v>S0_OBSERVE_READ</x:v>
      </x:c>
      <x:c r="P45" s="26" t="str">
        <x:v>ANNUAL_OR_EDITION</x:v>
      </x:c>
      <x:c r="Q45" s="26" t="n">
        <x:v>4</x:v>
      </x:c>
      <x:c r="R45" s="26" t="n">
        <x:v>4</x:v>
      </x:c>
      <x:c r="S45" s="26" t="n">
        <x:v>3</x:v>
      </x:c>
      <x:c r="T45" s="26" t="n">
        <x:v>4</x:v>
      </x:c>
      <x:c r="U45" s="26" t="n">
        <x:v>4</x:v>
      </x:c>
      <x:c r="V45" s="26" t="n">
        <x:v>3</x:v>
      </x:c>
      <x:c r="W45" s="26" t="n">
        <x:v>2</x:v>
      </x:c>
      <x:c r="X45" s="26" t="n">
        <x:v>4</x:v>
      </x:c>
      <x:c r="Y45" s="26" t="n">
        <x:v>1</x:v>
      </x:c>
      <x:c r="Z45" s="26" t="n">
        <x:v>2</x:v>
      </x:c>
      <x:c r="AA45" s="26" t="n">
        <x:v>1</x:v>
      </x:c>
      <x:c r="AB45" s="26" t="str">
        <x:v>CANDIDATE</x:v>
      </x:c>
      <x:c r="AC45" s="26" t="str">
        <x:v>NOT_DOWNLOADED</x:v>
      </x:c>
      <x:c r="AD45" s="26" t="str">
        <x:v>REQUIRES_ITEM_REVIEW</x:v>
      </x:c>
      <x:c r="AE45" s="26" t="str">
        <x:v>NOT_REVIEWED</x:v>
      </x:c>
      <x:c r="AF45" s="26" t="str">
        <x:v>NOT_TESTED</x:v>
      </x:c>
      <x:c r="AG45" s="26" t="str"/>
      <x:c r="AH45" s="26" t="str"/>
      <x:c r="AI45" s="26" t="str"/>
      <x:c r="AJ45" s="26" t="str"/>
      <x:c r="AK45" s="57" t="n">
        <x:f>MAX(0,MIN(100,ROUND(((Q45*'Overview'!$B$18)+(R45*'Overview'!$B$19)+(S45*'Overview'!$B$20)+(T45*'Overview'!$B$21)+(U45*'Overview'!$B$22)+(V45*'Overview'!$B$23)+(W45*'Overview'!$B$24)+(X45*'Overview'!$B$25)-(Y45*'Overview'!$B$26)-(Z45*'Overview'!$B$27)-(AA45*'Overview'!$B$28))/5*100,0)))</x:f>
        <x:v>65</x:v>
      </x:c>
      <x:c r="AL45" s="26" t="str">
        <x:v>Discovery metadata; linked full texts retain their own rights.</x:v>
      </x:c>
    </x:row>
    <x:row r="46">
      <x:c r="A46" s="53" t="str">
        <x:v>PSP-043</x:v>
      </x:c>
      <x:c r="B46" s="53" t="str">
        <x:v>AGRI|EDU|PORT</x:v>
      </x:c>
      <x:c r="C46" s="53" t="str">
        <x:v>AGROVOC multilingual vocabulary</x:v>
      </x:c>
      <x:c r="D46" s="53" t="str">
        <x:v>FAO</x:v>
      </x:c>
      <x:c r="E46" s="53" t="str">
        <x:v>Практический источник для групп AGRI|EDU|PORT</x:v>
      </x:c>
      <x:c r="F46" s="53" t="str">
        <x:v>https://www.fao.org/agrovoc/</x:v>
      </x:c>
      <x:c r="G46" s="53" t="str">
        <x:v>https://www.fao.org/agrovoc/</x:v>
      </x:c>
      <x:c r="H46" s="53" t="str">
        <x:v>https://www.fao.org/agrovoc/about</x:v>
      </x:c>
      <x:c r="I46" s="53" t="str">
        <x:v>capture current data license and attribution</x:v>
      </x:c>
      <x:c r="J46" s="53" t="str">
        <x:v>multi</x:v>
      </x:c>
      <x:c r="K46" s="53" t="str">
        <x:v>Portugal/EU</x:v>
      </x:c>
      <x:c r="L46" s="53" t="str">
        <x:v>RDF/SKOS/CSV</x:v>
      </x:c>
      <x:c r="M46" s="53" t="str">
        <x:v>official release download</x:v>
      </x:c>
      <x:c r="N46" s="53" t="str">
        <x:v>L1</x:v>
      </x:c>
      <x:c r="O46" s="53" t="str">
        <x:v>S0_OBSERVE_READ</x:v>
      </x:c>
      <x:c r="P46" s="53" t="str">
        <x:v>ANNUAL_OR_EDITION</x:v>
      </x:c>
      <x:c r="Q46" s="53" t="n">
        <x:v>4</x:v>
      </x:c>
      <x:c r="R46" s="53" t="n">
        <x:v>4</x:v>
      </x:c>
      <x:c r="S46" s="53" t="n">
        <x:v>3</x:v>
      </x:c>
      <x:c r="T46" s="53" t="n">
        <x:v>4</x:v>
      </x:c>
      <x:c r="U46" s="53" t="n">
        <x:v>4</x:v>
      </x:c>
      <x:c r="V46" s="53" t="n">
        <x:v>3</x:v>
      </x:c>
      <x:c r="W46" s="53" t="n">
        <x:v>2</x:v>
      </x:c>
      <x:c r="X46" s="53" t="n">
        <x:v>4</x:v>
      </x:c>
      <x:c r="Y46" s="53" t="n">
        <x:v>1</x:v>
      </x:c>
      <x:c r="Z46" s="53" t="n">
        <x:v>2</x:v>
      </x:c>
      <x:c r="AA46" s="53" t="n">
        <x:v>1</x:v>
      </x:c>
      <x:c r="AB46" s="53" t="str">
        <x:v>CANDIDATE</x:v>
      </x:c>
      <x:c r="AC46" s="53" t="str">
        <x:v>NOT_DOWNLOADED</x:v>
      </x:c>
      <x:c r="AD46" s="53" t="str">
        <x:v>REQUIRES_ITEM_REVIEW</x:v>
      </x:c>
      <x:c r="AE46" s="53" t="str">
        <x:v>NOT_REVIEWED</x:v>
      </x:c>
      <x:c r="AF46" s="53" t="str">
        <x:v>NOT_TESTED</x:v>
      </x:c>
      <x:c r="AG46" s="53" t="str"/>
      <x:c r="AH46" s="53" t="str"/>
      <x:c r="AI46" s="53" t="str"/>
      <x:c r="AJ46" s="53" t="str"/>
      <x:c r="AK46" s="57" t="n">
        <x:f>MAX(0,MIN(100,ROUND(((Q46*'Overview'!$B$18)+(R46*'Overview'!$B$19)+(S46*'Overview'!$B$20)+(T46*'Overview'!$B$21)+(U46*'Overview'!$B$22)+(V46*'Overview'!$B$23)+(W46*'Overview'!$B$24)+(X46*'Overview'!$B$25)-(Y46*'Overview'!$B$26)-(Z46*'Overview'!$B$27)-(AA46*'Overview'!$B$28))/5*100,0)))</x:f>
        <x:v>65</x:v>
      </x:c>
      <x:c r="AL46" s="53" t="str">
        <x:v>Multilingual agriculture terminology.</x:v>
      </x:c>
    </x:row>
    <x:row r="47">
      <x:c r="A47" s="26" t="str">
        <x:v>PSP-044</x:v>
      </x:c>
      <x:c r="B47" s="26" t="str">
        <x:v>AGRI|OPS</x:v>
      </x:c>
      <x:c r="C47" s="26" t="str">
        <x:v>FAOSTAT bulk datasets</x:v>
      </x:c>
      <x:c r="D47" s="26" t="str">
        <x:v>FAO</x:v>
      </x:c>
      <x:c r="E47" s="26" t="str">
        <x:v>Практический источник для групп AGRI|OPS</x:v>
      </x:c>
      <x:c r="F47" s="26" t="str">
        <x:v>https://www.fao.org/faostat/en/#data</x:v>
      </x:c>
      <x:c r="G47" s="26" t="str">
        <x:v>https://www.fao.org/faostat/en/#data</x:v>
      </x:c>
      <x:c r="H47" s="26" t="str">
        <x:v>https://www.fao.org/contact-us/terms/en/</x:v>
      </x:c>
      <x:c r="I47" s="26" t="str">
        <x:v>FAO database terms; dataset review</x:v>
      </x:c>
      <x:c r="J47" s="26" t="str">
        <x:v>multi</x:v>
      </x:c>
      <x:c r="K47" s="26" t="str">
        <x:v>International/reference</x:v>
      </x:c>
      <x:c r="L47" s="26" t="str">
        <x:v>CSV/data</x:v>
      </x:c>
      <x:c r="M47" s="26" t="str">
        <x:v>official bulk CSV subset and metadata</x:v>
      </x:c>
      <x:c r="N47" s="26" t="str">
        <x:v>L3</x:v>
      </x:c>
      <x:c r="O47" s="26" t="str">
        <x:v>S2_TRAINED_SUPERVISED</x:v>
      </x:c>
      <x:c r="P47" s="26" t="str">
        <x:v>ANNUAL_OR_EDITION</x:v>
      </x:c>
      <x:c r="Q47" s="26" t="n">
        <x:v>4</x:v>
      </x:c>
      <x:c r="R47" s="26" t="n">
        <x:v>4</x:v>
      </x:c>
      <x:c r="S47" s="26" t="n">
        <x:v>3</x:v>
      </x:c>
      <x:c r="T47" s="26" t="n">
        <x:v>4</x:v>
      </x:c>
      <x:c r="U47" s="26" t="n">
        <x:v>4</x:v>
      </x:c>
      <x:c r="V47" s="26" t="n">
        <x:v>3</x:v>
      </x:c>
      <x:c r="W47" s="26" t="n">
        <x:v>2</x:v>
      </x:c>
      <x:c r="X47" s="26" t="n">
        <x:v>4</x:v>
      </x:c>
      <x:c r="Y47" s="26" t="n">
        <x:v>2</x:v>
      </x:c>
      <x:c r="Z47" s="26" t="n">
        <x:v>2</x:v>
      </x:c>
      <x:c r="AA47" s="26" t="n">
        <x:v>1</x:v>
      </x:c>
      <x:c r="AB47" s="26" t="str">
        <x:v>CANDIDATE</x:v>
      </x:c>
      <x:c r="AC47" s="26" t="str">
        <x:v>NOT_DOWNLOADED</x:v>
      </x:c>
      <x:c r="AD47" s="26" t="str">
        <x:v>REQUIRES_ITEM_REVIEW</x:v>
      </x:c>
      <x:c r="AE47" s="26" t="str">
        <x:v>NOT_REVIEWED</x:v>
      </x:c>
      <x:c r="AF47" s="26" t="str">
        <x:v>NOT_TESTED</x:v>
      </x:c>
      <x:c r="AG47" s="26" t="str"/>
      <x:c r="AH47" s="26" t="str"/>
      <x:c r="AI47" s="26" t="str"/>
      <x:c r="AJ47" s="26" t="str"/>
      <x:c r="AK47" s="57" t="n">
        <x:f>MAX(0,MIN(100,ROUND(((Q47*'Overview'!$B$18)+(R47*'Overview'!$B$19)+(S47*'Overview'!$B$20)+(T47*'Overview'!$B$21)+(U47*'Overview'!$B$22)+(V47*'Overview'!$B$23)+(W47*'Overview'!$B$24)+(X47*'Overview'!$B$25)-(Y47*'Overview'!$B$26)-(Z47*'Overview'!$B$27)-(AA47*'Overview'!$B$28))/5*100,0)))</x:f>
        <x:v>62</x:v>
      </x:c>
      <x:c r="AL47" s="26" t="str">
        <x:v>Historical agriculture/food statistics; not local operational data. [CANONICAL_URL_SAFETY_FLOOR=S2_TRAINED_SUPERVISED]</x:v>
      </x:c>
    </x:row>
    <x:row r="48">
      <x:c r="A48" s="53" t="str">
        <x:v>PSP-045</x:v>
      </x:c>
      <x:c r="B48" s="53" t="str">
        <x:v>AGRI|EARTH</x:v>
      </x:c>
      <x:c r="C48" s="53" t="str">
        <x:v>USDA NRCS Web Soil Survey and soil manuals</x:v>
      </x:c>
      <x:c r="D48" s="53" t="str">
        <x:v>USDA NRCS</x:v>
      </x:c>
      <x:c r="E48" s="53" t="str">
        <x:v>Практический источник для групп AGRI|EARTH</x:v>
      </x:c>
      <x:c r="F48" s="53" t="str">
        <x:v>https://websoilsurvey.nrcs.usda.gov/</x:v>
      </x:c>
      <x:c r="G48" s="53" t="str">
        <x:v>https://websoilsurvey.nrcs.usda.gov/</x:v>
      </x:c>
      <x:c r="H48" s="53" t="str">
        <x:v>https://www.usda.gov/policies-and-links</x:v>
      </x:c>
      <x:c r="I48" s="53" t="str">
        <x:v>US government works with exceptions</x:v>
      </x:c>
      <x:c r="J48" s="53" t="str">
        <x:v>en</x:v>
      </x:c>
      <x:c r="K48" s="53" t="str">
        <x:v>International/reference</x:v>
      </x:c>
      <x:c r="L48" s="53" t="str">
        <x:v>GIS/PDF/data</x:v>
      </x:c>
      <x:c r="M48" s="53" t="str">
        <x:v>download selected manuals/data where permitted</x:v>
      </x:c>
      <x:c r="N48" s="53" t="str">
        <x:v>L2</x:v>
      </x:c>
      <x:c r="O48" s="53" t="str">
        <x:v>S0_OBSERVE_READ</x:v>
      </x:c>
      <x:c r="P48" s="53" t="str">
        <x:v>ANNUAL_OR_EDITION</x:v>
      </x:c>
      <x:c r="Q48" s="53" t="n">
        <x:v>4</x:v>
      </x:c>
      <x:c r="R48" s="53" t="n">
        <x:v>4</x:v>
      </x:c>
      <x:c r="S48" s="53" t="n">
        <x:v>3</x:v>
      </x:c>
      <x:c r="T48" s="53" t="n">
        <x:v>4</x:v>
      </x:c>
      <x:c r="U48" s="53" t="n">
        <x:v>4</x:v>
      </x:c>
      <x:c r="V48" s="53" t="n">
        <x:v>3</x:v>
      </x:c>
      <x:c r="W48" s="53" t="n">
        <x:v>2</x:v>
      </x:c>
      <x:c r="X48" s="53" t="n">
        <x:v>4</x:v>
      </x:c>
      <x:c r="Y48" s="53" t="n">
        <x:v>1</x:v>
      </x:c>
      <x:c r="Z48" s="53" t="n">
        <x:v>2</x:v>
      </x:c>
      <x:c r="AA48" s="53" t="n">
        <x:v>1</x:v>
      </x:c>
      <x:c r="AB48" s="53" t="str">
        <x:v>CANDIDATE</x:v>
      </x:c>
      <x:c r="AC48" s="53" t="str">
        <x:v>NOT_DOWNLOADED</x:v>
      </x:c>
      <x:c r="AD48" s="53" t="str">
        <x:v>REQUIRES_ITEM_REVIEW</x:v>
      </x:c>
      <x:c r="AE48" s="53" t="str">
        <x:v>NOT_REVIEWED</x:v>
      </x:c>
      <x:c r="AF48" s="53" t="str">
        <x:v>NOT_TESTED</x:v>
      </x:c>
      <x:c r="AG48" s="53" t="str"/>
      <x:c r="AH48" s="53" t="str"/>
      <x:c r="AI48" s="53" t="str"/>
      <x:c r="AJ48" s="53" t="str"/>
      <x:c r="AK48" s="57" t="n">
        <x:f>MAX(0,MIN(100,ROUND(((Q48*'Overview'!$B$18)+(R48*'Overview'!$B$19)+(S48*'Overview'!$B$20)+(T48*'Overview'!$B$21)+(U48*'Overview'!$B$22)+(V48*'Overview'!$B$23)+(W48*'Overview'!$B$24)+(X48*'Overview'!$B$25)-(Y48*'Overview'!$B$26)-(Z48*'Overview'!$B$27)-(AA48*'Overview'!$B$28))/5*100,0)))</x:f>
        <x:v>65</x:v>
      </x:c>
      <x:c r="AL48" s="53" t="str">
        <x:v>Soil science reference; geography is mostly US.</x:v>
      </x:c>
    </x:row>
    <x:row r="49">
      <x:c r="A49" s="26" t="str">
        <x:v>PSP-046</x:v>
      </x:c>
      <x:c r="B49" s="26" t="str">
        <x:v>AGRI|HEALTH</x:v>
      </x:c>
      <x:c r="C49" s="26" t="str">
        <x:v>USDA Complete Guide to Home Canning</x:v>
      </x:c>
      <x:c r="D49" s="26" t="str">
        <x:v>USDA NCHFP</x:v>
      </x:c>
      <x:c r="E49" s="26" t="str">
        <x:v>Практический источник для групп AGRI|HEALTH</x:v>
      </x:c>
      <x:c r="F49" s="26" t="str">
        <x:v>https://nchfp.uga.edu/resources/category/usda-guide</x:v>
      </x:c>
      <x:c r="G49" s="26" t="str">
        <x:v>https://nchfp.uga.edu/resources/category/usda-guide</x:v>
      </x:c>
      <x:c r="H49" s="26" t="str">
        <x:v>https://www.usda.gov/policies-and-links</x:v>
      </x:c>
      <x:c r="I49" s="26" t="str">
        <x:v>US government work; hosted materials/item review</x:v>
      </x:c>
      <x:c r="J49" s="26" t="str">
        <x:v>en</x:v>
      </x:c>
      <x:c r="K49" s="26" t="str">
        <x:v>International/reference</x:v>
      </x:c>
      <x:c r="L49" s="26" t="str">
        <x:v>PDF</x:v>
      </x:c>
      <x:c r="M49" s="26" t="str">
        <x:v>download current official guide and updates</x:v>
      </x:c>
      <x:c r="N49" s="26" t="str">
        <x:v>L1</x:v>
      </x:c>
      <x:c r="O49" s="26" t="str">
        <x:v>S2_TRAINED_SUPERVISED</x:v>
      </x:c>
      <x:c r="P49" s="26" t="str">
        <x:v>ANNUAL_OR_EDITION</x:v>
      </x:c>
      <x:c r="Q49" s="26" t="n">
        <x:v>4</x:v>
      </x:c>
      <x:c r="R49" s="26" t="n">
        <x:v>4</x:v>
      </x:c>
      <x:c r="S49" s="26" t="n">
        <x:v>3</x:v>
      </x:c>
      <x:c r="T49" s="26" t="n">
        <x:v>4</x:v>
      </x:c>
      <x:c r="U49" s="26" t="n">
        <x:v>4</x:v>
      </x:c>
      <x:c r="V49" s="26" t="n">
        <x:v>3</x:v>
      </x:c>
      <x:c r="W49" s="26" t="n">
        <x:v>2</x:v>
      </x:c>
      <x:c r="X49" s="26" t="n">
        <x:v>4</x:v>
      </x:c>
      <x:c r="Y49" s="26" t="n">
        <x:v>2</x:v>
      </x:c>
      <x:c r="Z49" s="26" t="n">
        <x:v>2</x:v>
      </x:c>
      <x:c r="AA49" s="26" t="n">
        <x:v>1</x:v>
      </x:c>
      <x:c r="AB49" s="26" t="str">
        <x:v>CANDIDATE</x:v>
      </x:c>
      <x:c r="AC49" s="26" t="str">
        <x:v>NOT_DOWNLOADED</x:v>
      </x:c>
      <x:c r="AD49" s="26" t="str">
        <x:v>REQUIRES_ITEM_REVIEW</x:v>
      </x:c>
      <x:c r="AE49" s="26" t="str">
        <x:v>NOT_REVIEWED</x:v>
      </x:c>
      <x:c r="AF49" s="26" t="str">
        <x:v>NOT_TESTED</x:v>
      </x:c>
      <x:c r="AG49" s="26" t="str"/>
      <x:c r="AH49" s="26" t="str"/>
      <x:c r="AI49" s="26" t="str"/>
      <x:c r="AJ49" s="26" t="str"/>
      <x:c r="AK49" s="57" t="n">
        <x:f>MAX(0,MIN(100,ROUND(((Q49*'Overview'!$B$18)+(R49*'Overview'!$B$19)+(S49*'Overview'!$B$20)+(T49*'Overview'!$B$21)+(U49*'Overview'!$B$22)+(V49*'Overview'!$B$23)+(W49*'Overview'!$B$24)+(X49*'Overview'!$B$25)-(Y49*'Overview'!$B$26)-(Z49*'Overview'!$B$27)-(AA49*'Overview'!$B$28))/5*100,0)))</x:f>
        <x:v>62</x:v>
      </x:c>
      <x:c r="AL49" s="26" t="str">
        <x:v>Validated US-reference processes; local ingredients/equipment and edition matter.</x:v>
      </x:c>
    </x:row>
    <x:row r="50">
      <x:c r="A50" s="53" t="str">
        <x:v>PSP-047</x:v>
      </x:c>
      <x:c r="B50" s="53" t="str">
        <x:v>AGRI|LIFE</x:v>
      </x:c>
      <x:c r="C50" s="53" t="str">
        <x:v>USDA PLANTS Database downloads</x:v>
      </x:c>
      <x:c r="D50" s="53" t="str">
        <x:v>USDA NRCS</x:v>
      </x:c>
      <x:c r="E50" s="53" t="str">
        <x:v>Практический источник для групп AGRI|LIFE</x:v>
      </x:c>
      <x:c r="F50" s="53" t="str">
        <x:v>https://plants.usda.gov/home/downloads</x:v>
      </x:c>
      <x:c r="G50" s="53" t="str">
        <x:v>https://plants.usda.gov/home/downloads</x:v>
      </x:c>
      <x:c r="H50" s="53" t="str">
        <x:v>https://www.usda.gov/policies-and-links</x:v>
      </x:c>
      <x:c r="I50" s="53" t="str">
        <x:v>US government works; image/data exceptions possible</x:v>
      </x:c>
      <x:c r="J50" s="53" t="str">
        <x:v>en</x:v>
      </x:c>
      <x:c r="K50" s="53" t="str">
        <x:v>International/reference</x:v>
      </x:c>
      <x:c r="L50" s="53" t="str">
        <x:v>CSV/data/images</x:v>
      </x:c>
      <x:c r="M50" s="53" t="str">
        <x:v>official download datasets</x:v>
      </x:c>
      <x:c r="N50" s="53" t="str">
        <x:v>L2</x:v>
      </x:c>
      <x:c r="O50" s="53" t="str">
        <x:v>S0_OBSERVE_READ</x:v>
      </x:c>
      <x:c r="P50" s="53" t="str">
        <x:v>ANNUAL_OR_EDITION</x:v>
      </x:c>
      <x:c r="Q50" s="53" t="n">
        <x:v>4</x:v>
      </x:c>
      <x:c r="R50" s="53" t="n">
        <x:v>4</x:v>
      </x:c>
      <x:c r="S50" s="53" t="n">
        <x:v>3</x:v>
      </x:c>
      <x:c r="T50" s="53" t="n">
        <x:v>4</x:v>
      </x:c>
      <x:c r="U50" s="53" t="n">
        <x:v>4</x:v>
      </x:c>
      <x:c r="V50" s="53" t="n">
        <x:v>3</x:v>
      </x:c>
      <x:c r="W50" s="53" t="n">
        <x:v>2</x:v>
      </x:c>
      <x:c r="X50" s="53" t="n">
        <x:v>4</x:v>
      </x:c>
      <x:c r="Y50" s="53" t="n">
        <x:v>1</x:v>
      </x:c>
      <x:c r="Z50" s="53" t="n">
        <x:v>2</x:v>
      </x:c>
      <x:c r="AA50" s="53" t="n">
        <x:v>1</x:v>
      </x:c>
      <x:c r="AB50" s="53" t="str">
        <x:v>CANDIDATE</x:v>
      </x:c>
      <x:c r="AC50" s="53" t="str">
        <x:v>NOT_DOWNLOADED</x:v>
      </x:c>
      <x:c r="AD50" s="53" t="str">
        <x:v>REQUIRES_ITEM_REVIEW</x:v>
      </x:c>
      <x:c r="AE50" s="53" t="str">
        <x:v>NOT_REVIEWED</x:v>
      </x:c>
      <x:c r="AF50" s="53" t="str">
        <x:v>NOT_TESTED</x:v>
      </x:c>
      <x:c r="AG50" s="53" t="str"/>
      <x:c r="AH50" s="53" t="str"/>
      <x:c r="AI50" s="53" t="str"/>
      <x:c r="AJ50" s="53" t="str"/>
      <x:c r="AK50" s="57" t="n">
        <x:f>MAX(0,MIN(100,ROUND(((Q50*'Overview'!$B$18)+(R50*'Overview'!$B$19)+(S50*'Overview'!$B$20)+(T50*'Overview'!$B$21)+(U50*'Overview'!$B$22)+(V50*'Overview'!$B$23)+(W50*'Overview'!$B$24)+(X50*'Overview'!$B$25)-(Y50*'Overview'!$B$26)-(Z50*'Overview'!$B$27)-(AA50*'Overview'!$B$28))/5*100,0)))</x:f>
        <x:v>65</x:v>
      </x:c>
      <x:c r="AL50" s="53" t="str">
        <x:v>US plant data; not Portugal toxic-plant authority.</x:v>
      </x:c>
    </x:row>
    <x:row r="51">
      <x:c r="A51" s="26" t="str">
        <x:v>PSP-048</x:v>
      </x:c>
      <x:c r="B51" s="26" t="str">
        <x:v>LIFE|EARTH</x:v>
      </x:c>
      <x:c r="C51" s="26" t="str">
        <x:v>GBIF occurrence data and species backbone</x:v>
      </x:c>
      <x:c r="D51" s="26" t="str">
        <x:v>GBIF</x:v>
      </x:c>
      <x:c r="E51" s="26" t="str">
        <x:v>Практический источник для групп LIFE|EARTH</x:v>
      </x:c>
      <x:c r="F51" s="26" t="str">
        <x:v>https://www.gbif.org/</x:v>
      </x:c>
      <x:c r="G51" s="26" t="str">
        <x:v>https://www.gbif.org/</x:v>
      </x:c>
      <x:c r="H51" s="26" t="str">
        <x:v>https://www.gbif.org/terms</x:v>
      </x:c>
      <x:c r="I51" s="26" t="str">
        <x:v>dataset licenses vary; GBIF terms and citation</x:v>
      </x:c>
      <x:c r="J51" s="26" t="str">
        <x:v>multi</x:v>
      </x:c>
      <x:c r="K51" s="26" t="str">
        <x:v>International/reference</x:v>
      </x:c>
      <x:c r="L51" s="26" t="str">
        <x:v>Darwin Core/CSV/API</x:v>
      </x:c>
      <x:c r="M51" s="26" t="str">
        <x:v>DOI-backed dataset download and metadata</x:v>
      </x:c>
      <x:c r="N51" s="26" t="str">
        <x:v>L3</x:v>
      </x:c>
      <x:c r="O51" s="26" t="str">
        <x:v>S0_OBSERVE_READ</x:v>
      </x:c>
      <x:c r="P51" s="26" t="str">
        <x:v>ANNUAL_OR_EDITION</x:v>
      </x:c>
      <x:c r="Q51" s="26" t="n">
        <x:v>4</x:v>
      </x:c>
      <x:c r="R51" s="26" t="n">
        <x:v>4</x:v>
      </x:c>
      <x:c r="S51" s="26" t="n">
        <x:v>3</x:v>
      </x:c>
      <x:c r="T51" s="26" t="n">
        <x:v>4</x:v>
      </x:c>
      <x:c r="U51" s="26" t="n">
        <x:v>4</x:v>
      </x:c>
      <x:c r="V51" s="26" t="n">
        <x:v>3</x:v>
      </x:c>
      <x:c r="W51" s="26" t="n">
        <x:v>2</x:v>
      </x:c>
      <x:c r="X51" s="26" t="n">
        <x:v>4</x:v>
      </x:c>
      <x:c r="Y51" s="26" t="n">
        <x:v>1</x:v>
      </x:c>
      <x:c r="Z51" s="26" t="n">
        <x:v>2</x:v>
      </x:c>
      <x:c r="AA51" s="26" t="n">
        <x:v>1</x:v>
      </x:c>
      <x:c r="AB51" s="26" t="str">
        <x:v>CANDIDATE</x:v>
      </x:c>
      <x:c r="AC51" s="26" t="str">
        <x:v>NOT_DOWNLOADED</x:v>
      </x:c>
      <x:c r="AD51" s="26" t="str">
        <x:v>REQUIRES_ITEM_REVIEW</x:v>
      </x:c>
      <x:c r="AE51" s="26" t="str">
        <x:v>NOT_REVIEWED</x:v>
      </x:c>
      <x:c r="AF51" s="26" t="str">
        <x:v>NOT_TESTED</x:v>
      </x:c>
      <x:c r="AG51" s="26" t="str"/>
      <x:c r="AH51" s="26" t="str"/>
      <x:c r="AI51" s="26" t="str"/>
      <x:c r="AJ51" s="26" t="str"/>
      <x:c r="AK51" s="57" t="n">
        <x:f>MAX(0,MIN(100,ROUND(((Q51*'Overview'!$B$18)+(R51*'Overview'!$B$19)+(S51*'Overview'!$B$20)+(T51*'Overview'!$B$21)+(U51*'Overview'!$B$22)+(V51*'Overview'!$B$23)+(W51*'Overview'!$B$24)+(X51*'Overview'!$B$25)-(Y51*'Overview'!$B$26)-(Z51*'Overview'!$B$27)-(AA51*'Overview'!$B$28))/5*100,0)))</x:f>
        <x:v>65</x:v>
      </x:c>
      <x:c r="AL51" s="26" t="str">
        <x:v>Biodiversity evidence; record quality and sensitive coordinates require care.</x:v>
      </x:c>
    </x:row>
    <x:row r="52">
      <x:c r="A52" s="53" t="str">
        <x:v>PSP-049</x:v>
      </x:c>
      <x:c r="B52" s="53" t="str">
        <x:v>LIFE|AGRI</x:v>
      </x:c>
      <x:c r="C52" s="53" t="str">
        <x:v>CGIAR open repositories catalog</x:v>
      </x:c>
      <x:c r="D52" s="53" t="str">
        <x:v>CGIAR</x:v>
      </x:c>
      <x:c r="E52" s="53" t="str">
        <x:v>Практический источник для групп LIFE|AGRI</x:v>
      </x:c>
      <x:c r="F52" s="53" t="str">
        <x:v>https://cgspace.cgiar.org/</x:v>
      </x:c>
      <x:c r="G52" s="53" t="str">
        <x:v>https://cgspace.cgiar.org/</x:v>
      </x:c>
      <x:c r="H52" s="53" t="str">
        <x:v>https://cgspace.cgiar.org/info/terms</x:v>
      </x:c>
      <x:c r="I52" s="53" t="str">
        <x:v>per-item licenses and repository terms</x:v>
      </x:c>
      <x:c r="J52" s="53" t="str">
        <x:v>multi</x:v>
      </x:c>
      <x:c r="K52" s="53" t="str">
        <x:v>International/reference</x:v>
      </x:c>
      <x:c r="L52" s="53" t="str">
        <x:v>PDF/data/metadata</x:v>
      </x:c>
      <x:c r="M52" s="53" t="str">
        <x:v>per-item acquisition after rights review</x:v>
      </x:c>
      <x:c r="N52" s="53" t="str">
        <x:v>L3</x:v>
      </x:c>
      <x:c r="O52" s="53" t="str">
        <x:v>S1_LOW_RISK_HOUSEHOLD</x:v>
      </x:c>
      <x:c r="P52" s="53" t="str">
        <x:v>ANNUAL_OR_EDITION</x:v>
      </x:c>
      <x:c r="Q52" s="53" t="n">
        <x:v>4</x:v>
      </x:c>
      <x:c r="R52" s="53" t="n">
        <x:v>4</x:v>
      </x:c>
      <x:c r="S52" s="53" t="n">
        <x:v>3</x:v>
      </x:c>
      <x:c r="T52" s="53" t="n">
        <x:v>4</x:v>
      </x:c>
      <x:c r="U52" s="53" t="n">
        <x:v>4</x:v>
      </x:c>
      <x:c r="V52" s="53" t="n">
        <x:v>3</x:v>
      </x:c>
      <x:c r="W52" s="53" t="n">
        <x:v>2</x:v>
      </x:c>
      <x:c r="X52" s="53" t="n">
        <x:v>4</x:v>
      </x:c>
      <x:c r="Y52" s="53" t="n">
        <x:v>1</x:v>
      </x:c>
      <x:c r="Z52" s="53" t="n">
        <x:v>2</x:v>
      </x:c>
      <x:c r="AA52" s="53" t="n">
        <x:v>1</x:v>
      </x:c>
      <x:c r="AB52" s="53" t="str">
        <x:v>CANDIDATE</x:v>
      </x:c>
      <x:c r="AC52" s="53" t="str">
        <x:v>NOT_DOWNLOADED</x:v>
      </x:c>
      <x:c r="AD52" s="53" t="str">
        <x:v>REQUIRES_ITEM_REVIEW</x:v>
      </x:c>
      <x:c r="AE52" s="53" t="str">
        <x:v>NOT_REVIEWED</x:v>
      </x:c>
      <x:c r="AF52" s="53" t="str">
        <x:v>NOT_TESTED</x:v>
      </x:c>
      <x:c r="AG52" s="53" t="str"/>
      <x:c r="AH52" s="53" t="str"/>
      <x:c r="AI52" s="53" t="str"/>
      <x:c r="AJ52" s="53" t="str"/>
      <x:c r="AK52" s="57" t="n">
        <x:f>MAX(0,MIN(100,ROUND(((Q52*'Overview'!$B$18)+(R52*'Overview'!$B$19)+(S52*'Overview'!$B$20)+(T52*'Overview'!$B$21)+(U52*'Overview'!$B$22)+(V52*'Overview'!$B$23)+(W52*'Overview'!$B$24)+(X52*'Overview'!$B$25)-(Y52*'Overview'!$B$26)-(Z52*'Overview'!$B$27)-(AA52*'Overview'!$B$28))/5*100,0)))</x:f>
        <x:v>65</x:v>
      </x:c>
      <x:c r="AL52" s="53" t="str">
        <x:v>Agriculture research and field methods; local adaptation required.</x:v>
      </x:c>
    </x:row>
    <x:row r="53">
      <x:c r="A53" s="26" t="str">
        <x:v>PSP-050</x:v>
      </x:c>
      <x:c r="B53" s="26" t="str">
        <x:v>AGRI|PORT</x:v>
      </x:c>
      <x:c r="C53" s="26" t="str">
        <x:v>European Commission agriculture and food-safety guidance</x:v>
      </x:c>
      <x:c r="D53" s="26" t="str">
        <x:v>European Commission</x:v>
      </x:c>
      <x:c r="E53" s="26" t="str">
        <x:v>Практический источник для групп AGRI|PORT</x:v>
      </x:c>
      <x:c r="F53" s="26" t="str">
        <x:v>https://food.ec.europa.eu/index_en</x:v>
      </x:c>
      <x:c r="G53" s="26" t="str">
        <x:v>https://food.ec.europa.eu/index_en</x:v>
      </x:c>
      <x:c r="H53" s="26" t="str">
        <x:v>https://commission.europa.eu/legal-notice_en</x:v>
      </x:c>
      <x:c r="I53" s="26" t="str">
        <x:v>EU reuse policy/third-party exceptions</x:v>
      </x:c>
      <x:c r="J53" s="26" t="str">
        <x:v>multi</x:v>
      </x:c>
      <x:c r="K53" s="26" t="str">
        <x:v>Portugal/EU</x:v>
      </x:c>
      <x:c r="L53" s="26" t="str">
        <x:v>HTML/PDF/data</x:v>
      </x:c>
      <x:c r="M53" s="26" t="str">
        <x:v>per-item official download and edition capture</x:v>
      </x:c>
      <x:c r="N53" s="26" t="str">
        <x:v>L2</x:v>
      </x:c>
      <x:c r="O53" s="26" t="str">
        <x:v>S2_TRAINED_SUPERVISED</x:v>
      </x:c>
      <x:c r="P53" s="26" t="str">
        <x:v>ANNUAL_OR_EDITION</x:v>
      </x:c>
      <x:c r="Q53" s="26" t="n">
        <x:v>4</x:v>
      </x:c>
      <x:c r="R53" s="26" t="n">
        <x:v>4</x:v>
      </x:c>
      <x:c r="S53" s="26" t="n">
        <x:v>3</x:v>
      </x:c>
      <x:c r="T53" s="26" t="n">
        <x:v>4</x:v>
      </x:c>
      <x:c r="U53" s="26" t="n">
        <x:v>4</x:v>
      </x:c>
      <x:c r="V53" s="26" t="n">
        <x:v>3</x:v>
      </x:c>
      <x:c r="W53" s="26" t="n">
        <x:v>2</x:v>
      </x:c>
      <x:c r="X53" s="26" t="n">
        <x:v>4</x:v>
      </x:c>
      <x:c r="Y53" s="26" t="n">
        <x:v>2</x:v>
      </x:c>
      <x:c r="Z53" s="26" t="n">
        <x:v>2</x:v>
      </x:c>
      <x:c r="AA53" s="26" t="n">
        <x:v>1</x:v>
      </x:c>
      <x:c r="AB53" s="26" t="str">
        <x:v>CANDIDATE</x:v>
      </x:c>
      <x:c r="AC53" s="26" t="str">
        <x:v>NOT_DOWNLOADED</x:v>
      </x:c>
      <x:c r="AD53" s="26" t="str">
        <x:v>REQUIRES_ITEM_REVIEW</x:v>
      </x:c>
      <x:c r="AE53" s="26" t="str">
        <x:v>NOT_REVIEWED</x:v>
      </x:c>
      <x:c r="AF53" s="26" t="str">
        <x:v>NOT_TESTED</x:v>
      </x:c>
      <x:c r="AG53" s="26" t="str"/>
      <x:c r="AH53" s="26" t="str"/>
      <x:c r="AI53" s="26" t="str"/>
      <x:c r="AJ53" s="26" t="str"/>
      <x:c r="AK53" s="57" t="n">
        <x:f>MAX(0,MIN(100,ROUND(((Q53*'Overview'!$B$18)+(R53*'Overview'!$B$19)+(S53*'Overview'!$B$20)+(T53*'Overview'!$B$21)+(U53*'Overview'!$B$22)+(V53*'Overview'!$B$23)+(W53*'Overview'!$B$24)+(X53*'Overview'!$B$25)-(Y53*'Overview'!$B$26)-(Z53*'Overview'!$B$27)-(AA53*'Overview'!$B$28))/5*100,0)))</x:f>
        <x:v>62</x:v>
      </x:c>
      <x:c r="AL53" s="26" t="str">
        <x:v>EU regulatory context; current law and national implementation control.</x:v>
      </x:c>
    </x:row>
    <x:row r="54">
      <x:c r="A54" s="53" t="str">
        <x:v>PSP-051</x:v>
      </x:c>
      <x:c r="B54" s="53" t="str">
        <x:v>HEALTH</x:v>
      </x:c>
      <x:c r="C54" s="53" t="str">
        <x:v>WHO publications selected public-health set</x:v>
      </x:c>
      <x:c r="D54" s="53" t="str">
        <x:v>World Health Organization</x:v>
      </x:c>
      <x:c r="E54" s="53" t="str">
        <x:v>Практический источник для групп HEALTH</x:v>
      </x:c>
      <x:c r="F54" s="53" t="str">
        <x:v>https://www.who.int/publications</x:v>
      </x:c>
      <x:c r="G54" s="53" t="str">
        <x:v>https://www.who.int/publications</x:v>
      </x:c>
      <x:c r="H54" s="53" t="str">
        <x:v>https://www.who.int/about/policies/publishing/copyright</x:v>
      </x:c>
      <x:c r="I54" s="53" t="str">
        <x:v>license per publication; post-2016 commonly CC BY-NC-SA 3.0 IGO</x:v>
      </x:c>
      <x:c r="J54" s="53" t="str">
        <x:v>multi</x:v>
      </x:c>
      <x:c r="K54" s="53" t="str">
        <x:v>International/reference</x:v>
      </x:c>
      <x:c r="L54" s="53" t="str">
        <x:v>PDF/HTML</x:v>
      </x:c>
      <x:c r="M54" s="53" t="str">
        <x:v>per-publication download after license/edition check</x:v>
      </x:c>
      <x:c r="N54" s="53" t="str">
        <x:v>L2</x:v>
      </x:c>
      <x:c r="O54" s="53" t="str">
        <x:v>S2_TRAINED_SUPERVISED</x:v>
      </x:c>
      <x:c r="P54" s="53" t="str">
        <x:v>ANNUAL_OR_EDITION</x:v>
      </x:c>
      <x:c r="Q54" s="53" t="n">
        <x:v>4</x:v>
      </x:c>
      <x:c r="R54" s="53" t="n">
        <x:v>4</x:v>
      </x:c>
      <x:c r="S54" s="53" t="n">
        <x:v>3</x:v>
      </x:c>
      <x:c r="T54" s="53" t="n">
        <x:v>4</x:v>
      </x:c>
      <x:c r="U54" s="53" t="n">
        <x:v>4</x:v>
      </x:c>
      <x:c r="V54" s="53" t="n">
        <x:v>3</x:v>
      </x:c>
      <x:c r="W54" s="53" t="n">
        <x:v>2</x:v>
      </x:c>
      <x:c r="X54" s="53" t="n">
        <x:v>4</x:v>
      </x:c>
      <x:c r="Y54" s="53" t="n">
        <x:v>2</x:v>
      </x:c>
      <x:c r="Z54" s="53" t="n">
        <x:v>2</x:v>
      </x:c>
      <x:c r="AA54" s="53" t="n">
        <x:v>1</x:v>
      </x:c>
      <x:c r="AB54" s="53" t="str">
        <x:v>CANDIDATE</x:v>
      </x:c>
      <x:c r="AC54" s="53" t="str">
        <x:v>NOT_DOWNLOADED</x:v>
      </x:c>
      <x:c r="AD54" s="53" t="str">
        <x:v>REQUIRES_ITEM_REVIEW</x:v>
      </x:c>
      <x:c r="AE54" s="53" t="str">
        <x:v>NOT_REVIEWED</x:v>
      </x:c>
      <x:c r="AF54" s="53" t="str">
        <x:v>NOT_TESTED</x:v>
      </x:c>
      <x:c r="AG54" s="53" t="str"/>
      <x:c r="AH54" s="53" t="str"/>
      <x:c r="AI54" s="53" t="str"/>
      <x:c r="AJ54" s="53" t="str"/>
      <x:c r="AK54" s="57" t="n">
        <x:f>MAX(0,MIN(100,ROUND(((Q54*'Overview'!$B$18)+(R54*'Overview'!$B$19)+(S54*'Overview'!$B$20)+(T54*'Overview'!$B$21)+(U54*'Overview'!$B$22)+(V54*'Overview'!$B$23)+(W54*'Overview'!$B$24)+(X54*'Overview'!$B$25)-(Y54*'Overview'!$B$26)-(Z54*'Overview'!$B$27)-(AA54*'Overview'!$B$28))/5*100,0)))</x:f>
        <x:v>62</x:v>
      </x:c>
      <x:c r="AL54" s="53" t="str">
        <x:v>Public-health reference; local authority and scope still control.</x:v>
      </x:c>
    </x:row>
    <x:row r="55">
      <x:c r="A55" s="26" t="str">
        <x:v>PSP-052</x:v>
      </x:c>
      <x:c r="B55" s="26" t="str">
        <x:v>HEALTH</x:v>
      </x:c>
      <x:c r="C55" s="26" t="str">
        <x:v>WHO IRIS institutional repository</x:v>
      </x:c>
      <x:c r="D55" s="26" t="str">
        <x:v>World Health Organization</x:v>
      </x:c>
      <x:c r="E55" s="26" t="str">
        <x:v>Практический источник для групп HEALTH</x:v>
      </x:c>
      <x:c r="F55" s="26" t="str">
        <x:v>https://iris.who.int/</x:v>
      </x:c>
      <x:c r="G55" s="26" t="str">
        <x:v>https://iris.who.int/</x:v>
      </x:c>
      <x:c r="H55" s="26" t="str">
        <x:v>https://www.who.int/about/policies/publishing/copyright</x:v>
      </x:c>
      <x:c r="I55" s="26" t="str">
        <x:v>per-item license/third-party review</x:v>
      </x:c>
      <x:c r="J55" s="26" t="str">
        <x:v>multi</x:v>
      </x:c>
      <x:c r="K55" s="26" t="str">
        <x:v>International/reference</x:v>
      </x:c>
      <x:c r="L55" s="26" t="str">
        <x:v>PDF/metadata</x:v>
      </x:c>
      <x:c r="M55" s="26" t="str">
        <x:v>per-item download and rights capture</x:v>
      </x:c>
      <x:c r="N55" s="26" t="str">
        <x:v>L3</x:v>
      </x:c>
      <x:c r="O55" s="26" t="str">
        <x:v>S2_TRAINED_SUPERVISED</x:v>
      </x:c>
      <x:c r="P55" s="26" t="str">
        <x:v>ANNUAL_OR_EDITION</x:v>
      </x:c>
      <x:c r="Q55" s="26" t="n">
        <x:v>4</x:v>
      </x:c>
      <x:c r="R55" s="26" t="n">
        <x:v>4</x:v>
      </x:c>
      <x:c r="S55" s="26" t="n">
        <x:v>3</x:v>
      </x:c>
      <x:c r="T55" s="26" t="n">
        <x:v>4</x:v>
      </x:c>
      <x:c r="U55" s="26" t="n">
        <x:v>4</x:v>
      </x:c>
      <x:c r="V55" s="26" t="n">
        <x:v>3</x:v>
      </x:c>
      <x:c r="W55" s="26" t="n">
        <x:v>2</x:v>
      </x:c>
      <x:c r="X55" s="26" t="n">
        <x:v>4</x:v>
      </x:c>
      <x:c r="Y55" s="26" t="n">
        <x:v>2</x:v>
      </x:c>
      <x:c r="Z55" s="26" t="n">
        <x:v>2</x:v>
      </x:c>
      <x:c r="AA55" s="26" t="n">
        <x:v>1</x:v>
      </x:c>
      <x:c r="AB55" s="26" t="str">
        <x:v>CANDIDATE</x:v>
      </x:c>
      <x:c r="AC55" s="26" t="str">
        <x:v>NOT_DOWNLOADED</x:v>
      </x:c>
      <x:c r="AD55" s="26" t="str">
        <x:v>REQUIRES_ITEM_REVIEW</x:v>
      </x:c>
      <x:c r="AE55" s="26" t="str">
        <x:v>NOT_REVIEWED</x:v>
      </x:c>
      <x:c r="AF55" s="26" t="str">
        <x:v>NOT_TESTED</x:v>
      </x:c>
      <x:c r="AG55" s="26" t="str"/>
      <x:c r="AH55" s="26" t="str"/>
      <x:c r="AI55" s="26" t="str"/>
      <x:c r="AJ55" s="26" t="str"/>
      <x:c r="AK55" s="57" t="n">
        <x:f>MAX(0,MIN(100,ROUND(((Q55*'Overview'!$B$18)+(R55*'Overview'!$B$19)+(S55*'Overview'!$B$20)+(T55*'Overview'!$B$21)+(U55*'Overview'!$B$22)+(V55*'Overview'!$B$23)+(W55*'Overview'!$B$24)+(X55*'Overview'!$B$25)-(Y55*'Overview'!$B$26)-(Z55*'Overview'!$B$27)-(AA55*'Overview'!$B$28))/5*100,0)))</x:f>
        <x:v>62</x:v>
      </x:c>
      <x:c r="AL55" s="26" t="str">
        <x:v>Deep WHO publication archive.</x:v>
      </x:c>
    </x:row>
    <x:row r="56">
      <x:c r="A56" s="53" t="str">
        <x:v>PSP-053</x:v>
      </x:c>
      <x:c r="B56" s="53" t="str">
        <x:v>HEALTH</x:v>
      </x:c>
      <x:c r="C56" s="53" t="str">
        <x:v>ECDC publications and data</x:v>
      </x:c>
      <x:c r="D56" s="53" t="str">
        <x:v>European Centre for Disease Prevention and Control</x:v>
      </x:c>
      <x:c r="E56" s="53" t="str">
        <x:v>Практический источник для групп HEALTH</x:v>
      </x:c>
      <x:c r="F56" s="53" t="str">
        <x:v>https://www.ecdc.europa.eu/en/publications-data</x:v>
      </x:c>
      <x:c r="G56" s="53" t="str">
        <x:v>https://www.ecdc.europa.eu/en/publications-data</x:v>
      </x:c>
      <x:c r="H56" s="53" t="str">
        <x:v>https://www.ecdc.europa.eu/en/ecdc-intellectual-property-notices</x:v>
      </x:c>
      <x:c r="I56" s="53" t="str">
        <x:v>ECDC-owned public material usually CC BY 4.0 unless stated; exceptions apply</x:v>
      </x:c>
      <x:c r="J56" s="53" t="str">
        <x:v>en</x:v>
      </x:c>
      <x:c r="K56" s="53" t="str">
        <x:v>International/reference</x:v>
      </x:c>
      <x:c r="L56" s="53" t="str">
        <x:v>PDF/CSV/HTML</x:v>
      </x:c>
      <x:c r="M56" s="53" t="str">
        <x:v>per-item official download</x:v>
      </x:c>
      <x:c r="N56" s="53" t="str">
        <x:v>L2</x:v>
      </x:c>
      <x:c r="O56" s="53" t="str">
        <x:v>S2_TRAINED_SUPERVISED</x:v>
      </x:c>
      <x:c r="P56" s="53" t="str">
        <x:v>EVENT_OR_QUARTERLY</x:v>
      </x:c>
      <x:c r="Q56" s="53" t="n">
        <x:v>5</x:v>
      </x:c>
      <x:c r="R56" s="53" t="n">
        <x:v>4</x:v>
      </x:c>
      <x:c r="S56" s="53" t="n">
        <x:v>4</x:v>
      </x:c>
      <x:c r="T56" s="53" t="n">
        <x:v>4</x:v>
      </x:c>
      <x:c r="U56" s="53" t="n">
        <x:v>4</x:v>
      </x:c>
      <x:c r="V56" s="53" t="n">
        <x:v>4</x:v>
      </x:c>
      <x:c r="W56" s="53" t="n">
        <x:v>2</x:v>
      </x:c>
      <x:c r="X56" s="53" t="n">
        <x:v>4</x:v>
      </x:c>
      <x:c r="Y56" s="53" t="n">
        <x:v>2</x:v>
      </x:c>
      <x:c r="Z56" s="53" t="n">
        <x:v>4</x:v>
      </x:c>
      <x:c r="AA56" s="53" t="n">
        <x:v>2</x:v>
      </x:c>
      <x:c r="AB56" s="53" t="str">
        <x:v>CANDIDATE</x:v>
      </x:c>
      <x:c r="AC56" s="53" t="str">
        <x:v>NOT_DOWNLOADED</x:v>
      </x:c>
      <x:c r="AD56" s="53" t="str">
        <x:v>REQUIRES_ITEM_REVIEW</x:v>
      </x:c>
      <x:c r="AE56" s="53" t="str">
        <x:v>NOT_REVIEWED</x:v>
      </x:c>
      <x:c r="AF56" s="53" t="str">
        <x:v>NOT_TESTED</x:v>
      </x:c>
      <x:c r="AG56" s="53" t="str"/>
      <x:c r="AH56" s="53" t="str"/>
      <x:c r="AI56" s="53" t="str"/>
      <x:c r="AJ56" s="53" t="str"/>
      <x:c r="AK56" s="57" t="n">
        <x:f>MAX(0,MIN(100,ROUND(((Q56*'Overview'!$B$18)+(R56*'Overview'!$B$19)+(S56*'Overview'!$B$20)+(T56*'Overview'!$B$21)+(U56*'Overview'!$B$22)+(V56*'Overview'!$B$23)+(W56*'Overview'!$B$24)+(X56*'Overview'!$B$25)-(Y56*'Overview'!$B$26)-(Z56*'Overview'!$B$27)-(AA56*'Overview'!$B$28))/5*100,0)))</x:f>
        <x:v>67</x:v>
      </x:c>
      <x:c r="AL56" s="53" t="str">
        <x:v>EU surveillance and public-health guidance; dynamic data ages quickly.</x:v>
      </x:c>
    </x:row>
    <x:row r="57">
      <x:c r="A57" s="26" t="str">
        <x:v>PSP-054</x:v>
      </x:c>
      <x:c r="B57" s="26" t="str">
        <x:v>HEALTH</x:v>
      </x:c>
      <x:c r="C57" s="26" t="str">
        <x:v>CDC public-health reference subset</x:v>
      </x:c>
      <x:c r="D57" s="26" t="str">
        <x:v>US CDC</x:v>
      </x:c>
      <x:c r="E57" s="26" t="str">
        <x:v>Практический источник для групп HEALTH</x:v>
      </x:c>
      <x:c r="F57" s="26" t="str">
        <x:v>https://www.cdc.gov/</x:v>
      </x:c>
      <x:c r="G57" s="26" t="str">
        <x:v>https://www.cdc.gov/</x:v>
      </x:c>
      <x:c r="H57" s="26" t="str">
        <x:v>https://www.cdc.gov/other/agencymaterials.html</x:v>
      </x:c>
      <x:c r="I57" s="26" t="str">
        <x:v>many US government materials public domain; contractor/third-party exceptions</x:v>
      </x:c>
      <x:c r="J57" s="26" t="str">
        <x:v>en</x:v>
      </x:c>
      <x:c r="K57" s="26" t="str">
        <x:v>International/reference</x:v>
      </x:c>
      <x:c r="L57" s="26" t="str">
        <x:v>HTML/PDF</x:v>
      </x:c>
      <x:c r="M57" s="26" t="str">
        <x:v>per-item archive with date and local adaptation note</x:v>
      </x:c>
      <x:c r="N57" s="26" t="str">
        <x:v>L2</x:v>
      </x:c>
      <x:c r="O57" s="26" t="str">
        <x:v>S2_TRAINED_SUPERVISED</x:v>
      </x:c>
      <x:c r="P57" s="26" t="str">
        <x:v>ANNUAL_OR_EDITION</x:v>
      </x:c>
      <x:c r="Q57" s="26" t="n">
        <x:v>4</x:v>
      </x:c>
      <x:c r="R57" s="26" t="n">
        <x:v>4</x:v>
      </x:c>
      <x:c r="S57" s="26" t="n">
        <x:v>3</x:v>
      </x:c>
      <x:c r="T57" s="26" t="n">
        <x:v>4</x:v>
      </x:c>
      <x:c r="U57" s="26" t="n">
        <x:v>4</x:v>
      </x:c>
      <x:c r="V57" s="26" t="n">
        <x:v>3</x:v>
      </x:c>
      <x:c r="W57" s="26" t="n">
        <x:v>2</x:v>
      </x:c>
      <x:c r="X57" s="26" t="n">
        <x:v>4</x:v>
      </x:c>
      <x:c r="Y57" s="26" t="n">
        <x:v>2</x:v>
      </x:c>
      <x:c r="Z57" s="26" t="n">
        <x:v>2</x:v>
      </x:c>
      <x:c r="AA57" s="26" t="n">
        <x:v>1</x:v>
      </x:c>
      <x:c r="AB57" s="26" t="str">
        <x:v>CANDIDATE</x:v>
      </x:c>
      <x:c r="AC57" s="26" t="str">
        <x:v>NOT_DOWNLOADED</x:v>
      </x:c>
      <x:c r="AD57" s="26" t="str">
        <x:v>REQUIRES_ITEM_REVIEW</x:v>
      </x:c>
      <x:c r="AE57" s="26" t="str">
        <x:v>NOT_REVIEWED</x:v>
      </x:c>
      <x:c r="AF57" s="26" t="str">
        <x:v>NOT_TESTED</x:v>
      </x:c>
      <x:c r="AG57" s="26" t="str"/>
      <x:c r="AH57" s="26" t="str"/>
      <x:c r="AI57" s="26" t="str"/>
      <x:c r="AJ57" s="26" t="str"/>
      <x:c r="AK57" s="57" t="n">
        <x:f>MAX(0,MIN(100,ROUND(((Q57*'Overview'!$B$18)+(R57*'Overview'!$B$19)+(S57*'Overview'!$B$20)+(T57*'Overview'!$B$21)+(U57*'Overview'!$B$22)+(V57*'Overview'!$B$23)+(W57*'Overview'!$B$24)+(X57*'Overview'!$B$25)-(Y57*'Overview'!$B$26)-(Z57*'Overview'!$B$27)-(AA57*'Overview'!$B$28))/5*100,0)))</x:f>
        <x:v>62</x:v>
      </x:c>
      <x:c r="AL57" s="26" t="str">
        <x:v>US-reference only; replace contacts and jurisdictional instructions.</x:v>
      </x:c>
    </x:row>
    <x:row r="58">
      <x:c r="A58" s="53" t="str">
        <x:v>PSP-055</x:v>
      </x:c>
      <x:c r="B58" s="53" t="str">
        <x:v>HEALTH</x:v>
      </x:c>
      <x:c r="C58" s="53" t="str">
        <x:v>IFRC International First Aid Guidelines 2025</x:v>
      </x:c>
      <x:c r="D58" s="53" t="str">
        <x:v>International Federation of Red Cross and Red Crescent Societies</x:v>
      </x:c>
      <x:c r="E58" s="53" t="str">
        <x:v>Практический источник для групп HEALTH</x:v>
      </x:c>
      <x:c r="F58" s="53" t="str">
        <x:v>https://www.ifrc.org/document/ifrc-international-first-aid-resuscitation-and-education-guidelines-2025</x:v>
      </x:c>
      <x:c r="G58" s="53" t="str">
        <x:v>https://www.ifrc.org/document/ifrc-international-first-aid-resuscitation-and-education-guidelines-2025</x:v>
      </x:c>
      <x:c r="H58" s="53" t="str">
        <x:v>https://www.ifrc.org/copyright-and-terms-use</x:v>
      </x:c>
      <x:c r="I58" s="53" t="str">
        <x:v>IFRC copyright/item notice</x:v>
      </x:c>
      <x:c r="J58" s="53" t="str">
        <x:v>en</x:v>
      </x:c>
      <x:c r="K58" s="53" t="str">
        <x:v>International/reference</x:v>
      </x:c>
      <x:c r="L58" s="53" t="str">
        <x:v>PDF</x:v>
      </x:c>
      <x:c r="M58" s="53" t="str">
        <x:v>download exact edition after copyright review</x:v>
      </x:c>
      <x:c r="N58" s="53" t="str">
        <x:v>L1</x:v>
      </x:c>
      <x:c r="O58" s="53" t="str">
        <x:v>S2_TRAINED_SUPERVISED</x:v>
      </x:c>
      <x:c r="P58" s="53" t="str">
        <x:v>ANNUAL_OR_EDITION</x:v>
      </x:c>
      <x:c r="Q58" s="53" t="n">
        <x:v>4</x:v>
      </x:c>
      <x:c r="R58" s="53" t="n">
        <x:v>4</x:v>
      </x:c>
      <x:c r="S58" s="53" t="n">
        <x:v>3</x:v>
      </x:c>
      <x:c r="T58" s="53" t="n">
        <x:v>4</x:v>
      </x:c>
      <x:c r="U58" s="53" t="n">
        <x:v>4</x:v>
      </x:c>
      <x:c r="V58" s="53" t="n">
        <x:v>3</x:v>
      </x:c>
      <x:c r="W58" s="53" t="n">
        <x:v>2</x:v>
      </x:c>
      <x:c r="X58" s="53" t="n">
        <x:v>4</x:v>
      </x:c>
      <x:c r="Y58" s="53" t="n">
        <x:v>2</x:v>
      </x:c>
      <x:c r="Z58" s="53" t="n">
        <x:v>2</x:v>
      </x:c>
      <x:c r="AA58" s="53" t="n">
        <x:v>1</x:v>
      </x:c>
      <x:c r="AB58" s="53" t="str">
        <x:v>CANDIDATE</x:v>
      </x:c>
      <x:c r="AC58" s="53" t="str">
        <x:v>NOT_DOWNLOADED</x:v>
      </x:c>
      <x:c r="AD58" s="53" t="str">
        <x:v>REQUIRES_ITEM_REVIEW</x:v>
      </x:c>
      <x:c r="AE58" s="53" t="str">
        <x:v>NOT_REVIEWED</x:v>
      </x:c>
      <x:c r="AF58" s="53" t="str">
        <x:v>NOT_TESTED</x:v>
      </x:c>
      <x:c r="AG58" s="53" t="str"/>
      <x:c r="AH58" s="53" t="str"/>
      <x:c r="AI58" s="53" t="str"/>
      <x:c r="AJ58" s="53" t="str"/>
      <x:c r="AK58" s="57" t="n">
        <x:f>MAX(0,MIN(100,ROUND(((Q58*'Overview'!$B$18)+(R58*'Overview'!$B$19)+(S58*'Overview'!$B$20)+(T58*'Overview'!$B$21)+(U58*'Overview'!$B$22)+(V58*'Overview'!$B$23)+(W58*'Overview'!$B$24)+(X58*'Overview'!$B$25)-(Y58*'Overview'!$B$26)-(Z58*'Overview'!$B$27)-(AA58*'Overview'!$B$28))/5*100,0)))</x:f>
        <x:v>62</x:v>
      </x:c>
      <x:c r="AL58" s="53" t="str">
        <x:v>Trainer/reference layer; not a substitute for certified practice.</x:v>
      </x:c>
    </x:row>
    <x:row r="59">
      <x:c r="A59" s="26" t="str">
        <x:v>PSP-056</x:v>
      </x:c>
      <x:c r="B59" s="26" t="str">
        <x:v>HEALTH|PORT</x:v>
      </x:c>
      <x:c r="C59" s="26" t="str">
        <x:v>European Resuscitation Council Guidelines 2025</x:v>
      </x:c>
      <x:c r="D59" s="26" t="str">
        <x:v>European Resuscitation Council</x:v>
      </x:c>
      <x:c r="E59" s="26" t="str">
        <x:v>Практический источник для групп HEALTH|PORT</x:v>
      </x:c>
      <x:c r="F59" s="26" t="str">
        <x:v>https://www.erc.edu/science-research/guidelines/guidelines-2025/</x:v>
      </x:c>
      <x:c r="G59" s="26" t="str">
        <x:v>https://www.erc.edu/science-research/guidelines/guidelines-2025/</x:v>
      </x:c>
      <x:c r="H59" s="26" t="str">
        <x:v>https://www.erc.edu/terms-and-conditions/</x:v>
      </x:c>
      <x:c r="I59" s="26" t="str">
        <x:v>ERC copyright/item terms</x:v>
      </x:c>
      <x:c r="J59" s="26" t="str">
        <x:v>en</x:v>
      </x:c>
      <x:c r="K59" s="26" t="str">
        <x:v>Portugal/EU</x:v>
      </x:c>
      <x:c r="L59" s="26" t="str">
        <x:v>PDF</x:v>
      </x:c>
      <x:c r="M59" s="26" t="str">
        <x:v>download exact official sections after rights review</x:v>
      </x:c>
      <x:c r="N59" s="26" t="str">
        <x:v>L1</x:v>
      </x:c>
      <x:c r="O59" s="26" t="str">
        <x:v>S2_TRAINED_SUPERVISED</x:v>
      </x:c>
      <x:c r="P59" s="26" t="str">
        <x:v>ANNUAL_OR_EDITION</x:v>
      </x:c>
      <x:c r="Q59" s="26" t="n">
        <x:v>4</x:v>
      </x:c>
      <x:c r="R59" s="26" t="n">
        <x:v>4</x:v>
      </x:c>
      <x:c r="S59" s="26" t="n">
        <x:v>3</x:v>
      </x:c>
      <x:c r="T59" s="26" t="n">
        <x:v>4</x:v>
      </x:c>
      <x:c r="U59" s="26" t="n">
        <x:v>4</x:v>
      </x:c>
      <x:c r="V59" s="26" t="n">
        <x:v>3</x:v>
      </x:c>
      <x:c r="W59" s="26" t="n">
        <x:v>2</x:v>
      </x:c>
      <x:c r="X59" s="26" t="n">
        <x:v>4</x:v>
      </x:c>
      <x:c r="Y59" s="26" t="n">
        <x:v>2</x:v>
      </x:c>
      <x:c r="Z59" s="26" t="n">
        <x:v>2</x:v>
      </x:c>
      <x:c r="AA59" s="26" t="n">
        <x:v>1</x:v>
      </x:c>
      <x:c r="AB59" s="26" t="str">
        <x:v>CANDIDATE</x:v>
      </x:c>
      <x:c r="AC59" s="26" t="str">
        <x:v>NOT_DOWNLOADED</x:v>
      </x:c>
      <x:c r="AD59" s="26" t="str">
        <x:v>REQUIRES_ITEM_REVIEW</x:v>
      </x:c>
      <x:c r="AE59" s="26" t="str">
        <x:v>NOT_REVIEWED</x:v>
      </x:c>
      <x:c r="AF59" s="26" t="str">
        <x:v>NOT_TESTED</x:v>
      </x:c>
      <x:c r="AG59" s="26" t="str"/>
      <x:c r="AH59" s="26" t="str"/>
      <x:c r="AI59" s="26" t="str"/>
      <x:c r="AJ59" s="26" t="str"/>
      <x:c r="AK59" s="57" t="n">
        <x:f>MAX(0,MIN(100,ROUND(((Q59*'Overview'!$B$18)+(R59*'Overview'!$B$19)+(S59*'Overview'!$B$20)+(T59*'Overview'!$B$21)+(U59*'Overview'!$B$22)+(V59*'Overview'!$B$23)+(W59*'Overview'!$B$24)+(X59*'Overview'!$B$25)-(Y59*'Overview'!$B$26)-(Z59*'Overview'!$B$27)-(AA59*'Overview'!$B$28))/5*100,0)))</x:f>
        <x:v>62</x:v>
      </x:c>
      <x:c r="AL59" s="26" t="str">
        <x:v>Do not mix algorithm systems or editions.</x:v>
      </x:c>
    </x:row>
    <x:row r="60">
      <x:c r="A60" s="53" t="str">
        <x:v>PSP-057</x:v>
      </x:c>
      <x:c r="B60" s="53" t="str">
        <x:v>HEALTH|METH</x:v>
      </x:c>
      <x:c r="C60" s="53" t="str">
        <x:v>PubMed baseline citation data</x:v>
      </x:c>
      <x:c r="D60" s="53" t="str">
        <x:v>US NLM</x:v>
      </x:c>
      <x:c r="E60" s="53" t="str">
        <x:v>Практический источник для групп HEALTH|METH</x:v>
      </x:c>
      <x:c r="F60" s="53" t="str">
        <x:v>https://pubmed.ncbi.nlm.nih.gov/download/</x:v>
      </x:c>
      <x:c r="G60" s="53" t="str">
        <x:v>https://pubmed.ncbi.nlm.nih.gov/download/</x:v>
      </x:c>
      <x:c r="H60" s="53" t="str">
        <x:v>https://www.nlm.nih.gov/databases/download/terms_and_conditions.html</x:v>
      </x:c>
      <x:c r="I60" s="53" t="str">
        <x:v>NLM terms; abstracts may be copyrighted</x:v>
      </x:c>
      <x:c r="J60" s="53" t="str">
        <x:v>en</x:v>
      </x:c>
      <x:c r="K60" s="53" t="str">
        <x:v>International/reference</x:v>
      </x:c>
      <x:c r="L60" s="53" t="str">
        <x:v>XML/GZ</x:v>
      </x:c>
      <x:c r="M60" s="53" t="str">
        <x:v>official baseline/update files under NLM terms</x:v>
      </x:c>
      <x:c r="N60" s="53" t="str">
        <x:v>L4</x:v>
      </x:c>
      <x:c r="O60" s="53" t="str">
        <x:v>S0_OBSERVE_READ</x:v>
      </x:c>
      <x:c r="P60" s="53" t="str">
        <x:v>ANNUAL_OR_EDITION</x:v>
      </x:c>
      <x:c r="Q60" s="53" t="n">
        <x:v>2</x:v>
      </x:c>
      <x:c r="R60" s="53" t="n">
        <x:v>5</x:v>
      </x:c>
      <x:c r="S60" s="53" t="n">
        <x:v>1</x:v>
      </x:c>
      <x:c r="T60" s="53" t="n">
        <x:v>3</x:v>
      </x:c>
      <x:c r="U60" s="53" t="n">
        <x:v>2</x:v>
      </x:c>
      <x:c r="V60" s="53" t="n">
        <x:v>3</x:v>
      </x:c>
      <x:c r="W60" s="53" t="n">
        <x:v>1</x:v>
      </x:c>
      <x:c r="X60" s="53" t="n">
        <x:v>3</x:v>
      </x:c>
      <x:c r="Y60" s="53" t="n">
        <x:v>0</x:v>
      </x:c>
      <x:c r="Z60" s="53" t="n">
        <x:v>5</x:v>
      </x:c>
      <x:c r="AA60" s="53" t="n">
        <x:v>5</x:v>
      </x:c>
      <x:c r="AB60" s="53" t="str">
        <x:v>CANDIDATE</x:v>
      </x:c>
      <x:c r="AC60" s="53" t="str">
        <x:v>NOT_DOWNLOADED</x:v>
      </x:c>
      <x:c r="AD60" s="53" t="str">
        <x:v>REQUIRES_ITEM_REVIEW</x:v>
      </x:c>
      <x:c r="AE60" s="53" t="str">
        <x:v>NOT_REVIEWED</x:v>
      </x:c>
      <x:c r="AF60" s="53" t="str">
        <x:v>NOT_TESTED</x:v>
      </x:c>
      <x:c r="AG60" s="53" t="str"/>
      <x:c r="AH60" s="53" t="str"/>
      <x:c r="AI60" s="53" t="str"/>
      <x:c r="AJ60" s="53" t="str"/>
      <x:c r="AK60" s="57" t="n">
        <x:f>MAX(0,MIN(100,ROUND(((Q60*'Overview'!$B$18)+(R60*'Overview'!$B$19)+(S60*'Overview'!$B$20)+(T60*'Overview'!$B$21)+(U60*'Overview'!$B$22)+(V60*'Overview'!$B$23)+(W60*'Overview'!$B$24)+(X60*'Overview'!$B$25)-(Y60*'Overview'!$B$26)-(Z60*'Overview'!$B$27)-(AA60*'Overview'!$B$28))/5*100,0)))</x:f>
        <x:v>36</x:v>
      </x:c>
      <x:c r="AL60" s="53" t="str">
        <x:v>Discovery index, not an action source.</x:v>
      </x:c>
    </x:row>
    <x:row r="61">
      <x:c r="A61" s="26" t="str">
        <x:v>PSP-058</x:v>
      </x:c>
      <x:c r="B61" s="26" t="str">
        <x:v>HEALTH|LIFE</x:v>
      </x:c>
      <x:c r="C61" s="26" t="str">
        <x:v>PubMed Central Open Access subset</x:v>
      </x:c>
      <x:c r="D61" s="26" t="str">
        <x:v>US NLM</x:v>
      </x:c>
      <x:c r="E61" s="26" t="str">
        <x:v>Практический источник для групп HEALTH|LIFE</x:v>
      </x:c>
      <x:c r="F61" s="26" t="str">
        <x:v>https://pmc.ncbi.nlm.nih.gov/tools/openftlist/</x:v>
      </x:c>
      <x:c r="G61" s="26" t="str">
        <x:v>https://pmc.ncbi.nlm.nih.gov/tools/openftlist/</x:v>
      </x:c>
      <x:c r="H61" s="26" t="str">
        <x:v>https://pmc.ncbi.nlm.nih.gov/about/copyright/</x:v>
      </x:c>
      <x:c r="I61" s="26" t="str">
        <x:v>per-article licenses; OA subset is not a single CC corpus</x:v>
      </x:c>
      <x:c r="J61" s="26" t="str">
        <x:v>en</x:v>
      </x:c>
      <x:c r="K61" s="26" t="str">
        <x:v>International/reference</x:v>
      </x:c>
      <x:c r="L61" s="26" t="str">
        <x:v>JATS XML/PDF/TAR</x:v>
      </x:c>
      <x:c r="M61" s="26" t="str">
        <x:v>OA subset mechanisms only; retain per-article license</x:v>
      </x:c>
      <x:c r="N61" s="26" t="str">
        <x:v>L4</x:v>
      </x:c>
      <x:c r="O61" s="26" t="str">
        <x:v>S0_OBSERVE_READ</x:v>
      </x:c>
      <x:c r="P61" s="26" t="str">
        <x:v>ANNUAL_OR_EDITION</x:v>
      </x:c>
      <x:c r="Q61" s="26" t="n">
        <x:v>4</x:v>
      </x:c>
      <x:c r="R61" s="26" t="n">
        <x:v>4</x:v>
      </x:c>
      <x:c r="S61" s="26" t="n">
        <x:v>3</x:v>
      </x:c>
      <x:c r="T61" s="26" t="n">
        <x:v>4</x:v>
      </x:c>
      <x:c r="U61" s="26" t="n">
        <x:v>4</x:v>
      </x:c>
      <x:c r="V61" s="26" t="n">
        <x:v>3</x:v>
      </x:c>
      <x:c r="W61" s="26" t="n">
        <x:v>2</x:v>
      </x:c>
      <x:c r="X61" s="26" t="n">
        <x:v>4</x:v>
      </x:c>
      <x:c r="Y61" s="26" t="n">
        <x:v>1</x:v>
      </x:c>
      <x:c r="Z61" s="26" t="n">
        <x:v>2</x:v>
      </x:c>
      <x:c r="AA61" s="26" t="n">
        <x:v>1</x:v>
      </x:c>
      <x:c r="AB61" s="26" t="str">
        <x:v>CANDIDATE</x:v>
      </x:c>
      <x:c r="AC61" s="26" t="str">
        <x:v>NOT_DOWNLOADED</x:v>
      </x:c>
      <x:c r="AD61" s="26" t="str">
        <x:v>REQUIRES_ITEM_REVIEW</x:v>
      </x:c>
      <x:c r="AE61" s="26" t="str">
        <x:v>NOT_REVIEWED</x:v>
      </x:c>
      <x:c r="AF61" s="26" t="str">
        <x:v>NOT_TESTED</x:v>
      </x:c>
      <x:c r="AG61" s="26" t="str"/>
      <x:c r="AH61" s="26" t="str"/>
      <x:c r="AI61" s="26" t="str"/>
      <x:c r="AJ61" s="26" t="str"/>
      <x:c r="AK61" s="57" t="n">
        <x:f>MAX(0,MIN(100,ROUND(((Q61*'Overview'!$B$18)+(R61*'Overview'!$B$19)+(S61*'Overview'!$B$20)+(T61*'Overview'!$B$21)+(U61*'Overview'!$B$22)+(V61*'Overview'!$B$23)+(W61*'Overview'!$B$24)+(X61*'Overview'!$B$25)-(Y61*'Overview'!$B$26)-(Z61*'Overview'!$B$27)-(AA61*'Overview'!$B$28))/5*100,0)))</x:f>
        <x:v>65</x:v>
      </x:c>
      <x:c r="AL61" s="26" t="str">
        <x:v>Research background, not immediate treatment instructions.</x:v>
      </x:c>
    </x:row>
    <x:row r="62">
      <x:c r="A62" s="53" t="str">
        <x:v>PSP-059</x:v>
      </x:c>
      <x:c r="B62" s="53" t="str">
        <x:v>HEALTH|LIFE</x:v>
      </x:c>
      <x:c r="C62" s="53" t="str">
        <x:v>Europe PMC open-access downloads</x:v>
      </x:c>
      <x:c r="D62" s="53" t="str">
        <x:v>EMBL-EBI/Europe PMC</x:v>
      </x:c>
      <x:c r="E62" s="53" t="str">
        <x:v>Практический источник для групп HEALTH|LIFE</x:v>
      </x:c>
      <x:c r="F62" s="53" t="str">
        <x:v>https://europepmc.org/downloads</x:v>
      </x:c>
      <x:c r="G62" s="53" t="str">
        <x:v>https://europepmc.org/downloads</x:v>
      </x:c>
      <x:c r="H62" s="53" t="str">
        <x:v>https://europepmc.org/terms</x:v>
      </x:c>
      <x:c r="I62" s="53" t="str">
        <x:v>per-article rights and Europe PMC terms</x:v>
      </x:c>
      <x:c r="J62" s="53" t="str">
        <x:v>en</x:v>
      </x:c>
      <x:c r="K62" s="53" t="str">
        <x:v>International/reference</x:v>
      </x:c>
      <x:c r="L62" s="53" t="str">
        <x:v>XML/PDF/API</x:v>
      </x:c>
      <x:c r="M62" s="53" t="str">
        <x:v>approved OA mechanisms; retain per-article license</x:v>
      </x:c>
      <x:c r="N62" s="53" t="str">
        <x:v>L4</x:v>
      </x:c>
      <x:c r="O62" s="53" t="str">
        <x:v>S0_OBSERVE_READ</x:v>
      </x:c>
      <x:c r="P62" s="53" t="str">
        <x:v>ANNUAL_OR_EDITION</x:v>
      </x:c>
      <x:c r="Q62" s="53" t="n">
        <x:v>4</x:v>
      </x:c>
      <x:c r="R62" s="53" t="n">
        <x:v>4</x:v>
      </x:c>
      <x:c r="S62" s="53" t="n">
        <x:v>3</x:v>
      </x:c>
      <x:c r="T62" s="53" t="n">
        <x:v>4</x:v>
      </x:c>
      <x:c r="U62" s="53" t="n">
        <x:v>4</x:v>
      </x:c>
      <x:c r="V62" s="53" t="n">
        <x:v>3</x:v>
      </x:c>
      <x:c r="W62" s="53" t="n">
        <x:v>2</x:v>
      </x:c>
      <x:c r="X62" s="53" t="n">
        <x:v>4</x:v>
      </x:c>
      <x:c r="Y62" s="53" t="n">
        <x:v>1</x:v>
      </x:c>
      <x:c r="Z62" s="53" t="n">
        <x:v>2</x:v>
      </x:c>
      <x:c r="AA62" s="53" t="n">
        <x:v>1</x:v>
      </x:c>
      <x:c r="AB62" s="53" t="str">
        <x:v>CANDIDATE</x:v>
      </x:c>
      <x:c r="AC62" s="53" t="str">
        <x:v>NOT_DOWNLOADED</x:v>
      </x:c>
      <x:c r="AD62" s="53" t="str">
        <x:v>REQUIRES_ITEM_REVIEW</x:v>
      </x:c>
      <x:c r="AE62" s="53" t="str">
        <x:v>NOT_REVIEWED</x:v>
      </x:c>
      <x:c r="AF62" s="53" t="str">
        <x:v>NOT_TESTED</x:v>
      </x:c>
      <x:c r="AG62" s="53" t="str"/>
      <x:c r="AH62" s="53" t="str"/>
      <x:c r="AI62" s="53" t="str"/>
      <x:c r="AJ62" s="53" t="str"/>
      <x:c r="AK62" s="57" t="n">
        <x:f>MAX(0,MIN(100,ROUND(((Q62*'Overview'!$B$18)+(R62*'Overview'!$B$19)+(S62*'Overview'!$B$20)+(T62*'Overview'!$B$21)+(U62*'Overview'!$B$22)+(V62*'Overview'!$B$23)+(W62*'Overview'!$B$24)+(X62*'Overview'!$B$25)-(Y62*'Overview'!$B$26)-(Z62*'Overview'!$B$27)-(AA62*'Overview'!$B$28))/5*100,0)))</x:f>
        <x:v>65</x:v>
      </x:c>
      <x:c r="AL62" s="53" t="str">
        <x:v>Research archive and metadata.</x:v>
      </x:c>
    </x:row>
    <x:row r="63">
      <x:c r="A63" s="26" t="str">
        <x:v>PSP-060</x:v>
      </x:c>
      <x:c r="B63" s="26" t="str">
        <x:v>HEALTH|LIFE</x:v>
      </x:c>
      <x:c r="C63" s="26" t="str">
        <x:v>NCBI Bookshelf selected open books</x:v>
      </x:c>
      <x:c r="D63" s="26" t="str">
        <x:v>US NCBI/NLM</x:v>
      </x:c>
      <x:c r="E63" s="26" t="str">
        <x:v>Практический источник для групп HEALTH|LIFE</x:v>
      </x:c>
      <x:c r="F63" s="26" t="str">
        <x:v>https://www.ncbi.nlm.nih.gov/books/</x:v>
      </x:c>
      <x:c r="G63" s="26" t="str">
        <x:v>https://www.ncbi.nlm.nih.gov/books/</x:v>
      </x:c>
      <x:c r="H63" s="26" t="str">
        <x:v>https://www.ncbi.nlm.nih.gov/home/about/policies/</x:v>
      </x:c>
      <x:c r="I63" s="26" t="str">
        <x:v>rights per title/chapter</x:v>
      </x:c>
      <x:c r="J63" s="26" t="str">
        <x:v>en</x:v>
      </x:c>
      <x:c r="K63" s="26" t="str">
        <x:v>International/reference</x:v>
      </x:c>
      <x:c r="L63" s="26" t="str">
        <x:v>HTML/PDF/EPUB where offered</x:v>
      </x:c>
      <x:c r="M63" s="26" t="str">
        <x:v>per-title download only where explicitly offered</x:v>
      </x:c>
      <x:c r="N63" s="26" t="str">
        <x:v>L2</x:v>
      </x:c>
      <x:c r="O63" s="26" t="str">
        <x:v>S0_OBSERVE_READ</x:v>
      </x:c>
      <x:c r="P63" s="26" t="str">
        <x:v>ANNUAL_OR_EDITION</x:v>
      </x:c>
      <x:c r="Q63" s="26" t="n">
        <x:v>4</x:v>
      </x:c>
      <x:c r="R63" s="26" t="n">
        <x:v>4</x:v>
      </x:c>
      <x:c r="S63" s="26" t="n">
        <x:v>3</x:v>
      </x:c>
      <x:c r="T63" s="26" t="n">
        <x:v>4</x:v>
      </x:c>
      <x:c r="U63" s="26" t="n">
        <x:v>4</x:v>
      </x:c>
      <x:c r="V63" s="26" t="n">
        <x:v>3</x:v>
      </x:c>
      <x:c r="W63" s="26" t="n">
        <x:v>2</x:v>
      </x:c>
      <x:c r="X63" s="26" t="n">
        <x:v>4</x:v>
      </x:c>
      <x:c r="Y63" s="26" t="n">
        <x:v>1</x:v>
      </x:c>
      <x:c r="Z63" s="26" t="n">
        <x:v>2</x:v>
      </x:c>
      <x:c r="AA63" s="26" t="n">
        <x:v>1</x:v>
      </x:c>
      <x:c r="AB63" s="26" t="str">
        <x:v>CANDIDATE</x:v>
      </x:c>
      <x:c r="AC63" s="26" t="str">
        <x:v>NOT_DOWNLOADED</x:v>
      </x:c>
      <x:c r="AD63" s="26" t="str">
        <x:v>REQUIRES_ITEM_REVIEW</x:v>
      </x:c>
      <x:c r="AE63" s="26" t="str">
        <x:v>NOT_REVIEWED</x:v>
      </x:c>
      <x:c r="AF63" s="26" t="str">
        <x:v>NOT_TESTED</x:v>
      </x:c>
      <x:c r="AG63" s="26" t="str"/>
      <x:c r="AH63" s="26" t="str"/>
      <x:c r="AI63" s="26" t="str"/>
      <x:c r="AJ63" s="26" t="str"/>
      <x:c r="AK63" s="57" t="n">
        <x:f>MAX(0,MIN(100,ROUND(((Q63*'Overview'!$B$18)+(R63*'Overview'!$B$19)+(S63*'Overview'!$B$20)+(T63*'Overview'!$B$21)+(U63*'Overview'!$B$22)+(V63*'Overview'!$B$23)+(W63*'Overview'!$B$24)+(X63*'Overview'!$B$25)-(Y63*'Overview'!$B$26)-(Z63*'Overview'!$B$27)-(AA63*'Overview'!$B$28))/5*100,0)))</x:f>
        <x:v>65</x:v>
      </x:c>
      <x:c r="AL63" s="26" t="str">
        <x:v>Educational reference; licensing is not uniform.</x:v>
      </x:c>
    </x:row>
    <x:row r="64">
      <x:c r="A64" s="53" t="str">
        <x:v>PSP-061</x:v>
      </x:c>
      <x:c r="B64" s="53" t="str">
        <x:v>CIVIL|MECH|OPS</x:v>
      </x:c>
      <x:c r="C64" s="53" t="str">
        <x:v>NIST fire research publications subset</x:v>
      </x:c>
      <x:c r="D64" s="53" t="str">
        <x:v>NIST</x:v>
      </x:c>
      <x:c r="E64" s="53" t="str">
        <x:v>Практический источник для групп CIVIL|MECH|OPS</x:v>
      </x:c>
      <x:c r="F64" s="53" t="str">
        <x:v>https://www.nist.gov/fire</x:v>
      </x:c>
      <x:c r="G64" s="53" t="str">
        <x:v>https://www.nist.gov/fire</x:v>
      </x:c>
      <x:c r="H64" s="53" t="str">
        <x:v>https://www.nist.gov/open/copyright-fair-use-and-licensing-statements-srd-data-and-software</x:v>
      </x:c>
      <x:c r="I64" s="53" t="str">
        <x:v>NIST/US government terms; item review</x:v>
      </x:c>
      <x:c r="J64" s="53" t="str">
        <x:v>en</x:v>
      </x:c>
      <x:c r="K64" s="53" t="str">
        <x:v>International/reference</x:v>
      </x:c>
      <x:c r="L64" s="53" t="str">
        <x:v>PDF/data</x:v>
      </x:c>
      <x:c r="M64" s="53" t="str">
        <x:v>per-publication download and metadata capture</x:v>
      </x:c>
      <x:c r="N64" s="53" t="str">
        <x:v>L2</x:v>
      </x:c>
      <x:c r="O64" s="53" t="str">
        <x:v>S3_LICENSED_PROFESSIONAL</x:v>
      </x:c>
      <x:c r="P64" s="53" t="str">
        <x:v>ANNUAL_OR_EDITION</x:v>
      </x:c>
      <x:c r="Q64" s="53" t="n">
        <x:v>4</x:v>
      </x:c>
      <x:c r="R64" s="53" t="n">
        <x:v>4</x:v>
      </x:c>
      <x:c r="S64" s="53" t="n">
        <x:v>3</x:v>
      </x:c>
      <x:c r="T64" s="53" t="n">
        <x:v>4</x:v>
      </x:c>
      <x:c r="U64" s="53" t="n">
        <x:v>4</x:v>
      </x:c>
      <x:c r="V64" s="53" t="n">
        <x:v>3</x:v>
      </x:c>
      <x:c r="W64" s="53" t="n">
        <x:v>2</x:v>
      </x:c>
      <x:c r="X64" s="53" t="n">
        <x:v>4</x:v>
      </x:c>
      <x:c r="Y64" s="53" t="n">
        <x:v>4</x:v>
      </x:c>
      <x:c r="Z64" s="53" t="n">
        <x:v>2</x:v>
      </x:c>
      <x:c r="AA64" s="53" t="n">
        <x:v>1</x:v>
      </x:c>
      <x:c r="AB64" s="53" t="str">
        <x:v>CANDIDATE</x:v>
      </x:c>
      <x:c r="AC64" s="53" t="str">
        <x:v>NOT_DOWNLOADED</x:v>
      </x:c>
      <x:c r="AD64" s="53" t="str">
        <x:v>REQUIRES_ITEM_REVIEW</x:v>
      </x:c>
      <x:c r="AE64" s="53" t="str">
        <x:v>NOT_REVIEWED</x:v>
      </x:c>
      <x:c r="AF64" s="53" t="str">
        <x:v>NOT_TESTED</x:v>
      </x:c>
      <x:c r="AG64" s="53" t="str"/>
      <x:c r="AH64" s="53" t="str"/>
      <x:c r="AI64" s="53" t="str"/>
      <x:c r="AJ64" s="53" t="str"/>
      <x:c r="AK64" s="57" t="n">
        <x:f>MAX(0,MIN(100,ROUND(((Q64*'Overview'!$B$18)+(R64*'Overview'!$B$19)+(S64*'Overview'!$B$20)+(T64*'Overview'!$B$21)+(U64*'Overview'!$B$22)+(V64*'Overview'!$B$23)+(W64*'Overview'!$B$24)+(X64*'Overview'!$B$25)-(Y64*'Overview'!$B$26)-(Z64*'Overview'!$B$27)-(AA64*'Overview'!$B$28))/5*100,0)))</x:f>
        <x:v>56</x:v>
      </x:c>
      <x:c r="AL64" s="53" t="str">
        <x:v>Fire science and engineering; no household fire experiments.</x:v>
      </x:c>
    </x:row>
    <x:row r="65">
      <x:c r="A65" s="26" t="str">
        <x:v>PSP-062</x:v>
      </x:c>
      <x:c r="B65" s="26" t="str">
        <x:v>CIVIL|OPS</x:v>
      </x:c>
      <x:c r="C65" s="26" t="str">
        <x:v>FEMA Building Science resources</x:v>
      </x:c>
      <x:c r="D65" s="26" t="str">
        <x:v>US FEMA</x:v>
      </x:c>
      <x:c r="E65" s="26" t="str">
        <x:v>Практический источник для групп CIVIL|OPS</x:v>
      </x:c>
      <x:c r="F65" s="26" t="str">
        <x:v>https://www.fema.gov/emergency-managers/risk-management/building-science</x:v>
      </x:c>
      <x:c r="G65" s="26" t="str">
        <x:v>https://www.fema.gov/emergency-managers/risk-management/building-science</x:v>
      </x:c>
      <x:c r="H65" s="26" t="str">
        <x:v>https://www.fema.gov/about/website-information</x:v>
      </x:c>
      <x:c r="I65" s="26" t="str">
        <x:v>US government works with exceptions</x:v>
      </x:c>
      <x:c r="J65" s="26" t="str">
        <x:v>en</x:v>
      </x:c>
      <x:c r="K65" s="26" t="str">
        <x:v>International/reference</x:v>
      </x:c>
      <x:c r="L65" s="26" t="str">
        <x:v>PDF/HTML</x:v>
      </x:c>
      <x:c r="M65" s="26" t="str">
        <x:v>per-item official download</x:v>
      </x:c>
      <x:c r="N65" s="26" t="str">
        <x:v>L2</x:v>
      </x:c>
      <x:c r="O65" s="26" t="str">
        <x:v>S3_LICENSED_PROFESSIONAL</x:v>
      </x:c>
      <x:c r="P65" s="26" t="str">
        <x:v>ANNUAL_OR_EDITION</x:v>
      </x:c>
      <x:c r="Q65" s="26" t="n">
        <x:v>4</x:v>
      </x:c>
      <x:c r="R65" s="26" t="n">
        <x:v>4</x:v>
      </x:c>
      <x:c r="S65" s="26" t="n">
        <x:v>3</x:v>
      </x:c>
      <x:c r="T65" s="26" t="n">
        <x:v>4</x:v>
      </x:c>
      <x:c r="U65" s="26" t="n">
        <x:v>4</x:v>
      </x:c>
      <x:c r="V65" s="26" t="n">
        <x:v>3</x:v>
      </x:c>
      <x:c r="W65" s="26" t="n">
        <x:v>2</x:v>
      </x:c>
      <x:c r="X65" s="26" t="n">
        <x:v>4</x:v>
      </x:c>
      <x:c r="Y65" s="26" t="n">
        <x:v>4</x:v>
      </x:c>
      <x:c r="Z65" s="26" t="n">
        <x:v>2</x:v>
      </x:c>
      <x:c r="AA65" s="26" t="n">
        <x:v>1</x:v>
      </x:c>
      <x:c r="AB65" s="26" t="str">
        <x:v>CANDIDATE</x:v>
      </x:c>
      <x:c r="AC65" s="26" t="str">
        <x:v>NOT_DOWNLOADED</x:v>
      </x:c>
      <x:c r="AD65" s="26" t="str">
        <x:v>REQUIRES_ITEM_REVIEW</x:v>
      </x:c>
      <x:c r="AE65" s="26" t="str">
        <x:v>NOT_REVIEWED</x:v>
      </x:c>
      <x:c r="AF65" s="26" t="str">
        <x:v>NOT_TESTED</x:v>
      </x:c>
      <x:c r="AG65" s="26" t="str"/>
      <x:c r="AH65" s="26" t="str"/>
      <x:c r="AI65" s="26" t="str"/>
      <x:c r="AJ65" s="26" t="str"/>
      <x:c r="AK65" s="57" t="n">
        <x:f>MAX(0,MIN(100,ROUND(((Q65*'Overview'!$B$18)+(R65*'Overview'!$B$19)+(S65*'Overview'!$B$20)+(T65*'Overview'!$B$21)+(U65*'Overview'!$B$22)+(V65*'Overview'!$B$23)+(W65*'Overview'!$B$24)+(X65*'Overview'!$B$25)-(Y65*'Overview'!$B$26)-(Z65*'Overview'!$B$27)-(AA65*'Overview'!$B$28))/5*100,0)))</x:f>
        <x:v>56</x:v>
      </x:c>
      <x:c r="AL65" s="26" t="str">
        <x:v>Hazard-resistant building reference; US codes are not Portugal authority.</x:v>
      </x:c>
    </x:row>
    <x:row r="66">
      <x:c r="A66" s="53" t="str">
        <x:v>PSP-063</x:v>
      </x:c>
      <x:c r="B66" s="53" t="str">
        <x:v>CIVIL|EARTH</x:v>
      </x:c>
      <x:c r="C66" s="53" t="str">
        <x:v>US Army Corps of Engineers publications catalog</x:v>
      </x:c>
      <x:c r="D66" s="53" t="str">
        <x:v>USACE</x:v>
      </x:c>
      <x:c r="E66" s="53" t="str">
        <x:v>Практический источник для групп CIVIL|EARTH</x:v>
      </x:c>
      <x:c r="F66" s="53" t="str">
        <x:v>https://www.publications.usace.army.mil/</x:v>
      </x:c>
      <x:c r="G66" s="53" t="str">
        <x:v>https://www.publications.usace.army.mil/</x:v>
      </x:c>
      <x:c r="H66" s="53" t="str">
        <x:v>https://www.usace.army.mil/About/Copyright/</x:v>
      </x:c>
      <x:c r="I66" s="53" t="str">
        <x:v>US government works with exceptions/distribution limits</x:v>
      </x:c>
      <x:c r="J66" s="53" t="str">
        <x:v>en</x:v>
      </x:c>
      <x:c r="K66" s="53" t="str">
        <x:v>International/reference</x:v>
      </x:c>
      <x:c r="L66" s="53" t="str">
        <x:v>PDF</x:v>
      </x:c>
      <x:c r="M66" s="53" t="str">
        <x:v>selected manuals only; retain edition</x:v>
      </x:c>
      <x:c r="N66" s="53" t="str">
        <x:v>L3</x:v>
      </x:c>
      <x:c r="O66" s="53" t="str">
        <x:v>S3_LICENSED_PROFESSIONAL</x:v>
      </x:c>
      <x:c r="P66" s="53" t="str">
        <x:v>ANNUAL_OR_EDITION</x:v>
      </x:c>
      <x:c r="Q66" s="53" t="n">
        <x:v>4</x:v>
      </x:c>
      <x:c r="R66" s="53" t="n">
        <x:v>4</x:v>
      </x:c>
      <x:c r="S66" s="53" t="n">
        <x:v>3</x:v>
      </x:c>
      <x:c r="T66" s="53" t="n">
        <x:v>4</x:v>
      </x:c>
      <x:c r="U66" s="53" t="n">
        <x:v>4</x:v>
      </x:c>
      <x:c r="V66" s="53" t="n">
        <x:v>3</x:v>
      </x:c>
      <x:c r="W66" s="53" t="n">
        <x:v>2</x:v>
      </x:c>
      <x:c r="X66" s="53" t="n">
        <x:v>4</x:v>
      </x:c>
      <x:c r="Y66" s="53" t="n">
        <x:v>4</x:v>
      </x:c>
      <x:c r="Z66" s="53" t="n">
        <x:v>2</x:v>
      </x:c>
      <x:c r="AA66" s="53" t="n">
        <x:v>1</x:v>
      </x:c>
      <x:c r="AB66" s="53" t="str">
        <x:v>CANDIDATE</x:v>
      </x:c>
      <x:c r="AC66" s="53" t="str">
        <x:v>NOT_DOWNLOADED</x:v>
      </x:c>
      <x:c r="AD66" s="53" t="str">
        <x:v>REQUIRES_ITEM_REVIEW</x:v>
      </x:c>
      <x:c r="AE66" s="53" t="str">
        <x:v>NOT_REVIEWED</x:v>
      </x:c>
      <x:c r="AF66" s="53" t="str">
        <x:v>NOT_TESTED</x:v>
      </x:c>
      <x:c r="AG66" s="53" t="str"/>
      <x:c r="AH66" s="53" t="str"/>
      <x:c r="AI66" s="53" t="str"/>
      <x:c r="AJ66" s="53" t="str"/>
      <x:c r="AK66" s="57" t="n">
        <x:f>MAX(0,MIN(100,ROUND(((Q66*'Overview'!$B$18)+(R66*'Overview'!$B$19)+(S66*'Overview'!$B$20)+(T66*'Overview'!$B$21)+(U66*'Overview'!$B$22)+(V66*'Overview'!$B$23)+(W66*'Overview'!$B$24)+(X66*'Overview'!$B$25)-(Y66*'Overview'!$B$26)-(Z66*'Overview'!$B$27)-(AA66*'Overview'!$B$28))/5*100,0)))</x:f>
        <x:v>56</x:v>
      </x:c>
      <x:c r="AL66" s="53" t="str">
        <x:v>Deep engineering reference; professional-only execution.</x:v>
      </x:c>
    </x:row>
    <x:row r="67">
      <x:c r="A67" s="26" t="str">
        <x:v>PSP-064</x:v>
      </x:c>
      <x:c r="B67" s="26" t="str">
        <x:v>ELEC|CIVIL|OPS</x:v>
      </x:c>
      <x:c r="C67" s="26" t="str">
        <x:v>US DOE Energy Saver guides</x:v>
      </x:c>
      <x:c r="D67" s="26" t="str">
        <x:v>US Department of Energy</x:v>
      </x:c>
      <x:c r="E67" s="26" t="str">
        <x:v>Практический источник для групп ELEC|CIVIL|OPS</x:v>
      </x:c>
      <x:c r="F67" s="26" t="str">
        <x:v>https://www.energy.gov/energysaver/energy-saver-guide</x:v>
      </x:c>
      <x:c r="G67" s="26" t="str">
        <x:v>https://www.energy.gov/energysaver/energy-saver-guide</x:v>
      </x:c>
      <x:c r="H67" s="26" t="str">
        <x:v>https://www.energy.gov/web-policies</x:v>
      </x:c>
      <x:c r="I67" s="26" t="str">
        <x:v>US government works with exceptions</x:v>
      </x:c>
      <x:c r="J67" s="26" t="str">
        <x:v>en</x:v>
      </x:c>
      <x:c r="K67" s="26" t="str">
        <x:v>International/reference</x:v>
      </x:c>
      <x:c r="L67" s="26" t="str">
        <x:v>PDF/HTML</x:v>
      </x:c>
      <x:c r="M67" s="26" t="str">
        <x:v>download official guide/current pages</x:v>
      </x:c>
      <x:c r="N67" s="26" t="str">
        <x:v>L1</x:v>
      </x:c>
      <x:c r="O67" s="26" t="str">
        <x:v>S1_LOW_RISK_HOUSEHOLD</x:v>
      </x:c>
      <x:c r="P67" s="26" t="str">
        <x:v>ANNUAL_OR_EDITION</x:v>
      </x:c>
      <x:c r="Q67" s="26" t="n">
        <x:v>4</x:v>
      </x:c>
      <x:c r="R67" s="26" t="n">
        <x:v>4</x:v>
      </x:c>
      <x:c r="S67" s="26" t="n">
        <x:v>3</x:v>
      </x:c>
      <x:c r="T67" s="26" t="n">
        <x:v>4</x:v>
      </x:c>
      <x:c r="U67" s="26" t="n">
        <x:v>4</x:v>
      </x:c>
      <x:c r="V67" s="26" t="n">
        <x:v>3</x:v>
      </x:c>
      <x:c r="W67" s="26" t="n">
        <x:v>2</x:v>
      </x:c>
      <x:c r="X67" s="26" t="n">
        <x:v>4</x:v>
      </x:c>
      <x:c r="Y67" s="26" t="n">
        <x:v>1</x:v>
      </x:c>
      <x:c r="Z67" s="26" t="n">
        <x:v>2</x:v>
      </x:c>
      <x:c r="AA67" s="26" t="n">
        <x:v>1</x:v>
      </x:c>
      <x:c r="AB67" s="26" t="str">
        <x:v>CANDIDATE</x:v>
      </x:c>
      <x:c r="AC67" s="26" t="str">
        <x:v>NOT_DOWNLOADED</x:v>
      </x:c>
      <x:c r="AD67" s="26" t="str">
        <x:v>REQUIRES_ITEM_REVIEW</x:v>
      </x:c>
      <x:c r="AE67" s="26" t="str">
        <x:v>NOT_REVIEWED</x:v>
      </x:c>
      <x:c r="AF67" s="26" t="str">
        <x:v>NOT_TESTED</x:v>
      </x:c>
      <x:c r="AG67" s="26" t="str"/>
      <x:c r="AH67" s="26" t="str"/>
      <x:c r="AI67" s="26" t="str"/>
      <x:c r="AJ67" s="26" t="str"/>
      <x:c r="AK67" s="57" t="n">
        <x:f>MAX(0,MIN(100,ROUND(((Q67*'Overview'!$B$18)+(R67*'Overview'!$B$19)+(S67*'Overview'!$B$20)+(T67*'Overview'!$B$21)+(U67*'Overview'!$B$22)+(V67*'Overview'!$B$23)+(W67*'Overview'!$B$24)+(X67*'Overview'!$B$25)-(Y67*'Overview'!$B$26)-(Z67*'Overview'!$B$27)-(AA67*'Overview'!$B$28))/5*100,0)))</x:f>
        <x:v>65</x:v>
      </x:c>
      <x:c r="AL67" s="26" t="str">
        <x:v>Household energy-efficiency reference; electrical/gas work remains professional.</x:v>
      </x:c>
    </x:row>
    <x:row r="68">
      <x:c r="A68" s="53" t="str">
        <x:v>PSP-065</x:v>
      </x:c>
      <x:c r="B68" s="53" t="str">
        <x:v>ELEC|PHYS</x:v>
      </x:c>
      <x:c r="C68" s="53" t="str">
        <x:v>NREL photovoltaic research and handbooks catalog</x:v>
      </x:c>
      <x:c r="D68" s="53" t="str">
        <x:v>National Renewable Energy Laboratory</x:v>
      </x:c>
      <x:c r="E68" s="53" t="str">
        <x:v>Практический источник для групп ELEC|PHYS</x:v>
      </x:c>
      <x:c r="F68" s="53" t="str">
        <x:v>https://www.nrel.gov/research/publications.html</x:v>
      </x:c>
      <x:c r="G68" s="53" t="str">
        <x:v>https://www.nrel.gov/research/publications.html</x:v>
      </x:c>
      <x:c r="H68" s="53" t="str">
        <x:v>https://www.nrel.gov/security.html</x:v>
      </x:c>
      <x:c r="I68" s="53" t="str">
        <x:v>US government/laboratory terms; item exceptions</x:v>
      </x:c>
      <x:c r="J68" s="53" t="str">
        <x:v>en</x:v>
      </x:c>
      <x:c r="K68" s="53" t="str">
        <x:v>International/reference</x:v>
      </x:c>
      <x:c r="L68" s="53" t="str">
        <x:v>PDF/data</x:v>
      </x:c>
      <x:c r="M68" s="53" t="str">
        <x:v>per-publication download and item review</x:v>
      </x:c>
      <x:c r="N68" s="53" t="str">
        <x:v>L2</x:v>
      </x:c>
      <x:c r="O68" s="53" t="str">
        <x:v>S3_LICENSED_PROFESSIONAL</x:v>
      </x:c>
      <x:c r="P68" s="53" t="str">
        <x:v>ANNUAL_OR_EDITION</x:v>
      </x:c>
      <x:c r="Q68" s="53" t="n">
        <x:v>4</x:v>
      </x:c>
      <x:c r="R68" s="53" t="n">
        <x:v>4</x:v>
      </x:c>
      <x:c r="S68" s="53" t="n">
        <x:v>3</x:v>
      </x:c>
      <x:c r="T68" s="53" t="n">
        <x:v>4</x:v>
      </x:c>
      <x:c r="U68" s="53" t="n">
        <x:v>4</x:v>
      </x:c>
      <x:c r="V68" s="53" t="n">
        <x:v>3</x:v>
      </x:c>
      <x:c r="W68" s="53" t="n">
        <x:v>2</x:v>
      </x:c>
      <x:c r="X68" s="53" t="n">
        <x:v>4</x:v>
      </x:c>
      <x:c r="Y68" s="53" t="n">
        <x:v>4</x:v>
      </x:c>
      <x:c r="Z68" s="53" t="n">
        <x:v>2</x:v>
      </x:c>
      <x:c r="AA68" s="53" t="n">
        <x:v>1</x:v>
      </x:c>
      <x:c r="AB68" s="53" t="str">
        <x:v>CANDIDATE</x:v>
      </x:c>
      <x:c r="AC68" s="53" t="str">
        <x:v>NOT_DOWNLOADED</x:v>
      </x:c>
      <x:c r="AD68" s="53" t="str">
        <x:v>REQUIRES_ITEM_REVIEW</x:v>
      </x:c>
      <x:c r="AE68" s="53" t="str">
        <x:v>NOT_REVIEWED</x:v>
      </x:c>
      <x:c r="AF68" s="53" t="str">
        <x:v>NOT_TESTED</x:v>
      </x:c>
      <x:c r="AG68" s="53" t="str"/>
      <x:c r="AH68" s="53" t="str"/>
      <x:c r="AI68" s="53" t="str"/>
      <x:c r="AJ68" s="53" t="str"/>
      <x:c r="AK68" s="57" t="n">
        <x:f>MAX(0,MIN(100,ROUND(((Q68*'Overview'!$B$18)+(R68*'Overview'!$B$19)+(S68*'Overview'!$B$20)+(T68*'Overview'!$B$21)+(U68*'Overview'!$B$22)+(V68*'Overview'!$B$23)+(W68*'Overview'!$B$24)+(X68*'Overview'!$B$25)-(Y68*'Overview'!$B$26)-(Z68*'Overview'!$B$27)-(AA68*'Overview'!$B$28))/5*100,0)))</x:f>
        <x:v>56</x:v>
      </x:c>
      <x:c r="AL68" s="53" t="str">
        <x:v>PV performance and systems; installation remains professional.</x:v>
      </x:c>
    </x:row>
    <x:row r="69">
      <x:c r="A69" s="26" t="str">
        <x:v>PSP-066</x:v>
      </x:c>
      <x:c r="B69" s="26" t="str">
        <x:v>CIVIL|MECH|HEALTH</x:v>
      </x:c>
      <x:c r="C69" s="26" t="str">
        <x:v>EU-OSHA publications</x:v>
      </x:c>
      <x:c r="D69" s="26" t="str">
        <x:v>European Agency for Safety and Health at Work</x:v>
      </x:c>
      <x:c r="E69" s="26" t="str">
        <x:v>Практический источник для групп CIVIL|MECH|HEALTH</x:v>
      </x:c>
      <x:c r="F69" s="26" t="str">
        <x:v>https://osha.europa.eu/en/publications</x:v>
      </x:c>
      <x:c r="G69" s="26" t="str">
        <x:v>https://osha.europa.eu/en/publications</x:v>
      </x:c>
      <x:c r="H69" s="26" t="str">
        <x:v>https://osha.europa.eu/en/legal-notice</x:v>
      </x:c>
      <x:c r="I69" s="26" t="str">
        <x:v>EU-OSHA legal notice/third-party exceptions</x:v>
      </x:c>
      <x:c r="J69" s="26" t="str">
        <x:v>multi</x:v>
      </x:c>
      <x:c r="K69" s="26" t="str">
        <x:v>International/reference</x:v>
      </x:c>
      <x:c r="L69" s="26" t="str">
        <x:v>PDF/HTML</x:v>
      </x:c>
      <x:c r="M69" s="26" t="str">
        <x:v>per-item official download</x:v>
      </x:c>
      <x:c r="N69" s="26" t="str">
        <x:v>L2</x:v>
      </x:c>
      <x:c r="O69" s="26" t="str">
        <x:v>S2_TRAINED_SUPERVISED</x:v>
      </x:c>
      <x:c r="P69" s="26" t="str">
        <x:v>ANNUAL_OR_EDITION</x:v>
      </x:c>
      <x:c r="Q69" s="26" t="n">
        <x:v>4</x:v>
      </x:c>
      <x:c r="R69" s="26" t="n">
        <x:v>4</x:v>
      </x:c>
      <x:c r="S69" s="26" t="n">
        <x:v>3</x:v>
      </x:c>
      <x:c r="T69" s="26" t="n">
        <x:v>4</x:v>
      </x:c>
      <x:c r="U69" s="26" t="n">
        <x:v>4</x:v>
      </x:c>
      <x:c r="V69" s="26" t="n">
        <x:v>3</x:v>
      </x:c>
      <x:c r="W69" s="26" t="n">
        <x:v>2</x:v>
      </x:c>
      <x:c r="X69" s="26" t="n">
        <x:v>4</x:v>
      </x:c>
      <x:c r="Y69" s="26" t="n">
        <x:v>2</x:v>
      </x:c>
      <x:c r="Z69" s="26" t="n">
        <x:v>2</x:v>
      </x:c>
      <x:c r="AA69" s="26" t="n">
        <x:v>1</x:v>
      </x:c>
      <x:c r="AB69" s="26" t="str">
        <x:v>CANDIDATE</x:v>
      </x:c>
      <x:c r="AC69" s="26" t="str">
        <x:v>NOT_DOWNLOADED</x:v>
      </x:c>
      <x:c r="AD69" s="26" t="str">
        <x:v>REQUIRES_ITEM_REVIEW</x:v>
      </x:c>
      <x:c r="AE69" s="26" t="str">
        <x:v>NOT_REVIEWED</x:v>
      </x:c>
      <x:c r="AF69" s="26" t="str">
        <x:v>NOT_TESTED</x:v>
      </x:c>
      <x:c r="AG69" s="26" t="str"/>
      <x:c r="AH69" s="26" t="str"/>
      <x:c r="AI69" s="26" t="str"/>
      <x:c r="AJ69" s="26" t="str"/>
      <x:c r="AK69" s="57" t="n">
        <x:f>MAX(0,MIN(100,ROUND(((Q69*'Overview'!$B$18)+(R69*'Overview'!$B$19)+(S69*'Overview'!$B$20)+(T69*'Overview'!$B$21)+(U69*'Overview'!$B$22)+(V69*'Overview'!$B$23)+(W69*'Overview'!$B$24)+(X69*'Overview'!$B$25)-(Y69*'Overview'!$B$26)-(Z69*'Overview'!$B$27)-(AA69*'Overview'!$B$28))/5*100,0)))</x:f>
        <x:v>62</x:v>
      </x:c>
      <x:c r="AL69" s="26" t="str">
        <x:v>Occupational safety and human factors.</x:v>
      </x:c>
    </x:row>
    <x:row r="70">
      <x:c r="A70" s="53" t="str">
        <x:v>PSP-067</x:v>
      </x:c>
      <x:c r="B70" s="53" t="str">
        <x:v>CHEM|MECH|CIVIL</x:v>
      </x:c>
      <x:c r="C70" s="53" t="str">
        <x:v>ECHA chemicals and safety information</x:v>
      </x:c>
      <x:c r="D70" s="53" t="str">
        <x:v>European Chemicals Agency</x:v>
      </x:c>
      <x:c r="E70" s="53" t="str">
        <x:v>Практический источник для групп CHEM|MECH|CIVIL</x:v>
      </x:c>
      <x:c r="F70" s="53" t="str">
        <x:v>https://echa.europa.eu/information-on-chemicals</x:v>
      </x:c>
      <x:c r="G70" s="53" t="str">
        <x:v>https://echa.europa.eu/information-on-chemicals</x:v>
      </x:c>
      <x:c r="H70" s="53" t="str">
        <x:v>https://echa.europa.eu/legal-notice</x:v>
      </x:c>
      <x:c r="I70" s="53" t="str">
        <x:v>ECHA legal/database terms</x:v>
      </x:c>
      <x:c r="J70" s="53" t="str">
        <x:v>en</x:v>
      </x:c>
      <x:c r="K70" s="53" t="str">
        <x:v>International/reference</x:v>
      </x:c>
      <x:c r="L70" s="53" t="str">
        <x:v>HTML/data</x:v>
      </x:c>
      <x:c r="M70" s="53" t="str">
        <x:v>metadata/reference snapshots only per terms</x:v>
      </x:c>
      <x:c r="N70" s="53" t="str">
        <x:v>L2</x:v>
      </x:c>
      <x:c r="O70" s="53" t="str">
        <x:v>S3_LICENSED_PROFESSIONAL</x:v>
      </x:c>
      <x:c r="P70" s="53" t="str">
        <x:v>ANNUAL_OR_EDITION</x:v>
      </x:c>
      <x:c r="Q70" s="53" t="n">
        <x:v>4</x:v>
      </x:c>
      <x:c r="R70" s="53" t="n">
        <x:v>4</x:v>
      </x:c>
      <x:c r="S70" s="53" t="n">
        <x:v>3</x:v>
      </x:c>
      <x:c r="T70" s="53" t="n">
        <x:v>4</x:v>
      </x:c>
      <x:c r="U70" s="53" t="n">
        <x:v>4</x:v>
      </x:c>
      <x:c r="V70" s="53" t="n">
        <x:v>3</x:v>
      </x:c>
      <x:c r="W70" s="53" t="n">
        <x:v>2</x:v>
      </x:c>
      <x:c r="X70" s="53" t="n">
        <x:v>4</x:v>
      </x:c>
      <x:c r="Y70" s="53" t="n">
        <x:v>4</x:v>
      </x:c>
      <x:c r="Z70" s="53" t="n">
        <x:v>2</x:v>
      </x:c>
      <x:c r="AA70" s="53" t="n">
        <x:v>1</x:v>
      </x:c>
      <x:c r="AB70" s="53" t="str">
        <x:v>CANDIDATE</x:v>
      </x:c>
      <x:c r="AC70" s="53" t="str">
        <x:v>NOT_DOWNLOADED</x:v>
      </x:c>
      <x:c r="AD70" s="53" t="str">
        <x:v>REQUIRES_ITEM_REVIEW</x:v>
      </x:c>
      <x:c r="AE70" s="53" t="str">
        <x:v>NOT_REVIEWED</x:v>
      </x:c>
      <x:c r="AF70" s="53" t="str">
        <x:v>NOT_TESTED</x:v>
      </x:c>
      <x:c r="AG70" s="53" t="str"/>
      <x:c r="AH70" s="53" t="str"/>
      <x:c r="AI70" s="53" t="str"/>
      <x:c r="AJ70" s="53" t="str"/>
      <x:c r="AK70" s="57" t="n">
        <x:f>MAX(0,MIN(100,ROUND(((Q70*'Overview'!$B$18)+(R70*'Overview'!$B$19)+(S70*'Overview'!$B$20)+(T70*'Overview'!$B$21)+(U70*'Overview'!$B$22)+(V70*'Overview'!$B$23)+(W70*'Overview'!$B$24)+(X70*'Overview'!$B$25)-(Y70*'Overview'!$B$26)-(Z70*'Overview'!$B$27)-(AA70*'Overview'!$B$28))/5*100,0)))</x:f>
        <x:v>56</x:v>
      </x:c>
      <x:c r="AL70" s="53" t="str">
        <x:v>Chemical hazards and regulatory data; never a synthesis manual.</x:v>
      </x:c>
    </x:row>
    <x:row r="71">
      <x:c r="A71" s="26" t="str">
        <x:v>PSP-068</x:v>
      </x:c>
      <x:c r="B71" s="26" t="str">
        <x:v>CIVIL|MECH|ELEC</x:v>
      </x:c>
      <x:c r="C71" s="26" t="str">
        <x:v>European standards catalog metadata</x:v>
      </x:c>
      <x:c r="D71" s="26" t="str">
        <x:v>CEN/CENELEC</x:v>
      </x:c>
      <x:c r="E71" s="26" t="str">
        <x:v>Практический источник для групп CIVIL|MECH|ELEC</x:v>
      </x:c>
      <x:c r="F71" s="26" t="str">
        <x:v>https://standards.cencenelec.eu/</x:v>
      </x:c>
      <x:c r="G71" s="26" t="str">
        <x:v>https://standards.cencenelec.eu/</x:v>
      </x:c>
      <x:c r="H71" s="26" t="str">
        <x:v>https://www.cencenelec.eu/bottom-navigation/legal/</x:v>
      </x:c>
      <x:c r="I71" s="26" t="str">
        <x:v>copyrighted standards; no unauthorized copying</x:v>
      </x:c>
      <x:c r="J71" s="26" t="str">
        <x:v>en</x:v>
      </x:c>
      <x:c r="K71" s="26" t="str">
        <x:v>International/reference</x:v>
      </x:c>
      <x:c r="L71" s="26" t="str">
        <x:v>metadata</x:v>
      </x:c>
      <x:c r="M71" s="26" t="str">
        <x:v>store citation/edition/legitimate purchased access metadata only</x:v>
      </x:c>
      <x:c r="N71" s="26" t="str">
        <x:v>L1</x:v>
      </x:c>
      <x:c r="O71" s="26" t="str">
        <x:v>S3_LICENSED_PROFESSIONAL</x:v>
      </x:c>
      <x:c r="P71" s="26" t="str">
        <x:v>ANNUAL_OR_EDITION</x:v>
      </x:c>
      <x:c r="Q71" s="26" t="n">
        <x:v>4</x:v>
      </x:c>
      <x:c r="R71" s="26" t="n">
        <x:v>4</x:v>
      </x:c>
      <x:c r="S71" s="26" t="n">
        <x:v>3</x:v>
      </x:c>
      <x:c r="T71" s="26" t="n">
        <x:v>4</x:v>
      </x:c>
      <x:c r="U71" s="26" t="n">
        <x:v>4</x:v>
      </x:c>
      <x:c r="V71" s="26" t="n">
        <x:v>3</x:v>
      </x:c>
      <x:c r="W71" s="26" t="n">
        <x:v>2</x:v>
      </x:c>
      <x:c r="X71" s="26" t="n">
        <x:v>4</x:v>
      </x:c>
      <x:c r="Y71" s="26" t="n">
        <x:v>4</x:v>
      </x:c>
      <x:c r="Z71" s="26" t="n">
        <x:v>2</x:v>
      </x:c>
      <x:c r="AA71" s="26" t="n">
        <x:v>1</x:v>
      </x:c>
      <x:c r="AB71" s="26" t="str">
        <x:v>CANDIDATE</x:v>
      </x:c>
      <x:c r="AC71" s="26" t="str">
        <x:v>NOT_DOWNLOADED</x:v>
      </x:c>
      <x:c r="AD71" s="26" t="str">
        <x:v>REFERENCE_ONLY_NO_COPY</x:v>
      </x:c>
      <x:c r="AE71" s="26" t="str">
        <x:v>NOT_REVIEWED</x:v>
      </x:c>
      <x:c r="AF71" s="26" t="str">
        <x:v>NOT_TESTED</x:v>
      </x:c>
      <x:c r="AG71" s="26" t="str"/>
      <x:c r="AH71" s="26" t="str"/>
      <x:c r="AI71" s="26" t="str"/>
      <x:c r="AJ71" s="26" t="str"/>
      <x:c r="AK71" s="57" t="n">
        <x:f>MAX(0,MIN(100,ROUND(((Q71*'Overview'!$B$18)+(R71*'Overview'!$B$19)+(S71*'Overview'!$B$20)+(T71*'Overview'!$B$21)+(U71*'Overview'!$B$22)+(V71*'Overview'!$B$23)+(W71*'Overview'!$B$24)+(X71*'Overview'!$B$25)-(Y71*'Overview'!$B$26)-(Z71*'Overview'!$B$27)-(AA71*'Overview'!$B$28))/5*100,0)))</x:f>
        <x:v>56</x:v>
      </x:c>
      <x:c r="AL71" s="26" t="str">
        <x:v>Standards index, not content payload.</x:v>
      </x:c>
    </x:row>
    <x:row r="72">
      <x:c r="A72" s="53" t="str">
        <x:v>PSP-069</x:v>
      </x:c>
      <x:c r="B72" s="53" t="str">
        <x:v>ELEC|COMP</x:v>
      </x:c>
      <x:c r="C72" s="53" t="str">
        <x:v>IEC Electropedia and publications catalog</x:v>
      </x:c>
      <x:c r="D72" s="53" t="str">
        <x:v>IEC</x:v>
      </x:c>
      <x:c r="E72" s="53" t="str">
        <x:v>Практический источник для групп ELEC|COMP</x:v>
      </x:c>
      <x:c r="F72" s="53" t="str">
        <x:v>https://www.electropedia.org/</x:v>
      </x:c>
      <x:c r="G72" s="53" t="str">
        <x:v>https://www.electropedia.org/</x:v>
      </x:c>
      <x:c r="H72" s="53" t="str">
        <x:v>https://www.iec.ch/copyright</x:v>
      </x:c>
      <x:c r="I72" s="53" t="str">
        <x:v>IEC copyright</x:v>
      </x:c>
      <x:c r="J72" s="53" t="str">
        <x:v>multi</x:v>
      </x:c>
      <x:c r="K72" s="53" t="str">
        <x:v>International/reference</x:v>
      </x:c>
      <x:c r="L72" s="53" t="str">
        <x:v>HTML/metadata</x:v>
      </x:c>
      <x:c r="M72" s="53" t="str">
        <x:v>store permitted terminology/citations; standards via lawful access</x:v>
      </x:c>
      <x:c r="N72" s="53" t="str">
        <x:v>L1</x:v>
      </x:c>
      <x:c r="O72" s="53" t="str">
        <x:v>S3_LICENSED_PROFESSIONAL</x:v>
      </x:c>
      <x:c r="P72" s="53" t="str">
        <x:v>ANNUAL_OR_EDITION</x:v>
      </x:c>
      <x:c r="Q72" s="53" t="n">
        <x:v>4</x:v>
      </x:c>
      <x:c r="R72" s="53" t="n">
        <x:v>4</x:v>
      </x:c>
      <x:c r="S72" s="53" t="n">
        <x:v>3</x:v>
      </x:c>
      <x:c r="T72" s="53" t="n">
        <x:v>4</x:v>
      </x:c>
      <x:c r="U72" s="53" t="n">
        <x:v>4</x:v>
      </x:c>
      <x:c r="V72" s="53" t="n">
        <x:v>3</x:v>
      </x:c>
      <x:c r="W72" s="53" t="n">
        <x:v>2</x:v>
      </x:c>
      <x:c r="X72" s="53" t="n">
        <x:v>4</x:v>
      </x:c>
      <x:c r="Y72" s="53" t="n">
        <x:v>4</x:v>
      </x:c>
      <x:c r="Z72" s="53" t="n">
        <x:v>2</x:v>
      </x:c>
      <x:c r="AA72" s="53" t="n">
        <x:v>1</x:v>
      </x:c>
      <x:c r="AB72" s="53" t="str">
        <x:v>CANDIDATE</x:v>
      </x:c>
      <x:c r="AC72" s="53" t="str">
        <x:v>NOT_DOWNLOADED</x:v>
      </x:c>
      <x:c r="AD72" s="53" t="str">
        <x:v>REFERENCE_ONLY_NO_COPY</x:v>
      </x:c>
      <x:c r="AE72" s="53" t="str">
        <x:v>NOT_REVIEWED</x:v>
      </x:c>
      <x:c r="AF72" s="53" t="str">
        <x:v>NOT_TESTED</x:v>
      </x:c>
      <x:c r="AG72" s="53" t="str"/>
      <x:c r="AH72" s="53" t="str"/>
      <x:c r="AI72" s="53" t="str"/>
      <x:c r="AJ72" s="53" t="str"/>
      <x:c r="AK72" s="57" t="n">
        <x:f>MAX(0,MIN(100,ROUND(((Q72*'Overview'!$B$18)+(R72*'Overview'!$B$19)+(S72*'Overview'!$B$20)+(T72*'Overview'!$B$21)+(U72*'Overview'!$B$22)+(V72*'Overview'!$B$23)+(W72*'Overview'!$B$24)+(X72*'Overview'!$B$25)-(Y72*'Overview'!$B$26)-(Z72*'Overview'!$B$27)-(AA72*'Overview'!$B$28))/5*100,0)))</x:f>
        <x:v>56</x:v>
      </x:c>
      <x:c r="AL72" s="53" t="str">
        <x:v>Terminology and standards discovery; no unauthorized standards mirror.</x:v>
      </x:c>
    </x:row>
    <x:row r="73">
      <x:c r="A73" s="26" t="str">
        <x:v>PSP-070</x:v>
      </x:c>
      <x:c r="B73" s="26" t="str">
        <x:v>CIVIL|PORT</x:v>
      </x:c>
      <x:c r="C73" s="26" t="str">
        <x:v>LNEC scientific repository</x:v>
      </x:c>
      <x:c r="D73" s="26" t="str">
        <x:v>Laboratório Nacional de Engenharia Civil</x:v>
      </x:c>
      <x:c r="E73" s="26" t="str">
        <x:v>Практический источник для групп CIVIL|PORT</x:v>
      </x:c>
      <x:c r="F73" s="26" t="str">
        <x:v>https://repositorio.lnec.pt/</x:v>
      </x:c>
      <x:c r="G73" s="26" t="str">
        <x:v>https://repositorio.lnec.pt/</x:v>
      </x:c>
      <x:c r="H73" s="26" t="str">
        <x:v>https://www.lnec.pt/pt/servicos/biblioteca-e-documentacao/</x:v>
      </x:c>
      <x:c r="I73" s="26" t="str">
        <x:v>repository/item rights vary</x:v>
      </x:c>
      <x:c r="J73" s="26" t="str">
        <x:v>pt|en</x:v>
      </x:c>
      <x:c r="K73" s="26" t="str">
        <x:v>Portugal/EU</x:v>
      </x:c>
      <x:c r="L73" s="26" t="str">
        <x:v>PDF/metadata</x:v>
      </x:c>
      <x:c r="M73" s="26" t="str">
        <x:v>per-item repository download after rights notice review</x:v>
      </x:c>
      <x:c r="N73" s="26" t="str">
        <x:v>L2</x:v>
      </x:c>
      <x:c r="O73" s="26" t="str">
        <x:v>S3_LICENSED_PROFESSIONAL</x:v>
      </x:c>
      <x:c r="P73" s="26" t="str">
        <x:v>ANNUAL_OR_EDITION</x:v>
      </x:c>
      <x:c r="Q73" s="26" t="n">
        <x:v>4</x:v>
      </x:c>
      <x:c r="R73" s="26" t="n">
        <x:v>4</x:v>
      </x:c>
      <x:c r="S73" s="26" t="n">
        <x:v>3</x:v>
      </x:c>
      <x:c r="T73" s="26" t="n">
        <x:v>4</x:v>
      </x:c>
      <x:c r="U73" s="26" t="n">
        <x:v>4</x:v>
      </x:c>
      <x:c r="V73" s="26" t="n">
        <x:v>3</x:v>
      </x:c>
      <x:c r="W73" s="26" t="n">
        <x:v>2</x:v>
      </x:c>
      <x:c r="X73" s="26" t="n">
        <x:v>4</x:v>
      </x:c>
      <x:c r="Y73" s="26" t="n">
        <x:v>4</x:v>
      </x:c>
      <x:c r="Z73" s="26" t="n">
        <x:v>2</x:v>
      </x:c>
      <x:c r="AA73" s="26" t="n">
        <x:v>1</x:v>
      </x:c>
      <x:c r="AB73" s="26" t="str">
        <x:v>CANDIDATE</x:v>
      </x:c>
      <x:c r="AC73" s="26" t="str">
        <x:v>NOT_DOWNLOADED</x:v>
      </x:c>
      <x:c r="AD73" s="26" t="str">
        <x:v>REQUIRES_ITEM_REVIEW</x:v>
      </x:c>
      <x:c r="AE73" s="26" t="str">
        <x:v>NOT_REVIEWED</x:v>
      </x:c>
      <x:c r="AF73" s="26" t="str">
        <x:v>NOT_TESTED</x:v>
      </x:c>
      <x:c r="AG73" s="26" t="str"/>
      <x:c r="AH73" s="26" t="str"/>
      <x:c r="AI73" s="26" t="str"/>
      <x:c r="AJ73" s="26" t="str"/>
      <x:c r="AK73" s="57" t="n">
        <x:f>MAX(0,MIN(100,ROUND(((Q73*'Overview'!$B$18)+(R73*'Overview'!$B$19)+(S73*'Overview'!$B$20)+(T73*'Overview'!$B$21)+(U73*'Overview'!$B$22)+(V73*'Overview'!$B$23)+(W73*'Overview'!$B$24)+(X73*'Overview'!$B$25)-(Y73*'Overview'!$B$26)-(Z73*'Overview'!$B$27)-(AA73*'Overview'!$B$28))/5*100,0)))</x:f>
        <x:v>56</x:v>
      </x:c>
      <x:c r="AL73" s="26" t="str">
        <x:v>Portugal civil engineering and applied research.</x:v>
      </x:c>
    </x:row>
    <x:row r="74">
      <x:c r="A74" s="53" t="str">
        <x:v>PSP-071</x:v>
      </x:c>
      <x:c r="B74" s="53" t="str">
        <x:v>COMP</x:v>
      </x:c>
      <x:c r="C74" s="53" t="str">
        <x:v>Debian installation media and package archive</x:v>
      </x:c>
      <x:c r="D74" s="53" t="str">
        <x:v>Debian Project</x:v>
      </x:c>
      <x:c r="E74" s="53" t="str">
        <x:v>Практический источник для групп COMP</x:v>
      </x:c>
      <x:c r="F74" s="53" t="str">
        <x:v>https://www.debian.org/distrib/</x:v>
      </x:c>
      <x:c r="G74" s="53" t="str">
        <x:v>https://www.debian.org/distrib/</x:v>
      </x:c>
      <x:c r="H74" s="53" t="str">
        <x:v>https://www.debian.org/legal/licenses/</x:v>
      </x:c>
      <x:c r="I74" s="53" t="str">
        <x:v>package licenses vary; Debian main policy and per-package license</x:v>
      </x:c>
      <x:c r="J74" s="53" t="str">
        <x:v>multi</x:v>
      </x:c>
      <x:c r="K74" s="53" t="str">
        <x:v>International/reference</x:v>
      </x:c>
      <x:c r="L74" s="53" t="str">
        <x:v>ISO/packages/source</x:v>
      </x:c>
      <x:c r="M74" s="53" t="str">
        <x:v>official ISO/jigdo/mirror subset with checksums/signatures</x:v>
      </x:c>
      <x:c r="N74" s="53" t="str">
        <x:v>L2</x:v>
      </x:c>
      <x:c r="O74" s="53" t="str">
        <x:v>S0_OBSERVE_READ</x:v>
      </x:c>
      <x:c r="P74" s="53" t="str">
        <x:v>ANNUAL_OR_EDITION</x:v>
      </x:c>
      <x:c r="Q74" s="53" t="n">
        <x:v>5</x:v>
      </x:c>
      <x:c r="R74" s="53" t="n">
        <x:v>5</x:v>
      </x:c>
      <x:c r="S74" s="53" t="n">
        <x:v>5</x:v>
      </x:c>
      <x:c r="T74" s="53" t="n">
        <x:v>5</x:v>
      </x:c>
      <x:c r="U74" s="53" t="n">
        <x:v>5</x:v>
      </x:c>
      <x:c r="V74" s="53" t="n">
        <x:v>4</x:v>
      </x:c>
      <x:c r="W74" s="53" t="n">
        <x:v>4</x:v>
      </x:c>
      <x:c r="X74" s="53" t="n">
        <x:v>5</x:v>
      </x:c>
      <x:c r="Y74" s="53" t="n">
        <x:v>0</x:v>
      </x:c>
      <x:c r="Z74" s="53" t="n">
        <x:v>2</x:v>
      </x:c>
      <x:c r="AA74" s="53" t="n">
        <x:v>3</x:v>
      </x:c>
      <x:c r="AB74" s="53" t="str">
        <x:v>CANDIDATE</x:v>
      </x:c>
      <x:c r="AC74" s="53" t="str">
        <x:v>NOT_DOWNLOADED</x:v>
      </x:c>
      <x:c r="AD74" s="53" t="str">
        <x:v>REQUIRES_ITEM_REVIEW</x:v>
      </x:c>
      <x:c r="AE74" s="53" t="str">
        <x:v>NOT_REVIEWED</x:v>
      </x:c>
      <x:c r="AF74" s="53" t="str">
        <x:v>NOT_TESTED</x:v>
      </x:c>
      <x:c r="AG74" s="53" t="str"/>
      <x:c r="AH74" s="53" t="str"/>
      <x:c r="AI74" s="53" t="str"/>
      <x:c r="AJ74" s="53" t="str"/>
      <x:c r="AK74" s="57" t="n">
        <x:f>MAX(0,MIN(100,ROUND(((Q74*'Overview'!$B$18)+(R74*'Overview'!$B$19)+(S74*'Overview'!$B$20)+(T74*'Overview'!$B$21)+(U74*'Overview'!$B$22)+(V74*'Overview'!$B$23)+(W74*'Overview'!$B$24)+(X74*'Overview'!$B$25)-(Y74*'Overview'!$B$26)-(Z74*'Overview'!$B$27)-(AA74*'Overview'!$B$28))/5*100,0)))</x:f>
        <x:v>90</x:v>
      </x:c>
      <x:c r="AL74" s="53" t="str">
        <x:v>Offline OS installation and source availability.</x:v>
      </x:c>
    </x:row>
    <x:row r="75">
      <x:c r="A75" s="26" t="str">
        <x:v>PSP-072</x:v>
      </x:c>
      <x:c r="B75" s="26" t="str">
        <x:v>COMP</x:v>
      </x:c>
      <x:c r="C75" s="26" t="str">
        <x:v>Debian package mirror documentation</x:v>
      </x:c>
      <x:c r="D75" s="26" t="str">
        <x:v>Debian Project</x:v>
      </x:c>
      <x:c r="E75" s="26" t="str">
        <x:v>Практический источник для групп COMP</x:v>
      </x:c>
      <x:c r="F75" s="26" t="str">
        <x:v>https://www.debian.org/mirror/</x:v>
      </x:c>
      <x:c r="G75" s="26" t="str">
        <x:v>https://www.debian.org/mirror/</x:v>
      </x:c>
      <x:c r="H75" s="26" t="str">
        <x:v>https://www.debian.org/legal/licenses/</x:v>
      </x:c>
      <x:c r="I75" s="26" t="str">
        <x:v>per-package license; mirror policy</x:v>
      </x:c>
      <x:c r="J75" s="26" t="str">
        <x:v>en</x:v>
      </x:c>
      <x:c r="K75" s="26" t="str">
        <x:v>International/reference</x:v>
      </x:c>
      <x:c r="L75" s="26" t="str">
        <x:v>HTML/scripts/metadata</x:v>
      </x:c>
      <x:c r="M75" s="26" t="str">
        <x:v>archive mirror tooling/docs and selected package pool</x:v>
      </x:c>
      <x:c r="N75" s="26" t="str">
        <x:v>L1</x:v>
      </x:c>
      <x:c r="O75" s="26" t="str">
        <x:v>S0_OBSERVE_READ</x:v>
      </x:c>
      <x:c r="P75" s="26" t="str">
        <x:v>ANNUAL_OR_EDITION</x:v>
      </x:c>
      <x:c r="Q75" s="26" t="n">
        <x:v>4</x:v>
      </x:c>
      <x:c r="R75" s="26" t="n">
        <x:v>4</x:v>
      </x:c>
      <x:c r="S75" s="26" t="n">
        <x:v>3</x:v>
      </x:c>
      <x:c r="T75" s="26" t="n">
        <x:v>4</x:v>
      </x:c>
      <x:c r="U75" s="26" t="n">
        <x:v>4</x:v>
      </x:c>
      <x:c r="V75" s="26" t="n">
        <x:v>3</x:v>
      </x:c>
      <x:c r="W75" s="26" t="n">
        <x:v>2</x:v>
      </x:c>
      <x:c r="X75" s="26" t="n">
        <x:v>4</x:v>
      </x:c>
      <x:c r="Y75" s="26" t="n">
        <x:v>1</x:v>
      </x:c>
      <x:c r="Z75" s="26" t="n">
        <x:v>2</x:v>
      </x:c>
      <x:c r="AA75" s="26" t="n">
        <x:v>1</x:v>
      </x:c>
      <x:c r="AB75" s="26" t="str">
        <x:v>CANDIDATE</x:v>
      </x:c>
      <x:c r="AC75" s="26" t="str">
        <x:v>NOT_DOWNLOADED</x:v>
      </x:c>
      <x:c r="AD75" s="26" t="str">
        <x:v>REQUIRES_ITEM_REVIEW</x:v>
      </x:c>
      <x:c r="AE75" s="26" t="str">
        <x:v>NOT_REVIEWED</x:v>
      </x:c>
      <x:c r="AF75" s="26" t="str">
        <x:v>NOT_TESTED</x:v>
      </x:c>
      <x:c r="AG75" s="26" t="str"/>
      <x:c r="AH75" s="26" t="str"/>
      <x:c r="AI75" s="26" t="str"/>
      <x:c r="AJ75" s="26" t="str"/>
      <x:c r="AK75" s="57" t="n">
        <x:f>MAX(0,MIN(100,ROUND(((Q75*'Overview'!$B$18)+(R75*'Overview'!$B$19)+(S75*'Overview'!$B$20)+(T75*'Overview'!$B$21)+(U75*'Overview'!$B$22)+(V75*'Overview'!$B$23)+(W75*'Overview'!$B$24)+(X75*'Overview'!$B$25)-(Y75*'Overview'!$B$26)-(Z75*'Overview'!$B$27)-(AA75*'Overview'!$B$28))/5*100,0)))</x:f>
        <x:v>65</x:v>
      </x:c>
      <x:c r="AL75" s="26" t="str">
        <x:v>Controlled offline repository construction.</x:v>
      </x:c>
    </x:row>
    <x:row r="76">
      <x:c r="A76" s="53" t="str">
        <x:v>PSP-073</x:v>
      </x:c>
      <x:c r="B76" s="53" t="str">
        <x:v>COMP|MATH|METH</x:v>
      </x:c>
      <x:c r="C76" s="53" t="str">
        <x:v>Python documentation download</x:v>
      </x:c>
      <x:c r="D76" s="53" t="str">
        <x:v>Python Software Foundation</x:v>
      </x:c>
      <x:c r="E76" s="53" t="str">
        <x:v>Практический источник для групп COMP|MATH|METH</x:v>
      </x:c>
      <x:c r="F76" s="53" t="str">
        <x:v>https://docs.python.org/3/download.html</x:v>
      </x:c>
      <x:c r="G76" s="53" t="str">
        <x:v>https://docs.python.org/3/download.html</x:v>
      </x:c>
      <x:c r="H76" s="53" t="str">
        <x:v>https://docs.python.org/3/license.html</x:v>
      </x:c>
      <x:c r="I76" s="53" t="str">
        <x:v>PSF Documentation License</x:v>
      </x:c>
      <x:c r="J76" s="53" t="str">
        <x:v>en</x:v>
      </x:c>
      <x:c r="K76" s="53" t="str">
        <x:v>International/reference</x:v>
      </x:c>
      <x:c r="L76" s="53" t="str">
        <x:v>HTML/PDF/EPUB</x:v>
      </x:c>
      <x:c r="M76" s="53" t="str">
        <x:v>official documentation archive per maintained version</x:v>
      </x:c>
      <x:c r="N76" s="53" t="str">
        <x:v>L1</x:v>
      </x:c>
      <x:c r="O76" s="53" t="str">
        <x:v>S0_OBSERVE_READ</x:v>
      </x:c>
      <x:c r="P76" s="53" t="str">
        <x:v>ANNUAL_OR_EDITION</x:v>
      </x:c>
      <x:c r="Q76" s="53" t="n">
        <x:v>4</x:v>
      </x:c>
      <x:c r="R76" s="53" t="n">
        <x:v>4</x:v>
      </x:c>
      <x:c r="S76" s="53" t="n">
        <x:v>3</x:v>
      </x:c>
      <x:c r="T76" s="53" t="n">
        <x:v>4</x:v>
      </x:c>
      <x:c r="U76" s="53" t="n">
        <x:v>4</x:v>
      </x:c>
      <x:c r="V76" s="53" t="n">
        <x:v>3</x:v>
      </x:c>
      <x:c r="W76" s="53" t="n">
        <x:v>2</x:v>
      </x:c>
      <x:c r="X76" s="53" t="n">
        <x:v>4</x:v>
      </x:c>
      <x:c r="Y76" s="53" t="n">
        <x:v>1</x:v>
      </x:c>
      <x:c r="Z76" s="53" t="n">
        <x:v>2</x:v>
      </x:c>
      <x:c r="AA76" s="53" t="n">
        <x:v>1</x:v>
      </x:c>
      <x:c r="AB76" s="53" t="str">
        <x:v>CANDIDATE</x:v>
      </x:c>
      <x:c r="AC76" s="53" t="str">
        <x:v>NOT_DOWNLOADED</x:v>
      </x:c>
      <x:c r="AD76" s="53" t="str">
        <x:v>REQUIRES_ITEM_REVIEW</x:v>
      </x:c>
      <x:c r="AE76" s="53" t="str">
        <x:v>NOT_REVIEWED</x:v>
      </x:c>
      <x:c r="AF76" s="53" t="str">
        <x:v>NOT_TESTED</x:v>
      </x:c>
      <x:c r="AG76" s="53" t="str"/>
      <x:c r="AH76" s="53" t="str"/>
      <x:c r="AI76" s="53" t="str"/>
      <x:c r="AJ76" s="53" t="str"/>
      <x:c r="AK76" s="57" t="n">
        <x:f>MAX(0,MIN(100,ROUND(((Q76*'Overview'!$B$18)+(R76*'Overview'!$B$19)+(S76*'Overview'!$B$20)+(T76*'Overview'!$B$21)+(U76*'Overview'!$B$22)+(V76*'Overview'!$B$23)+(W76*'Overview'!$B$24)+(X76*'Overview'!$B$25)-(Y76*'Overview'!$B$26)-(Z76*'Overview'!$B$27)-(AA76*'Overview'!$B$28))/5*100,0)))</x:f>
        <x:v>65</x:v>
      </x:c>
      <x:c r="AL76" s="53" t="str">
        <x:v>Programming and local scientific analysis.</x:v>
      </x:c>
    </x:row>
    <x:row r="77">
      <x:c r="A77" s="26" t="str">
        <x:v>PSP-074</x:v>
      </x:c>
      <x:c r="B77" s="26" t="str">
        <x:v>COMP</x:v>
      </x:c>
      <x:c r="C77" s="26" t="str">
        <x:v>GNU manuals selected toolchain set</x:v>
      </x:c>
      <x:c r="D77" s="26" t="str">
        <x:v>GNU Project</x:v>
      </x:c>
      <x:c r="E77" s="26" t="str">
        <x:v>Практический источник для групп COMP</x:v>
      </x:c>
      <x:c r="F77" s="26" t="str">
        <x:v>https://www.gnu.org/manual/manual.html</x:v>
      </x:c>
      <x:c r="G77" s="26" t="str">
        <x:v>https://www.gnu.org/manual/manual.html</x:v>
      </x:c>
      <x:c r="H77" s="26" t="str">
        <x:v>https://www.gnu.org/licenses/licenses.html</x:v>
      </x:c>
      <x:c r="I77" s="26" t="str">
        <x:v>license per manual/software</x:v>
      </x:c>
      <x:c r="J77" s="26" t="str">
        <x:v>multi</x:v>
      </x:c>
      <x:c r="K77" s="26" t="str">
        <x:v>International/reference</x:v>
      </x:c>
      <x:c r="L77" s="26" t="str">
        <x:v>HTML/PDF/Info/source</x:v>
      </x:c>
      <x:c r="M77" s="26" t="str">
        <x:v>download manuals/source from official mirrors</x:v>
      </x:c>
      <x:c r="N77" s="26" t="str">
        <x:v>L2</x:v>
      </x:c>
      <x:c r="O77" s="26" t="str">
        <x:v>S0_OBSERVE_READ</x:v>
      </x:c>
      <x:c r="P77" s="26" t="str">
        <x:v>ANNUAL_OR_EDITION</x:v>
      </x:c>
      <x:c r="Q77" s="26" t="n">
        <x:v>4</x:v>
      </x:c>
      <x:c r="R77" s="26" t="n">
        <x:v>4</x:v>
      </x:c>
      <x:c r="S77" s="26" t="n">
        <x:v>3</x:v>
      </x:c>
      <x:c r="T77" s="26" t="n">
        <x:v>4</x:v>
      </x:c>
      <x:c r="U77" s="26" t="n">
        <x:v>4</x:v>
      </x:c>
      <x:c r="V77" s="26" t="n">
        <x:v>3</x:v>
      </x:c>
      <x:c r="W77" s="26" t="n">
        <x:v>2</x:v>
      </x:c>
      <x:c r="X77" s="26" t="n">
        <x:v>4</x:v>
      </x:c>
      <x:c r="Y77" s="26" t="n">
        <x:v>1</x:v>
      </x:c>
      <x:c r="Z77" s="26" t="n">
        <x:v>2</x:v>
      </x:c>
      <x:c r="AA77" s="26" t="n">
        <x:v>1</x:v>
      </x:c>
      <x:c r="AB77" s="26" t="str">
        <x:v>CANDIDATE</x:v>
      </x:c>
      <x:c r="AC77" s="26" t="str">
        <x:v>NOT_DOWNLOADED</x:v>
      </x:c>
      <x:c r="AD77" s="26" t="str">
        <x:v>REQUIRES_ITEM_REVIEW</x:v>
      </x:c>
      <x:c r="AE77" s="26" t="str">
        <x:v>NOT_REVIEWED</x:v>
      </x:c>
      <x:c r="AF77" s="26" t="str">
        <x:v>NOT_TESTED</x:v>
      </x:c>
      <x:c r="AG77" s="26" t="str"/>
      <x:c r="AH77" s="26" t="str"/>
      <x:c r="AI77" s="26" t="str"/>
      <x:c r="AJ77" s="26" t="str"/>
      <x:c r="AK77" s="57" t="n">
        <x:f>MAX(0,MIN(100,ROUND(((Q77*'Overview'!$B$18)+(R77*'Overview'!$B$19)+(S77*'Overview'!$B$20)+(T77*'Overview'!$B$21)+(U77*'Overview'!$B$22)+(V77*'Overview'!$B$23)+(W77*'Overview'!$B$24)+(X77*'Overview'!$B$25)-(Y77*'Overview'!$B$26)-(Z77*'Overview'!$B$27)-(AA77*'Overview'!$B$28))/5*100,0)))</x:f>
        <x:v>65</x:v>
      </x:c>
      <x:c r="AL77" s="26" t="str">
        <x:v>Compilers, shell and foundational utilities.</x:v>
      </x:c>
    </x:row>
    <x:row r="78">
      <x:c r="A78" s="53" t="str">
        <x:v>PSP-075</x:v>
      </x:c>
      <x:c r="B78" s="53" t="str">
        <x:v>COMP</x:v>
      </x:c>
      <x:c r="C78" s="53" t="str">
        <x:v>Linux kernel documentation source</x:v>
      </x:c>
      <x:c r="D78" s="53" t="str">
        <x:v>Linux Kernel Organization</x:v>
      </x:c>
      <x:c r="E78" s="53" t="str">
        <x:v>Практический источник для групп COMP</x:v>
      </x:c>
      <x:c r="F78" s="53" t="str">
        <x:v>https://www.kernel.org/doc/html/latest/</x:v>
      </x:c>
      <x:c r="G78" s="53" t="str">
        <x:v>https://www.kernel.org/doc/html/latest/</x:v>
      </x:c>
      <x:c r="H78" s="53" t="str">
        <x:v>https://www.kernel.org/category/about.html</x:v>
      </x:c>
      <x:c r="I78" s="53" t="str">
        <x:v>GPL and documentation licenses per tree</x:v>
      </x:c>
      <x:c r="J78" s="53" t="str">
        <x:v>en</x:v>
      </x:c>
      <x:c r="K78" s="53" t="str">
        <x:v>International/reference</x:v>
      </x:c>
      <x:c r="L78" s="53" t="str">
        <x:v>HTML/source</x:v>
      </x:c>
      <x:c r="M78" s="53" t="str">
        <x:v>archive exact kernel documentation/source version</x:v>
      </x:c>
      <x:c r="N78" s="53" t="str">
        <x:v>L2</x:v>
      </x:c>
      <x:c r="O78" s="53" t="str">
        <x:v>S0_OBSERVE_READ</x:v>
      </x:c>
      <x:c r="P78" s="53" t="str">
        <x:v>ANNUAL_OR_EDITION</x:v>
      </x:c>
      <x:c r="Q78" s="53" t="n">
        <x:v>4</x:v>
      </x:c>
      <x:c r="R78" s="53" t="n">
        <x:v>4</x:v>
      </x:c>
      <x:c r="S78" s="53" t="n">
        <x:v>3</x:v>
      </x:c>
      <x:c r="T78" s="53" t="n">
        <x:v>4</x:v>
      </x:c>
      <x:c r="U78" s="53" t="n">
        <x:v>4</x:v>
      </x:c>
      <x:c r="V78" s="53" t="n">
        <x:v>3</x:v>
      </x:c>
      <x:c r="W78" s="53" t="n">
        <x:v>2</x:v>
      </x:c>
      <x:c r="X78" s="53" t="n">
        <x:v>4</x:v>
      </x:c>
      <x:c r="Y78" s="53" t="n">
        <x:v>1</x:v>
      </x:c>
      <x:c r="Z78" s="53" t="n">
        <x:v>2</x:v>
      </x:c>
      <x:c r="AA78" s="53" t="n">
        <x:v>1</x:v>
      </x:c>
      <x:c r="AB78" s="53" t="str">
        <x:v>CANDIDATE</x:v>
      </x:c>
      <x:c r="AC78" s="53" t="str">
        <x:v>NOT_DOWNLOADED</x:v>
      </x:c>
      <x:c r="AD78" s="53" t="str">
        <x:v>REQUIRES_ITEM_REVIEW</x:v>
      </x:c>
      <x:c r="AE78" s="53" t="str">
        <x:v>NOT_REVIEWED</x:v>
      </x:c>
      <x:c r="AF78" s="53" t="str">
        <x:v>NOT_TESTED</x:v>
      </x:c>
      <x:c r="AG78" s="53" t="str"/>
      <x:c r="AH78" s="53" t="str"/>
      <x:c r="AI78" s="53" t="str"/>
      <x:c r="AJ78" s="53" t="str"/>
      <x:c r="AK78" s="57" t="n">
        <x:f>MAX(0,MIN(100,ROUND(((Q78*'Overview'!$B$18)+(R78*'Overview'!$B$19)+(S78*'Overview'!$B$20)+(T78*'Overview'!$B$21)+(U78*'Overview'!$B$22)+(V78*'Overview'!$B$23)+(W78*'Overview'!$B$24)+(X78*'Overview'!$B$25)-(Y78*'Overview'!$B$26)-(Z78*'Overview'!$B$27)-(AA78*'Overview'!$B$28))/5*100,0)))</x:f>
        <x:v>65</x:v>
      </x:c>
      <x:c r="AL78" s="53" t="str">
        <x:v>System internals; pin to archived kernel versions.</x:v>
      </x:c>
    </x:row>
    <x:row r="79">
      <x:c r="A79" s="26" t="str">
        <x:v>PSP-076</x:v>
      </x:c>
      <x:c r="B79" s="26" t="str">
        <x:v>COMP|OPS</x:v>
      </x:c>
      <x:c r="C79" s="26" t="str">
        <x:v>PostgreSQL documentation</x:v>
      </x:c>
      <x:c r="D79" s="26" t="str">
        <x:v>PostgreSQL Global Development Group</x:v>
      </x:c>
      <x:c r="E79" s="26" t="str">
        <x:v>Практический источник для групп COMP|OPS</x:v>
      </x:c>
      <x:c r="F79" s="26" t="str">
        <x:v>https://www.postgresql.org/docs/</x:v>
      </x:c>
      <x:c r="G79" s="26" t="str">
        <x:v>https://www.postgresql.org/docs/</x:v>
      </x:c>
      <x:c r="H79" s="26" t="str">
        <x:v>https://www.postgresql.org/about/licence/</x:v>
      </x:c>
      <x:c r="I79" s="26" t="str">
        <x:v>PostgreSQL License; documentation notice</x:v>
      </x:c>
      <x:c r="J79" s="26" t="str">
        <x:v>multi</x:v>
      </x:c>
      <x:c r="K79" s="26" t="str">
        <x:v>International/reference</x:v>
      </x:c>
      <x:c r="L79" s="26" t="str">
        <x:v>HTML/PDF/source</x:v>
      </x:c>
      <x:c r="M79" s="26" t="str">
        <x:v>official docs for archived supported versions</x:v>
      </x:c>
      <x:c r="N79" s="26" t="str">
        <x:v>L1</x:v>
      </x:c>
      <x:c r="O79" s="26" t="str">
        <x:v>S0_OBSERVE_READ</x:v>
      </x:c>
      <x:c r="P79" s="26" t="str">
        <x:v>ANNUAL_OR_EDITION</x:v>
      </x:c>
      <x:c r="Q79" s="26" t="n">
        <x:v>4</x:v>
      </x:c>
      <x:c r="R79" s="26" t="n">
        <x:v>4</x:v>
      </x:c>
      <x:c r="S79" s="26" t="n">
        <x:v>3</x:v>
      </x:c>
      <x:c r="T79" s="26" t="n">
        <x:v>4</x:v>
      </x:c>
      <x:c r="U79" s="26" t="n">
        <x:v>4</x:v>
      </x:c>
      <x:c r="V79" s="26" t="n">
        <x:v>3</x:v>
      </x:c>
      <x:c r="W79" s="26" t="n">
        <x:v>2</x:v>
      </x:c>
      <x:c r="X79" s="26" t="n">
        <x:v>4</x:v>
      </x:c>
      <x:c r="Y79" s="26" t="n">
        <x:v>1</x:v>
      </x:c>
      <x:c r="Z79" s="26" t="n">
        <x:v>2</x:v>
      </x:c>
      <x:c r="AA79" s="26" t="n">
        <x:v>1</x:v>
      </x:c>
      <x:c r="AB79" s="26" t="str">
        <x:v>CANDIDATE</x:v>
      </x:c>
      <x:c r="AC79" s="26" t="str">
        <x:v>NOT_DOWNLOADED</x:v>
      </x:c>
      <x:c r="AD79" s="26" t="str">
        <x:v>REQUIRES_ITEM_REVIEW</x:v>
      </x:c>
      <x:c r="AE79" s="26" t="str">
        <x:v>NOT_REVIEWED</x:v>
      </x:c>
      <x:c r="AF79" s="26" t="str">
        <x:v>NOT_TESTED</x:v>
      </x:c>
      <x:c r="AG79" s="26" t="str"/>
      <x:c r="AH79" s="26" t="str"/>
      <x:c r="AI79" s="26" t="str"/>
      <x:c r="AJ79" s="26" t="str"/>
      <x:c r="AK79" s="57" t="n">
        <x:f>MAX(0,MIN(100,ROUND(((Q79*'Overview'!$B$18)+(R79*'Overview'!$B$19)+(S79*'Overview'!$B$20)+(T79*'Overview'!$B$21)+(U79*'Overview'!$B$22)+(V79*'Overview'!$B$23)+(W79*'Overview'!$B$24)+(X79*'Overview'!$B$25)-(Y79*'Overview'!$B$26)-(Z79*'Overview'!$B$27)-(AA79*'Overview'!$B$28))/5*100,0)))</x:f>
        <x:v>65</x:v>
      </x:c>
      <x:c r="AL79" s="26" t="str">
        <x:v>Relational databases and durable records.</x:v>
      </x:c>
    </x:row>
    <x:row r="80">
      <x:c r="A80" s="53" t="str">
        <x:v>PSP-077</x:v>
      </x:c>
      <x:c r="B80" s="53" t="str">
        <x:v>COMP|OPS</x:v>
      </x:c>
      <x:c r="C80" s="53" t="str">
        <x:v>SQLite documentation and source</x:v>
      </x:c>
      <x:c r="D80" s="53" t="str">
        <x:v>SQLite Project</x:v>
      </x:c>
      <x:c r="E80" s="53" t="str">
        <x:v>Практический источник для групп COMP|OPS</x:v>
      </x:c>
      <x:c r="F80" s="53" t="str">
        <x:v>https://sqlite.org/docs.html</x:v>
      </x:c>
      <x:c r="G80" s="53" t="str">
        <x:v>https://sqlite.org/docs.html</x:v>
      </x:c>
      <x:c r="H80" s="53" t="str">
        <x:v>https://sqlite.org/copyright.html</x:v>
      </x:c>
      <x:c r="I80" s="53" t="str">
        <x:v>SQLite public-domain dedication; verify ancillary docs/assets</x:v>
      </x:c>
      <x:c r="J80" s="53" t="str">
        <x:v>en</x:v>
      </x:c>
      <x:c r="K80" s="53" t="str">
        <x:v>International/reference</x:v>
      </x:c>
      <x:c r="L80" s="53" t="str">
        <x:v>HTML/source</x:v>
      </x:c>
      <x:c r="M80" s="53" t="str">
        <x:v>official source/documentation archive</x:v>
      </x:c>
      <x:c r="N80" s="53" t="str">
        <x:v>L1</x:v>
      </x:c>
      <x:c r="O80" s="53" t="str">
        <x:v>S0_OBSERVE_READ</x:v>
      </x:c>
      <x:c r="P80" s="53" t="str">
        <x:v>ANNUAL_OR_EDITION</x:v>
      </x:c>
      <x:c r="Q80" s="53" t="n">
        <x:v>4</x:v>
      </x:c>
      <x:c r="R80" s="53" t="n">
        <x:v>4</x:v>
      </x:c>
      <x:c r="S80" s="53" t="n">
        <x:v>3</x:v>
      </x:c>
      <x:c r="T80" s="53" t="n">
        <x:v>4</x:v>
      </x:c>
      <x:c r="U80" s="53" t="n">
        <x:v>4</x:v>
      </x:c>
      <x:c r="V80" s="53" t="n">
        <x:v>3</x:v>
      </x:c>
      <x:c r="W80" s="53" t="n">
        <x:v>2</x:v>
      </x:c>
      <x:c r="X80" s="53" t="n">
        <x:v>4</x:v>
      </x:c>
      <x:c r="Y80" s="53" t="n">
        <x:v>1</x:v>
      </x:c>
      <x:c r="Z80" s="53" t="n">
        <x:v>2</x:v>
      </x:c>
      <x:c r="AA80" s="53" t="n">
        <x:v>1</x:v>
      </x:c>
      <x:c r="AB80" s="53" t="str">
        <x:v>CANDIDATE</x:v>
      </x:c>
      <x:c r="AC80" s="53" t="str">
        <x:v>NOT_DOWNLOADED</x:v>
      </x:c>
      <x:c r="AD80" s="53" t="str">
        <x:v>REQUIRES_ITEM_REVIEW</x:v>
      </x:c>
      <x:c r="AE80" s="53" t="str">
        <x:v>NOT_REVIEWED</x:v>
      </x:c>
      <x:c r="AF80" s="53" t="str">
        <x:v>NOT_TESTED</x:v>
      </x:c>
      <x:c r="AG80" s="53" t="str"/>
      <x:c r="AH80" s="53" t="str"/>
      <x:c r="AI80" s="53" t="str"/>
      <x:c r="AJ80" s="53" t="str"/>
      <x:c r="AK80" s="57" t="n">
        <x:f>MAX(0,MIN(100,ROUND(((Q80*'Overview'!$B$18)+(R80*'Overview'!$B$19)+(S80*'Overview'!$B$20)+(T80*'Overview'!$B$21)+(U80*'Overview'!$B$22)+(V80*'Overview'!$B$23)+(W80*'Overview'!$B$24)+(X80*'Overview'!$B$25)-(Y80*'Overview'!$B$26)-(Z80*'Overview'!$B$27)-(AA80*'Overview'!$B$28))/5*100,0)))</x:f>
        <x:v>65</x:v>
      </x:c>
      <x:c r="AL80" s="53" t="str">
        <x:v>Low-dependency local databases.</x:v>
      </x:c>
    </x:row>
    <x:row r="81">
      <x:c r="A81" s="26" t="str">
        <x:v>PSP-078</x:v>
      </x:c>
      <x:c r="B81" s="26" t="str">
        <x:v>COMP|ARCH</x:v>
      </x:c>
      <x:c r="C81" s="26" t="str">
        <x:v>Pro Git book source and releases</x:v>
      </x:c>
      <x:c r="D81" s="26" t="str">
        <x:v>Git community/Apress</x:v>
      </x:c>
      <x:c r="E81" s="26" t="str">
        <x:v>Практический источник для групп COMP|ARCH</x:v>
      </x:c>
      <x:c r="F81" s="26" t="str">
        <x:v>https://git-scm.com/book/en/v2</x:v>
      </x:c>
      <x:c r="G81" s="26" t="str">
        <x:v>https://git-scm.com/book/en/v2</x:v>
      </x:c>
      <x:c r="H81" s="26" t="str">
        <x:v>https://github.com/progit/progit2/blob/main/LICENSE.asc</x:v>
      </x:c>
      <x:c r="I81" s="26" t="str">
        <x:v>CC BY-NC-SA 3.0 per repository; verify current</x:v>
      </x:c>
      <x:c r="J81" s="26" t="str">
        <x:v>multi</x:v>
      </x:c>
      <x:c r="K81" s="26" t="str">
        <x:v>International/reference</x:v>
      </x:c>
      <x:c r="L81" s="26" t="str">
        <x:v>HTML/PDF/EPUB/source</x:v>
      </x:c>
      <x:c r="M81" s="26" t="str">
        <x:v>official generated formats/source release</x:v>
      </x:c>
      <x:c r="N81" s="26" t="str">
        <x:v>L1</x:v>
      </x:c>
      <x:c r="O81" s="26" t="str">
        <x:v>S0_OBSERVE_READ</x:v>
      </x:c>
      <x:c r="P81" s="26" t="str">
        <x:v>ANNUAL_OR_EDITION</x:v>
      </x:c>
      <x:c r="Q81" s="26" t="n">
        <x:v>4</x:v>
      </x:c>
      <x:c r="R81" s="26" t="n">
        <x:v>4</x:v>
      </x:c>
      <x:c r="S81" s="26" t="n">
        <x:v>3</x:v>
      </x:c>
      <x:c r="T81" s="26" t="n">
        <x:v>4</x:v>
      </x:c>
      <x:c r="U81" s="26" t="n">
        <x:v>4</x:v>
      </x:c>
      <x:c r="V81" s="26" t="n">
        <x:v>3</x:v>
      </x:c>
      <x:c r="W81" s="26" t="n">
        <x:v>2</x:v>
      </x:c>
      <x:c r="X81" s="26" t="n">
        <x:v>4</x:v>
      </x:c>
      <x:c r="Y81" s="26" t="n">
        <x:v>1</x:v>
      </x:c>
      <x:c r="Z81" s="26" t="n">
        <x:v>2</x:v>
      </x:c>
      <x:c r="AA81" s="26" t="n">
        <x:v>1</x:v>
      </x:c>
      <x:c r="AB81" s="26" t="str">
        <x:v>CANDIDATE</x:v>
      </x:c>
      <x:c r="AC81" s="26" t="str">
        <x:v>NOT_DOWNLOADED</x:v>
      </x:c>
      <x:c r="AD81" s="26" t="str">
        <x:v>REQUIRES_ITEM_REVIEW</x:v>
      </x:c>
      <x:c r="AE81" s="26" t="str">
        <x:v>NOT_REVIEWED</x:v>
      </x:c>
      <x:c r="AF81" s="26" t="str">
        <x:v>NOT_TESTED</x:v>
      </x:c>
      <x:c r="AG81" s="26" t="str"/>
      <x:c r="AH81" s="26" t="str"/>
      <x:c r="AI81" s="26" t="str"/>
      <x:c r="AJ81" s="26" t="str"/>
      <x:c r="AK81" s="57" t="n">
        <x:f>MAX(0,MIN(100,ROUND(((Q81*'Overview'!$B$18)+(R81*'Overview'!$B$19)+(S81*'Overview'!$B$20)+(T81*'Overview'!$B$21)+(U81*'Overview'!$B$22)+(V81*'Overview'!$B$23)+(W81*'Overview'!$B$24)+(X81*'Overview'!$B$25)-(Y81*'Overview'!$B$26)-(Z81*'Overview'!$B$27)-(AA81*'Overview'!$B$28))/5*100,0)))</x:f>
        <x:v>65</x:v>
      </x:c>
      <x:c r="AL81" s="26" t="str">
        <x:v>Version-control curriculum.</x:v>
      </x:c>
    </x:row>
    <x:row r="82">
      <x:c r="A82" s="53" t="str">
        <x:v>PSP-079</x:v>
      </x:c>
      <x:c r="B82" s="53" t="str">
        <x:v>EARTH|COMP|PORT</x:v>
      </x:c>
      <x:c r="C82" s="53" t="str">
        <x:v>QGIS documentation and installers</x:v>
      </x:c>
      <x:c r="D82" s="53" t="str">
        <x:v>QGIS Project</x:v>
      </x:c>
      <x:c r="E82" s="53" t="str">
        <x:v>Практический источник для групп EARTH|COMP|PORT</x:v>
      </x:c>
      <x:c r="F82" s="53" t="str">
        <x:v>https://www.qgis.org/resources/hub/</x:v>
      </x:c>
      <x:c r="G82" s="53" t="str">
        <x:v>https://www.qgis.org/resources/hub/</x:v>
      </x:c>
      <x:c r="H82" s="53" t="str">
        <x:v>https://www.qgis.org/project/overview/</x:v>
      </x:c>
      <x:c r="I82" s="53" t="str">
        <x:v>GPL software; documentation/item licenses</x:v>
      </x:c>
      <x:c r="J82" s="53" t="str">
        <x:v>multi</x:v>
      </x:c>
      <x:c r="K82" s="53" t="str">
        <x:v>Portugal/EU</x:v>
      </x:c>
      <x:c r="L82" s="53" t="str">
        <x:v>HTML/PDF/software/source</x:v>
      </x:c>
      <x:c r="M82" s="53" t="str">
        <x:v>archive LTR installer/source/docs and dependencies</x:v>
      </x:c>
      <x:c r="N82" s="53" t="str">
        <x:v>L2</x:v>
      </x:c>
      <x:c r="O82" s="53" t="str">
        <x:v>S0_OBSERVE_READ</x:v>
      </x:c>
      <x:c r="P82" s="53" t="str">
        <x:v>ANNUAL_OR_EDITION</x:v>
      </x:c>
      <x:c r="Q82" s="53" t="n">
        <x:v>4</x:v>
      </x:c>
      <x:c r="R82" s="53" t="n">
        <x:v>4</x:v>
      </x:c>
      <x:c r="S82" s="53" t="n">
        <x:v>3</x:v>
      </x:c>
      <x:c r="T82" s="53" t="n">
        <x:v>4</x:v>
      </x:c>
      <x:c r="U82" s="53" t="n">
        <x:v>4</x:v>
      </x:c>
      <x:c r="V82" s="53" t="n">
        <x:v>3</x:v>
      </x:c>
      <x:c r="W82" s="53" t="n">
        <x:v>2</x:v>
      </x:c>
      <x:c r="X82" s="53" t="n">
        <x:v>4</x:v>
      </x:c>
      <x:c r="Y82" s="53" t="n">
        <x:v>1</x:v>
      </x:c>
      <x:c r="Z82" s="53" t="n">
        <x:v>2</x:v>
      </x:c>
      <x:c r="AA82" s="53" t="n">
        <x:v>1</x:v>
      </x:c>
      <x:c r="AB82" s="53" t="str">
        <x:v>CANDIDATE</x:v>
      </x:c>
      <x:c r="AC82" s="53" t="str">
        <x:v>NOT_DOWNLOADED</x:v>
      </x:c>
      <x:c r="AD82" s="53" t="str">
        <x:v>REQUIRES_ITEM_REVIEW</x:v>
      </x:c>
      <x:c r="AE82" s="53" t="str">
        <x:v>NOT_REVIEWED</x:v>
      </x:c>
      <x:c r="AF82" s="53" t="str">
        <x:v>NOT_TESTED</x:v>
      </x:c>
      <x:c r="AG82" s="53" t="str"/>
      <x:c r="AH82" s="53" t="str"/>
      <x:c r="AI82" s="53" t="str"/>
      <x:c r="AJ82" s="53" t="str"/>
      <x:c r="AK82" s="57" t="n">
        <x:f>MAX(0,MIN(100,ROUND(((Q82*'Overview'!$B$18)+(R82*'Overview'!$B$19)+(S82*'Overview'!$B$20)+(T82*'Overview'!$B$21)+(U82*'Overview'!$B$22)+(V82*'Overview'!$B$23)+(W82*'Overview'!$B$24)+(X82*'Overview'!$B$25)-(Y82*'Overview'!$B$26)-(Z82*'Overview'!$B$27)-(AA82*'Overview'!$B$28))/5*100,0)))</x:f>
        <x:v>65</x:v>
      </x:c>
      <x:c r="AL82" s="53" t="str">
        <x:v>Offline GIS and cartography.</x:v>
      </x:c>
    </x:row>
    <x:row r="83">
      <x:c r="A83" s="26" t="str">
        <x:v>PSP-080</x:v>
      </x:c>
      <x:c r="B83" s="26" t="str">
        <x:v>CIVIL|MECH|COMP</x:v>
      </x:c>
      <x:c r="C83" s="26" t="str">
        <x:v>FreeCAD documentation and source</x:v>
      </x:c>
      <x:c r="D83" s="26" t="str">
        <x:v>FreeCAD Project</x:v>
      </x:c>
      <x:c r="E83" s="26" t="str">
        <x:v>Практический источник для групп CIVIL|MECH|COMP</x:v>
      </x:c>
      <x:c r="F83" s="26" t="str">
        <x:v>https://www.freecad.org/manual/</x:v>
      </x:c>
      <x:c r="G83" s="26" t="str">
        <x:v>https://www.freecad.org/manual/</x:v>
      </x:c>
      <x:c r="H83" s="26" t="str">
        <x:v>https://www.freecad.org/license/</x:v>
      </x:c>
      <x:c r="I83" s="26" t="str">
        <x:v>LGPL/GPL components; documentation license review</x:v>
      </x:c>
      <x:c r="J83" s="26" t="str">
        <x:v>multi</x:v>
      </x:c>
      <x:c r="K83" s="26" t="str">
        <x:v>International/reference</x:v>
      </x:c>
      <x:c r="L83" s="26" t="str">
        <x:v>HTML/PDF/software/source</x:v>
      </x:c>
      <x:c r="M83" s="26" t="str">
        <x:v>archive stable release, manual and source</x:v>
      </x:c>
      <x:c r="N83" s="26" t="str">
        <x:v>L2</x:v>
      </x:c>
      <x:c r="O83" s="26" t="str">
        <x:v>S1_LOW_RISK_HOUSEHOLD</x:v>
      </x:c>
      <x:c r="P83" s="26" t="str">
        <x:v>ANNUAL_OR_EDITION</x:v>
      </x:c>
      <x:c r="Q83" s="26" t="n">
        <x:v>4</x:v>
      </x:c>
      <x:c r="R83" s="26" t="n">
        <x:v>4</x:v>
      </x:c>
      <x:c r="S83" s="26" t="n">
        <x:v>3</x:v>
      </x:c>
      <x:c r="T83" s="26" t="n">
        <x:v>4</x:v>
      </x:c>
      <x:c r="U83" s="26" t="n">
        <x:v>4</x:v>
      </x:c>
      <x:c r="V83" s="26" t="n">
        <x:v>3</x:v>
      </x:c>
      <x:c r="W83" s="26" t="n">
        <x:v>2</x:v>
      </x:c>
      <x:c r="X83" s="26" t="n">
        <x:v>4</x:v>
      </x:c>
      <x:c r="Y83" s="26" t="n">
        <x:v>1</x:v>
      </x:c>
      <x:c r="Z83" s="26" t="n">
        <x:v>2</x:v>
      </x:c>
      <x:c r="AA83" s="26" t="n">
        <x:v>1</x:v>
      </x:c>
      <x:c r="AB83" s="26" t="str">
        <x:v>CANDIDATE</x:v>
      </x:c>
      <x:c r="AC83" s="26" t="str">
        <x:v>NOT_DOWNLOADED</x:v>
      </x:c>
      <x:c r="AD83" s="26" t="str">
        <x:v>REQUIRES_ITEM_REVIEW</x:v>
      </x:c>
      <x:c r="AE83" s="26" t="str">
        <x:v>NOT_REVIEWED</x:v>
      </x:c>
      <x:c r="AF83" s="26" t="str">
        <x:v>NOT_TESTED</x:v>
      </x:c>
      <x:c r="AG83" s="26" t="str"/>
      <x:c r="AH83" s="26" t="str"/>
      <x:c r="AI83" s="26" t="str"/>
      <x:c r="AJ83" s="26" t="str"/>
      <x:c r="AK83" s="57" t="n">
        <x:f>MAX(0,MIN(100,ROUND(((Q83*'Overview'!$B$18)+(R83*'Overview'!$B$19)+(S83*'Overview'!$B$20)+(T83*'Overview'!$B$21)+(U83*'Overview'!$B$22)+(V83*'Overview'!$B$23)+(W83*'Overview'!$B$24)+(X83*'Overview'!$B$25)-(Y83*'Overview'!$B$26)-(Z83*'Overview'!$B$27)-(AA83*'Overview'!$B$28))/5*100,0)))</x:f>
        <x:v>65</x:v>
      </x:c>
      <x:c r="AL83" s="26" t="str">
        <x:v>CAD learning and drawings; designs still require engineering review.</x:v>
      </x:c>
    </x:row>
    <x:row r="84">
      <x:c r="A84" s="53" t="str">
        <x:v>PSP-081</x:v>
      </x:c>
      <x:c r="B84" s="53" t="str">
        <x:v>ELEC|COMP</x:v>
      </x:c>
      <x:c r="C84" s="53" t="str">
        <x:v>KiCad documentation and source</x:v>
      </x:c>
      <x:c r="D84" s="53" t="str">
        <x:v>KiCad Project</x:v>
      </x:c>
      <x:c r="E84" s="53" t="str">
        <x:v>Практический источник для групп ELEC|COMP</x:v>
      </x:c>
      <x:c r="F84" s="53" t="str">
        <x:v>https://docs.kicad.org/</x:v>
      </x:c>
      <x:c r="G84" s="53" t="str">
        <x:v>https://docs.kicad.org/</x:v>
      </x:c>
      <x:c r="H84" s="53" t="str">
        <x:v>https://www.kicad.org/about/licenses/</x:v>
      </x:c>
      <x:c r="I84" s="53" t="str">
        <x:v>GPL software and library/document licenses</x:v>
      </x:c>
      <x:c r="J84" s="53" t="str">
        <x:v>multi</x:v>
      </x:c>
      <x:c r="K84" s="53" t="str">
        <x:v>International/reference</x:v>
      </x:c>
      <x:c r="L84" s="53" t="str">
        <x:v>HTML/PDF/software/source</x:v>
      </x:c>
      <x:c r="M84" s="53" t="str">
        <x:v>archive stable release, libraries, docs and source</x:v>
      </x:c>
      <x:c r="N84" s="53" t="str">
        <x:v>L2</x:v>
      </x:c>
      <x:c r="O84" s="53" t="str">
        <x:v>S1_LOW_RISK_HOUSEHOLD</x:v>
      </x:c>
      <x:c r="P84" s="53" t="str">
        <x:v>ANNUAL_OR_EDITION</x:v>
      </x:c>
      <x:c r="Q84" s="53" t="n">
        <x:v>4</x:v>
      </x:c>
      <x:c r="R84" s="53" t="n">
        <x:v>4</x:v>
      </x:c>
      <x:c r="S84" s="53" t="n">
        <x:v>3</x:v>
      </x:c>
      <x:c r="T84" s="53" t="n">
        <x:v>4</x:v>
      </x:c>
      <x:c r="U84" s="53" t="n">
        <x:v>4</x:v>
      </x:c>
      <x:c r="V84" s="53" t="n">
        <x:v>3</x:v>
      </x:c>
      <x:c r="W84" s="53" t="n">
        <x:v>2</x:v>
      </x:c>
      <x:c r="X84" s="53" t="n">
        <x:v>4</x:v>
      </x:c>
      <x:c r="Y84" s="53" t="n">
        <x:v>1</x:v>
      </x:c>
      <x:c r="Z84" s="53" t="n">
        <x:v>2</x:v>
      </x:c>
      <x:c r="AA84" s="53" t="n">
        <x:v>1</x:v>
      </x:c>
      <x:c r="AB84" s="53" t="str">
        <x:v>CANDIDATE</x:v>
      </x:c>
      <x:c r="AC84" s="53" t="str">
        <x:v>NOT_DOWNLOADED</x:v>
      </x:c>
      <x:c r="AD84" s="53" t="str">
        <x:v>REQUIRES_ITEM_REVIEW</x:v>
      </x:c>
      <x:c r="AE84" s="53" t="str">
        <x:v>NOT_REVIEWED</x:v>
      </x:c>
      <x:c r="AF84" s="53" t="str">
        <x:v>NOT_TESTED</x:v>
      </x:c>
      <x:c r="AG84" s="53" t="str"/>
      <x:c r="AH84" s="53" t="str"/>
      <x:c r="AI84" s="53" t="str"/>
      <x:c r="AJ84" s="53" t="str"/>
      <x:c r="AK84" s="57" t="n">
        <x:f>MAX(0,MIN(100,ROUND(((Q84*'Overview'!$B$18)+(R84*'Overview'!$B$19)+(S84*'Overview'!$B$20)+(T84*'Overview'!$B$21)+(U84*'Overview'!$B$22)+(V84*'Overview'!$B$23)+(W84*'Overview'!$B$24)+(X84*'Overview'!$B$25)-(Y84*'Overview'!$B$26)-(Z84*'Overview'!$B$27)-(AA84*'Overview'!$B$28))/5*100,0)))</x:f>
        <x:v>65</x:v>
      </x:c>
      <x:c r="AL84" s="53" t="str">
        <x:v>Electronics design and documentation; hardware safety separate.</x:v>
      </x:c>
    </x:row>
    <x:row r="85">
      <x:c r="A85" s="26" t="str">
        <x:v>PSP-082</x:v>
      </x:c>
      <x:c r="B85" s="26" t="str">
        <x:v>COMP|EDU</x:v>
      </x:c>
      <x:c r="C85" s="26" t="str">
        <x:v>LibreOffice offline help and installers</x:v>
      </x:c>
      <x:c r="D85" s="26" t="str">
        <x:v>The Document Foundation</x:v>
      </x:c>
      <x:c r="E85" s="26" t="str">
        <x:v>Практический источник для групп COMP|EDU</x:v>
      </x:c>
      <x:c r="F85" s="26" t="str">
        <x:v>https://www.libreoffice.org/download/download-libreoffice/</x:v>
      </x:c>
      <x:c r="G85" s="26" t="str">
        <x:v>https://www.libreoffice.org/download/download-libreoffice/</x:v>
      </x:c>
      <x:c r="H85" s="26" t="str">
        <x:v>https://www.libreoffice.org/about-us/licenses</x:v>
      </x:c>
      <x:c r="I85" s="26" t="str">
        <x:v>MPL/LGPL and documentation licenses</x:v>
      </x:c>
      <x:c r="J85" s="26" t="str">
        <x:v>multi</x:v>
      </x:c>
      <x:c r="K85" s="26" t="str">
        <x:v>International/reference</x:v>
      </x:c>
      <x:c r="L85" s="26" t="str">
        <x:v>software/help/source</x:v>
      </x:c>
      <x:c r="M85" s="26" t="str">
        <x:v>archive stable installer, offline help and source links</x:v>
      </x:c>
      <x:c r="N85" s="26" t="str">
        <x:v>L1</x:v>
      </x:c>
      <x:c r="O85" s="26" t="str">
        <x:v>S0_OBSERVE_READ</x:v>
      </x:c>
      <x:c r="P85" s="26" t="str">
        <x:v>ANNUAL_OR_EDITION</x:v>
      </x:c>
      <x:c r="Q85" s="26" t="n">
        <x:v>4</x:v>
      </x:c>
      <x:c r="R85" s="26" t="n">
        <x:v>4</x:v>
      </x:c>
      <x:c r="S85" s="26" t="n">
        <x:v>3</x:v>
      </x:c>
      <x:c r="T85" s="26" t="n">
        <x:v>4</x:v>
      </x:c>
      <x:c r="U85" s="26" t="n">
        <x:v>4</x:v>
      </x:c>
      <x:c r="V85" s="26" t="n">
        <x:v>3</x:v>
      </x:c>
      <x:c r="W85" s="26" t="n">
        <x:v>2</x:v>
      </x:c>
      <x:c r="X85" s="26" t="n">
        <x:v>4</x:v>
      </x:c>
      <x:c r="Y85" s="26" t="n">
        <x:v>1</x:v>
      </x:c>
      <x:c r="Z85" s="26" t="n">
        <x:v>2</x:v>
      </x:c>
      <x:c r="AA85" s="26" t="n">
        <x:v>1</x:v>
      </x:c>
      <x:c r="AB85" s="26" t="str">
        <x:v>CANDIDATE</x:v>
      </x:c>
      <x:c r="AC85" s="26" t="str">
        <x:v>NOT_DOWNLOADED</x:v>
      </x:c>
      <x:c r="AD85" s="26" t="str">
        <x:v>REQUIRES_ITEM_REVIEW</x:v>
      </x:c>
      <x:c r="AE85" s="26" t="str">
        <x:v>NOT_REVIEWED</x:v>
      </x:c>
      <x:c r="AF85" s="26" t="str">
        <x:v>NOT_TESTED</x:v>
      </x:c>
      <x:c r="AG85" s="26" t="str"/>
      <x:c r="AH85" s="26" t="str"/>
      <x:c r="AI85" s="26" t="str"/>
      <x:c r="AJ85" s="26" t="str"/>
      <x:c r="AK85" s="57" t="n">
        <x:f>MAX(0,MIN(100,ROUND(((Q85*'Overview'!$B$18)+(R85*'Overview'!$B$19)+(S85*'Overview'!$B$20)+(T85*'Overview'!$B$21)+(U85*'Overview'!$B$22)+(V85*'Overview'!$B$23)+(W85*'Overview'!$B$24)+(X85*'Overview'!$B$25)-(Y85*'Overview'!$B$26)-(Z85*'Overview'!$B$27)-(AA85*'Overview'!$B$28))/5*100,0)))</x:f>
        <x:v>65</x:v>
      </x:c>
      <x:c r="AL85" s="26" t="str">
        <x:v>Reading/editing durable office formats.</x:v>
      </x:c>
    </x:row>
    <x:row r="86">
      <x:c r="A86" s="53" t="str">
        <x:v>PSP-083</x:v>
      </x:c>
      <x:c r="B86" s="53" t="str">
        <x:v>COMP|ARCH</x:v>
      </x:c>
      <x:c r="C86" s="53" t="str">
        <x:v>Inkscape manuals, installers and source</x:v>
      </x:c>
      <x:c r="D86" s="53" t="str">
        <x:v>Inkscape Project</x:v>
      </x:c>
      <x:c r="E86" s="53" t="str">
        <x:v>Практический источник для групп COMP|ARCH</x:v>
      </x:c>
      <x:c r="F86" s="53" t="str">
        <x:v>https://inkscape.org/learn/</x:v>
      </x:c>
      <x:c r="G86" s="53" t="str">
        <x:v>https://inkscape.org/learn/</x:v>
      </x:c>
      <x:c r="H86" s="53" t="str">
        <x:v>https://inkscape.org/about/license/</x:v>
      </x:c>
      <x:c r="I86" s="53" t="str">
        <x:v>GPL software; tutorial rights per item</x:v>
      </x:c>
      <x:c r="J86" s="53" t="str">
        <x:v>multi</x:v>
      </x:c>
      <x:c r="K86" s="53" t="str">
        <x:v>International/reference</x:v>
      </x:c>
      <x:c r="L86" s="53" t="str">
        <x:v>HTML/software/source</x:v>
      </x:c>
      <x:c r="M86" s="53" t="str">
        <x:v>archive stable release and selected tutorials</x:v>
      </x:c>
      <x:c r="N86" s="53" t="str">
        <x:v>L2</x:v>
      </x:c>
      <x:c r="O86" s="53" t="str">
        <x:v>S0_OBSERVE_READ</x:v>
      </x:c>
      <x:c r="P86" s="53" t="str">
        <x:v>ANNUAL_OR_EDITION</x:v>
      </x:c>
      <x:c r="Q86" s="53" t="n">
        <x:v>4</x:v>
      </x:c>
      <x:c r="R86" s="53" t="n">
        <x:v>4</x:v>
      </x:c>
      <x:c r="S86" s="53" t="n">
        <x:v>3</x:v>
      </x:c>
      <x:c r="T86" s="53" t="n">
        <x:v>4</x:v>
      </x:c>
      <x:c r="U86" s="53" t="n">
        <x:v>4</x:v>
      </x:c>
      <x:c r="V86" s="53" t="n">
        <x:v>3</x:v>
      </x:c>
      <x:c r="W86" s="53" t="n">
        <x:v>2</x:v>
      </x:c>
      <x:c r="X86" s="53" t="n">
        <x:v>4</x:v>
      </x:c>
      <x:c r="Y86" s="53" t="n">
        <x:v>1</x:v>
      </x:c>
      <x:c r="Z86" s="53" t="n">
        <x:v>2</x:v>
      </x:c>
      <x:c r="AA86" s="53" t="n">
        <x:v>1</x:v>
      </x:c>
      <x:c r="AB86" s="53" t="str">
        <x:v>CANDIDATE</x:v>
      </x:c>
      <x:c r="AC86" s="53" t="str">
        <x:v>NOT_DOWNLOADED</x:v>
      </x:c>
      <x:c r="AD86" s="53" t="str">
        <x:v>REQUIRES_ITEM_REVIEW</x:v>
      </x:c>
      <x:c r="AE86" s="53" t="str">
        <x:v>NOT_REVIEWED</x:v>
      </x:c>
      <x:c r="AF86" s="53" t="str">
        <x:v>NOT_TESTED</x:v>
      </x:c>
      <x:c r="AG86" s="53" t="str"/>
      <x:c r="AH86" s="53" t="str"/>
      <x:c r="AI86" s="53" t="str"/>
      <x:c r="AJ86" s="53" t="str"/>
      <x:c r="AK86" s="57" t="n">
        <x:f>MAX(0,MIN(100,ROUND(((Q86*'Overview'!$B$18)+(R86*'Overview'!$B$19)+(S86*'Overview'!$B$20)+(T86*'Overview'!$B$21)+(U86*'Overview'!$B$22)+(V86*'Overview'!$B$23)+(W86*'Overview'!$B$24)+(X86*'Overview'!$B$25)-(Y86*'Overview'!$B$26)-(Z86*'Overview'!$B$27)-(AA86*'Overview'!$B$28))/5*100,0)))</x:f>
        <x:v>65</x:v>
      </x:c>
      <x:c r="AL86" s="53" t="str">
        <x:v>Vector diagrams and technical communication.</x:v>
      </x:c>
    </x:row>
    <x:row r="87">
      <x:c r="A87" s="26" t="str">
        <x:v>PSP-084</x:v>
      </x:c>
      <x:c r="B87" s="26" t="str">
        <x:v>COMP|ARCH</x:v>
      </x:c>
      <x:c r="C87" s="26" t="str">
        <x:v>GIMP documentation, installers and source</x:v>
      </x:c>
      <x:c r="D87" s="26" t="str">
        <x:v>GIMP Project</x:v>
      </x:c>
      <x:c r="E87" s="26" t="str">
        <x:v>Практический источник для групп COMP|ARCH</x:v>
      </x:c>
      <x:c r="F87" s="26" t="str">
        <x:v>https://docs.gimp.org/</x:v>
      </x:c>
      <x:c r="G87" s="26" t="str">
        <x:v>https://docs.gimp.org/</x:v>
      </x:c>
      <x:c r="H87" s="26" t="str">
        <x:v>https://www.gimp.org/docs/userfaq.html#license</x:v>
      </x:c>
      <x:c r="I87" s="26" t="str">
        <x:v>GPL software; documentation license review</x:v>
      </x:c>
      <x:c r="J87" s="26" t="str">
        <x:v>multi</x:v>
      </x:c>
      <x:c r="K87" s="26" t="str">
        <x:v>International/reference</x:v>
      </x:c>
      <x:c r="L87" s="26" t="str">
        <x:v>HTML/software/source</x:v>
      </x:c>
      <x:c r="M87" s="26" t="str">
        <x:v>archive stable release/manual/source</x:v>
      </x:c>
      <x:c r="N87" s="26" t="str">
        <x:v>L2</x:v>
      </x:c>
      <x:c r="O87" s="26" t="str">
        <x:v>S0_OBSERVE_READ</x:v>
      </x:c>
      <x:c r="P87" s="26" t="str">
        <x:v>ANNUAL_OR_EDITION</x:v>
      </x:c>
      <x:c r="Q87" s="26" t="n">
        <x:v>4</x:v>
      </x:c>
      <x:c r="R87" s="26" t="n">
        <x:v>4</x:v>
      </x:c>
      <x:c r="S87" s="26" t="n">
        <x:v>3</x:v>
      </x:c>
      <x:c r="T87" s="26" t="n">
        <x:v>4</x:v>
      </x:c>
      <x:c r="U87" s="26" t="n">
        <x:v>4</x:v>
      </x:c>
      <x:c r="V87" s="26" t="n">
        <x:v>3</x:v>
      </x:c>
      <x:c r="W87" s="26" t="n">
        <x:v>2</x:v>
      </x:c>
      <x:c r="X87" s="26" t="n">
        <x:v>4</x:v>
      </x:c>
      <x:c r="Y87" s="26" t="n">
        <x:v>1</x:v>
      </x:c>
      <x:c r="Z87" s="26" t="n">
        <x:v>2</x:v>
      </x:c>
      <x:c r="AA87" s="26" t="n">
        <x:v>1</x:v>
      </x:c>
      <x:c r="AB87" s="26" t="str">
        <x:v>CANDIDATE</x:v>
      </x:c>
      <x:c r="AC87" s="26" t="str">
        <x:v>NOT_DOWNLOADED</x:v>
      </x:c>
      <x:c r="AD87" s="26" t="str">
        <x:v>REQUIRES_ITEM_REVIEW</x:v>
      </x:c>
      <x:c r="AE87" s="26" t="str">
        <x:v>NOT_REVIEWED</x:v>
      </x:c>
      <x:c r="AF87" s="26" t="str">
        <x:v>NOT_TESTED</x:v>
      </x:c>
      <x:c r="AG87" s="26" t="str"/>
      <x:c r="AH87" s="26" t="str"/>
      <x:c r="AI87" s="26" t="str"/>
      <x:c r="AJ87" s="26" t="str"/>
      <x:c r="AK87" s="57" t="n">
        <x:f>MAX(0,MIN(100,ROUND(((Q87*'Overview'!$B$18)+(R87*'Overview'!$B$19)+(S87*'Overview'!$B$20)+(T87*'Overview'!$B$21)+(U87*'Overview'!$B$22)+(V87*'Overview'!$B$23)+(W87*'Overview'!$B$24)+(X87*'Overview'!$B$25)-(Y87*'Overview'!$B$26)-(Z87*'Overview'!$B$27)-(AA87*'Overview'!$B$28))/5*100,0)))</x:f>
        <x:v>65</x:v>
      </x:c>
      <x:c r="AL87" s="26" t="str">
        <x:v>Image correction and archival derivatives.</x:v>
      </x:c>
    </x:row>
    <x:row r="88">
      <x:c r="A88" s="53" t="str">
        <x:v>PSP-085</x:v>
      </x:c>
      <x:c r="B88" s="53" t="str">
        <x:v>COMP|ARCH</x:v>
      </x:c>
      <x:c r="C88" s="53" t="str">
        <x:v>Software Heritage archive and APIs</x:v>
      </x:c>
      <x:c r="D88" s="53" t="str">
        <x:v>Software Heritage</x:v>
      </x:c>
      <x:c r="E88" s="53" t="str">
        <x:v>Практический источник для групп COMP|ARCH</x:v>
      </x:c>
      <x:c r="F88" s="53" t="str">
        <x:v>https://www.softwareheritage.org/</x:v>
      </x:c>
      <x:c r="G88" s="53" t="str">
        <x:v>https://www.softwareheritage.org/</x:v>
      </x:c>
      <x:c r="H88" s="53" t="str">
        <x:v>https://www.softwareheritage.org/legal/</x:v>
      </x:c>
      <x:c r="I88" s="53" t="str">
        <x:v>archive/legal terms and original source licenses</x:v>
      </x:c>
      <x:c r="J88" s="53" t="str">
        <x:v>en</x:v>
      </x:c>
      <x:c r="K88" s="53" t="str">
        <x:v>International/reference</x:v>
      </x:c>
      <x:c r="L88" s="53" t="str">
        <x:v>metadata/API/archive references</x:v>
      </x:c>
      <x:c r="M88" s="53" t="str">
        <x:v>store identifiers and retrieve lawfully licensed critical source</x:v>
      </x:c>
      <x:c r="N88" s="53" t="str">
        <x:v>L3</x:v>
      </x:c>
      <x:c r="O88" s="53" t="str">
        <x:v>S0_OBSERVE_READ</x:v>
      </x:c>
      <x:c r="P88" s="53" t="str">
        <x:v>ANNUAL_OR_EDITION</x:v>
      </x:c>
      <x:c r="Q88" s="53" t="n">
        <x:v>4</x:v>
      </x:c>
      <x:c r="R88" s="53" t="n">
        <x:v>4</x:v>
      </x:c>
      <x:c r="S88" s="53" t="n">
        <x:v>3</x:v>
      </x:c>
      <x:c r="T88" s="53" t="n">
        <x:v>4</x:v>
      </x:c>
      <x:c r="U88" s="53" t="n">
        <x:v>4</x:v>
      </x:c>
      <x:c r="V88" s="53" t="n">
        <x:v>3</x:v>
      </x:c>
      <x:c r="W88" s="53" t="n">
        <x:v>2</x:v>
      </x:c>
      <x:c r="X88" s="53" t="n">
        <x:v>4</x:v>
      </x:c>
      <x:c r="Y88" s="53" t="n">
        <x:v>1</x:v>
      </x:c>
      <x:c r="Z88" s="53" t="n">
        <x:v>2</x:v>
      </x:c>
      <x:c r="AA88" s="53" t="n">
        <x:v>1</x:v>
      </x:c>
      <x:c r="AB88" s="53" t="str">
        <x:v>CANDIDATE</x:v>
      </x:c>
      <x:c r="AC88" s="53" t="str">
        <x:v>NOT_DOWNLOADED</x:v>
      </x:c>
      <x:c r="AD88" s="53" t="str">
        <x:v>REQUIRES_ITEM_REVIEW</x:v>
      </x:c>
      <x:c r="AE88" s="53" t="str">
        <x:v>NOT_REVIEWED</x:v>
      </x:c>
      <x:c r="AF88" s="53" t="str">
        <x:v>NOT_TESTED</x:v>
      </x:c>
      <x:c r="AG88" s="53" t="str"/>
      <x:c r="AH88" s="53" t="str"/>
      <x:c r="AI88" s="53" t="str"/>
      <x:c r="AJ88" s="53" t="str"/>
      <x:c r="AK88" s="57" t="n">
        <x:f>MAX(0,MIN(100,ROUND(((Q88*'Overview'!$B$18)+(R88*'Overview'!$B$19)+(S88*'Overview'!$B$20)+(T88*'Overview'!$B$21)+(U88*'Overview'!$B$22)+(V88*'Overview'!$B$23)+(W88*'Overview'!$B$24)+(X88*'Overview'!$B$25)-(Y88*'Overview'!$B$26)-(Z88*'Overview'!$B$27)-(AA88*'Overview'!$B$28))/5*100,0)))</x:f>
        <x:v>65</x:v>
      </x:c>
      <x:c r="AL88" s="53" t="str">
        <x:v>External redundancy; not a replacement for local buildable source.</x:v>
      </x:c>
    </x:row>
    <x:row r="89">
      <x:c r="A89" s="26" t="str">
        <x:v>PSP-086</x:v>
      </x:c>
      <x:c r="B89" s="26" t="str">
        <x:v>PORT|EARTH|COMP</x:v>
      </x:c>
      <x:c r="C89" s="26" t="str">
        <x:v>SNIG national geospatial registry</x:v>
      </x:c>
      <x:c r="D89" s="26" t="str">
        <x:v>Direção-Geral do Território</x:v>
      </x:c>
      <x:c r="E89" s="26" t="str">
        <x:v>Практический источник для групп PORT|EARTH|COMP</x:v>
      </x:c>
      <x:c r="F89" s="26" t="str">
        <x:v>https://snig.dgterritorio.gov.pt/</x:v>
      </x:c>
      <x:c r="G89" s="26" t="str">
        <x:v>https://snig.dgterritorio.gov.pt/</x:v>
      </x:c>
      <x:c r="H89" s="26" t="str">
        <x:v>https://snig.dgterritorio.gov.pt/termos-e-condicoes</x:v>
      </x:c>
      <x:c r="I89" s="26" t="str">
        <x:v>dataset/provider-specific rights</x:v>
      </x:c>
      <x:c r="J89" s="26" t="str">
        <x:v>pt</x:v>
      </x:c>
      <x:c r="K89" s="26" t="str">
        <x:v>Portugal/EU</x:v>
      </x:c>
      <x:c r="L89" s="26" t="str">
        <x:v>metadata/GIS services</x:v>
      </x:c>
      <x:c r="M89" s="26" t="str">
        <x:v>download dataset metadata and permitted layers per provider</x:v>
      </x:c>
      <x:c r="N89" s="26" t="str">
        <x:v>L2</x:v>
      </x:c>
      <x:c r="O89" s="26" t="str">
        <x:v>S0_OBSERVE_READ</x:v>
      </x:c>
      <x:c r="P89" s="26" t="str">
        <x:v>ANNUAL_OR_EDITION</x:v>
      </x:c>
      <x:c r="Q89" s="26" t="n">
        <x:v>4</x:v>
      </x:c>
      <x:c r="R89" s="26" t="n">
        <x:v>4</x:v>
      </x:c>
      <x:c r="S89" s="26" t="n">
        <x:v>3</x:v>
      </x:c>
      <x:c r="T89" s="26" t="n">
        <x:v>4</x:v>
      </x:c>
      <x:c r="U89" s="26" t="n">
        <x:v>4</x:v>
      </x:c>
      <x:c r="V89" s="26" t="n">
        <x:v>3</x:v>
      </x:c>
      <x:c r="W89" s="26" t="n">
        <x:v>2</x:v>
      </x:c>
      <x:c r="X89" s="26" t="n">
        <x:v>4</x:v>
      </x:c>
      <x:c r="Y89" s="26" t="n">
        <x:v>1</x:v>
      </x:c>
      <x:c r="Z89" s="26" t="n">
        <x:v>2</x:v>
      </x:c>
      <x:c r="AA89" s="26" t="n">
        <x:v>1</x:v>
      </x:c>
      <x:c r="AB89" s="26" t="str">
        <x:v>CANDIDATE</x:v>
      </x:c>
      <x:c r="AC89" s="26" t="str">
        <x:v>NOT_DOWNLOADED</x:v>
      </x:c>
      <x:c r="AD89" s="26" t="str">
        <x:v>REQUIRES_ITEM_REVIEW</x:v>
      </x:c>
      <x:c r="AE89" s="26" t="str">
        <x:v>NOT_REVIEWED</x:v>
      </x:c>
      <x:c r="AF89" s="26" t="str">
        <x:v>NOT_TESTED</x:v>
      </x:c>
      <x:c r="AG89" s="26" t="str"/>
      <x:c r="AH89" s="26" t="str"/>
      <x:c r="AI89" s="26" t="str"/>
      <x:c r="AJ89" s="26" t="str"/>
      <x:c r="AK89" s="57" t="n">
        <x:f>MAX(0,MIN(100,ROUND(((Q89*'Overview'!$B$18)+(R89*'Overview'!$B$19)+(S89*'Overview'!$B$20)+(T89*'Overview'!$B$21)+(U89*'Overview'!$B$22)+(V89*'Overview'!$B$23)+(W89*'Overview'!$B$24)+(X89*'Overview'!$B$25)-(Y89*'Overview'!$B$26)-(Z89*'Overview'!$B$27)-(AA89*'Overview'!$B$28))/5*100,0)))</x:f>
        <x:v>65</x:v>
      </x:c>
      <x:c r="AL89" s="26" t="str">
        <x:v>Portugal authoritative geodata discovery.</x:v>
      </x:c>
    </x:row>
    <x:row r="90">
      <x:c r="A90" s="53" t="str">
        <x:v>PSP-087</x:v>
      </x:c>
      <x:c r="B90" s="53" t="str">
        <x:v>PORT|EARTH</x:v>
      </x:c>
      <x:c r="C90" s="53" t="str">
        <x:v>CAOP official administrative map</x:v>
      </x:c>
      <x:c r="D90" s="53" t="str">
        <x:v>Direção-Geral do Território</x:v>
      </x:c>
      <x:c r="E90" s="53" t="str">
        <x:v>Практический источник для групп PORT|EARTH</x:v>
      </x:c>
      <x:c r="F90" s="53" t="str">
        <x:v>https://www.dgterritorio.gov.pt/atividades/cartografia/cartografia-tematica/caop</x:v>
      </x:c>
      <x:c r="G90" s="53" t="str">
        <x:v>https://www.dgterritorio.gov.pt/atividades/cartografia/cartografia-tematica/caop</x:v>
      </x:c>
      <x:c r="H90" s="53" t="str">
        <x:v>https://www.dgterritorio.gov.pt/termos-e-condicoes</x:v>
      </x:c>
      <x:c r="I90" s="53" t="str">
        <x:v>DGT/data terms; capture exact edition</x:v>
      </x:c>
      <x:c r="J90" s="53" t="str">
        <x:v>pt</x:v>
      </x:c>
      <x:c r="K90" s="53" t="str">
        <x:v>Portugal/EU</x:v>
      </x:c>
      <x:c r="L90" s="53" t="str">
        <x:v>GIS/PDF</x:v>
      </x:c>
      <x:c r="M90" s="53" t="str">
        <x:v>official edition download with metadata/license</x:v>
      </x:c>
      <x:c r="N90" s="53" t="str">
        <x:v>L1</x:v>
      </x:c>
      <x:c r="O90" s="53" t="str">
        <x:v>S0_OBSERVE_READ</x:v>
      </x:c>
      <x:c r="P90" s="53" t="str">
        <x:v>ANNUAL_OR_EDITION</x:v>
      </x:c>
      <x:c r="Q90" s="53" t="n">
        <x:v>4</x:v>
      </x:c>
      <x:c r="R90" s="53" t="n">
        <x:v>4</x:v>
      </x:c>
      <x:c r="S90" s="53" t="n">
        <x:v>3</x:v>
      </x:c>
      <x:c r="T90" s="53" t="n">
        <x:v>4</x:v>
      </x:c>
      <x:c r="U90" s="53" t="n">
        <x:v>4</x:v>
      </x:c>
      <x:c r="V90" s="53" t="n">
        <x:v>3</x:v>
      </x:c>
      <x:c r="W90" s="53" t="n">
        <x:v>2</x:v>
      </x:c>
      <x:c r="X90" s="53" t="n">
        <x:v>4</x:v>
      </x:c>
      <x:c r="Y90" s="53" t="n">
        <x:v>1</x:v>
      </x:c>
      <x:c r="Z90" s="53" t="n">
        <x:v>2</x:v>
      </x:c>
      <x:c r="AA90" s="53" t="n">
        <x:v>1</x:v>
      </x:c>
      <x:c r="AB90" s="53" t="str">
        <x:v>CANDIDATE</x:v>
      </x:c>
      <x:c r="AC90" s="53" t="str">
        <x:v>NOT_DOWNLOADED</x:v>
      </x:c>
      <x:c r="AD90" s="53" t="str">
        <x:v>REQUIRES_ITEM_REVIEW</x:v>
      </x:c>
      <x:c r="AE90" s="53" t="str">
        <x:v>NOT_REVIEWED</x:v>
      </x:c>
      <x:c r="AF90" s="53" t="str">
        <x:v>NOT_TESTED</x:v>
      </x:c>
      <x:c r="AG90" s="53" t="str"/>
      <x:c r="AH90" s="53" t="str"/>
      <x:c r="AI90" s="53" t="str"/>
      <x:c r="AJ90" s="53" t="str"/>
      <x:c r="AK90" s="57" t="n">
        <x:f>MAX(0,MIN(100,ROUND(((Q90*'Overview'!$B$18)+(R90*'Overview'!$B$19)+(S90*'Overview'!$B$20)+(T90*'Overview'!$B$21)+(U90*'Overview'!$B$22)+(V90*'Overview'!$B$23)+(W90*'Overview'!$B$24)+(X90*'Overview'!$B$25)-(Y90*'Overview'!$B$26)-(Z90*'Overview'!$B$27)-(AA90*'Overview'!$B$28))/5*100,0)))</x:f>
        <x:v>65</x:v>
      </x:c>
      <x:c r="AL90" s="53" t="str">
        <x:v>Administrative boundaries, not hazard or route status.</x:v>
      </x:c>
    </x:row>
    <x:row r="91">
      <x:c r="A91" s="26" t="str">
        <x:v>PSP-088</x:v>
      </x:c>
      <x:c r="B91" s="26" t="str">
        <x:v>PORT|EARTH</x:v>
      </x:c>
      <x:c r="C91" s="26" t="str">
        <x:v>LNEG GeoPortal and geological data</x:v>
      </x:c>
      <x:c r="D91" s="26" t="str">
        <x:v>Laboratório Nacional de Energia e Geologia</x:v>
      </x:c>
      <x:c r="E91" s="26" t="str">
        <x:v>Практический источник для групп PORT|EARTH</x:v>
      </x:c>
      <x:c r="F91" s="26" t="str">
        <x:v>https://geoportal.lneg.pt/</x:v>
      </x:c>
      <x:c r="G91" s="26" t="str">
        <x:v>https://geoportal.lneg.pt/</x:v>
      </x:c>
      <x:c r="H91" s="26" t="str">
        <x:v>https://www.lneg.pt/termos-e-condicoes/</x:v>
      </x:c>
      <x:c r="I91" s="26" t="str">
        <x:v>dataset-specific terms</x:v>
      </x:c>
      <x:c r="J91" s="26" t="str">
        <x:v>pt</x:v>
      </x:c>
      <x:c r="K91" s="26" t="str">
        <x:v>Portugal/EU</x:v>
      </x:c>
      <x:c r="L91" s="26" t="str">
        <x:v>GIS/PDF/metadata</x:v>
      </x:c>
      <x:c r="M91" s="26" t="str">
        <x:v>per-dataset download/metadata capture</x:v>
      </x:c>
      <x:c r="N91" s="26" t="str">
        <x:v>L2</x:v>
      </x:c>
      <x:c r="O91" s="26" t="str">
        <x:v>S0_OBSERVE_READ</x:v>
      </x:c>
      <x:c r="P91" s="26" t="str">
        <x:v>ANNUAL_OR_EDITION</x:v>
      </x:c>
      <x:c r="Q91" s="26" t="n">
        <x:v>4</x:v>
      </x:c>
      <x:c r="R91" s="26" t="n">
        <x:v>4</x:v>
      </x:c>
      <x:c r="S91" s="26" t="n">
        <x:v>3</x:v>
      </x:c>
      <x:c r="T91" s="26" t="n">
        <x:v>4</x:v>
      </x:c>
      <x:c r="U91" s="26" t="n">
        <x:v>4</x:v>
      </x:c>
      <x:c r="V91" s="26" t="n">
        <x:v>3</x:v>
      </x:c>
      <x:c r="W91" s="26" t="n">
        <x:v>2</x:v>
      </x:c>
      <x:c r="X91" s="26" t="n">
        <x:v>4</x:v>
      </x:c>
      <x:c r="Y91" s="26" t="n">
        <x:v>1</x:v>
      </x:c>
      <x:c r="Z91" s="26" t="n">
        <x:v>2</x:v>
      </x:c>
      <x:c r="AA91" s="26" t="n">
        <x:v>1</x:v>
      </x:c>
      <x:c r="AB91" s="26" t="str">
        <x:v>CANDIDATE</x:v>
      </x:c>
      <x:c r="AC91" s="26" t="str">
        <x:v>NOT_DOWNLOADED</x:v>
      </x:c>
      <x:c r="AD91" s="26" t="str">
        <x:v>REQUIRES_ITEM_REVIEW</x:v>
      </x:c>
      <x:c r="AE91" s="26" t="str">
        <x:v>NOT_REVIEWED</x:v>
      </x:c>
      <x:c r="AF91" s="26" t="str">
        <x:v>NOT_TESTED</x:v>
      </x:c>
      <x:c r="AG91" s="26" t="str"/>
      <x:c r="AH91" s="26" t="str"/>
      <x:c r="AI91" s="26" t="str"/>
      <x:c r="AJ91" s="26" t="str"/>
      <x:c r="AK91" s="57" t="n">
        <x:f>MAX(0,MIN(100,ROUND(((Q91*'Overview'!$B$18)+(R91*'Overview'!$B$19)+(S91*'Overview'!$B$20)+(T91*'Overview'!$B$21)+(U91*'Overview'!$B$22)+(V91*'Overview'!$B$23)+(W91*'Overview'!$B$24)+(X91*'Overview'!$B$25)-(Y91*'Overview'!$B$26)-(Z91*'Overview'!$B$27)-(AA91*'Overview'!$B$28))/5*100,0)))</x:f>
        <x:v>65</x:v>
      </x:c>
      <x:c r="AL91" s="26" t="str">
        <x:v>Portugal geology/hydrogeology reference.</x:v>
      </x:c>
    </x:row>
    <x:row r="92">
      <x:c r="A92" s="53" t="str">
        <x:v>PSP-089</x:v>
      </x:c>
      <x:c r="B92" s="53" t="str">
        <x:v>PORT|EARTH|AGRI</x:v>
      </x:c>
      <x:c r="C92" s="53" t="str">
        <x:v>APA water, flood and environment data</x:v>
      </x:c>
      <x:c r="D92" s="53" t="str">
        <x:v>Agência Portuguesa do Ambiente</x:v>
      </x:c>
      <x:c r="E92" s="53" t="str">
        <x:v>Практический источник для групп PORT|EARTH|AGRI</x:v>
      </x:c>
      <x:c r="F92" s="53" t="str">
        <x:v>https://apambiente.pt/</x:v>
      </x:c>
      <x:c r="G92" s="53" t="str">
        <x:v>https://apambiente.pt/</x:v>
      </x:c>
      <x:c r="H92" s="53" t="str">
        <x:v>https://apambiente.pt/apa/termos-e-condicoes</x:v>
      </x:c>
      <x:c r="I92" s="53" t="str">
        <x:v>rights and reuse per item/dataset</x:v>
      </x:c>
      <x:c r="J92" s="53" t="str">
        <x:v>pt</x:v>
      </x:c>
      <x:c r="K92" s="53" t="str">
        <x:v>Portugal/EU</x:v>
      </x:c>
      <x:c r="L92" s="53" t="str">
        <x:v>GIS/PDF/HTML</x:v>
      </x:c>
      <x:c r="M92" s="53" t="str">
        <x:v>per-item/per-dataset acquisition with cycle and coverage</x:v>
      </x:c>
      <x:c r="N92" s="53" t="str">
        <x:v>L2</x:v>
      </x:c>
      <x:c r="O92" s="53" t="str">
        <x:v>S0_OBSERVE_READ</x:v>
      </x:c>
      <x:c r="P92" s="53" t="str">
        <x:v>ANNUAL_OR_EDITION</x:v>
      </x:c>
      <x:c r="Q92" s="53" t="n">
        <x:v>4</x:v>
      </x:c>
      <x:c r="R92" s="53" t="n">
        <x:v>4</x:v>
      </x:c>
      <x:c r="S92" s="53" t="n">
        <x:v>3</x:v>
      </x:c>
      <x:c r="T92" s="53" t="n">
        <x:v>4</x:v>
      </x:c>
      <x:c r="U92" s="53" t="n">
        <x:v>4</x:v>
      </x:c>
      <x:c r="V92" s="53" t="n">
        <x:v>3</x:v>
      </x:c>
      <x:c r="W92" s="53" t="n">
        <x:v>2</x:v>
      </x:c>
      <x:c r="X92" s="53" t="n">
        <x:v>4</x:v>
      </x:c>
      <x:c r="Y92" s="53" t="n">
        <x:v>1</x:v>
      </x:c>
      <x:c r="Z92" s="53" t="n">
        <x:v>2</x:v>
      </x:c>
      <x:c r="AA92" s="53" t="n">
        <x:v>1</x:v>
      </x:c>
      <x:c r="AB92" s="53" t="str">
        <x:v>CANDIDATE</x:v>
      </x:c>
      <x:c r="AC92" s="53" t="str">
        <x:v>NOT_DOWNLOADED</x:v>
      </x:c>
      <x:c r="AD92" s="53" t="str">
        <x:v>REQUIRES_ITEM_REVIEW</x:v>
      </x:c>
      <x:c r="AE92" s="53" t="str">
        <x:v>NOT_REVIEWED</x:v>
      </x:c>
      <x:c r="AF92" s="53" t="str">
        <x:v>NOT_TESTED</x:v>
      </x:c>
      <x:c r="AG92" s="53" t="str"/>
      <x:c r="AH92" s="53" t="str"/>
      <x:c r="AI92" s="53" t="str"/>
      <x:c r="AJ92" s="53" t="str"/>
      <x:c r="AK92" s="57" t="n">
        <x:f>MAX(0,MIN(100,ROUND(((Q92*'Overview'!$B$18)+(R92*'Overview'!$B$19)+(S92*'Overview'!$B$20)+(T92*'Overview'!$B$21)+(U92*'Overview'!$B$22)+(V92*'Overview'!$B$23)+(W92*'Overview'!$B$24)+(X92*'Overview'!$B$25)-(Y92*'Overview'!$B$26)-(Z92*'Overview'!$B$27)-(AA92*'Overview'!$B$28))/5*100,0)))</x:f>
        <x:v>65</x:v>
      </x:c>
      <x:c r="AL92" s="53" t="str">
        <x:v>Portugal environmental authority; dynamic operational status must be refreshed.</x:v>
      </x:c>
    </x:row>
    <x:row r="93">
      <x:c r="A93" s="26" t="str">
        <x:v>PSP-090</x:v>
      </x:c>
      <x:c r="B93" s="26" t="str">
        <x:v>PORT|EARTH</x:v>
      </x:c>
      <x:c r="C93" s="26" t="str">
        <x:v>IPMA technical data and publications</x:v>
      </x:c>
      <x:c r="D93" s="26" t="str">
        <x:v>Instituto Português do Mar e da Atmosfera</x:v>
      </x:c>
      <x:c r="E93" s="26" t="str">
        <x:v>Практический источник для групп PORT|EARTH</x:v>
      </x:c>
      <x:c r="F93" s="26" t="str">
        <x:v>https://www.ipma.pt/pt/publicacoes/</x:v>
      </x:c>
      <x:c r="G93" s="26" t="str">
        <x:v>https://www.ipma.pt/pt/publicacoes/</x:v>
      </x:c>
      <x:c r="H93" s="26" t="str">
        <x:v>https://www.ipma.pt/pt/siteinfo/index.html</x:v>
      </x:c>
      <x:c r="I93" s="26" t="str">
        <x:v>IPMA terms and dataset-specific rights</x:v>
      </x:c>
      <x:c r="J93" s="26" t="str">
        <x:v>pt</x:v>
      </x:c>
      <x:c r="K93" s="26" t="str">
        <x:v>Portugal/EU</x:v>
      </x:c>
      <x:c r="L93" s="26" t="str">
        <x:v>PDF/data/HTML</x:v>
      </x:c>
      <x:c r="M93" s="26" t="str">
        <x:v>per-item download; preserve station/period/version</x:v>
      </x:c>
      <x:c r="N93" s="26" t="str">
        <x:v>L2</x:v>
      </x:c>
      <x:c r="O93" s="26" t="str">
        <x:v>S0_OBSERVE_READ</x:v>
      </x:c>
      <x:c r="P93" s="26" t="str">
        <x:v>ANNUAL_OR_EDITION</x:v>
      </x:c>
      <x:c r="Q93" s="26" t="n">
        <x:v>4</x:v>
      </x:c>
      <x:c r="R93" s="26" t="n">
        <x:v>4</x:v>
      </x:c>
      <x:c r="S93" s="26" t="n">
        <x:v>3</x:v>
      </x:c>
      <x:c r="T93" s="26" t="n">
        <x:v>4</x:v>
      </x:c>
      <x:c r="U93" s="26" t="n">
        <x:v>4</x:v>
      </x:c>
      <x:c r="V93" s="26" t="n">
        <x:v>3</x:v>
      </x:c>
      <x:c r="W93" s="26" t="n">
        <x:v>2</x:v>
      </x:c>
      <x:c r="X93" s="26" t="n">
        <x:v>4</x:v>
      </x:c>
      <x:c r="Y93" s="26" t="n">
        <x:v>1</x:v>
      </x:c>
      <x:c r="Z93" s="26" t="n">
        <x:v>2</x:v>
      </x:c>
      <x:c r="AA93" s="26" t="n">
        <x:v>1</x:v>
      </x:c>
      <x:c r="AB93" s="26" t="str">
        <x:v>CANDIDATE</x:v>
      </x:c>
      <x:c r="AC93" s="26" t="str">
        <x:v>NOT_DOWNLOADED</x:v>
      </x:c>
      <x:c r="AD93" s="26" t="str">
        <x:v>REQUIRES_ITEM_REVIEW</x:v>
      </x:c>
      <x:c r="AE93" s="26" t="str">
        <x:v>NOT_REVIEWED</x:v>
      </x:c>
      <x:c r="AF93" s="26" t="str">
        <x:v>NOT_TESTED</x:v>
      </x:c>
      <x:c r="AG93" s="26" t="str"/>
      <x:c r="AH93" s="26" t="str"/>
      <x:c r="AI93" s="26" t="str"/>
      <x:c r="AJ93" s="26" t="str"/>
      <x:c r="AK93" s="57" t="n">
        <x:f>MAX(0,MIN(100,ROUND(((Q93*'Overview'!$B$18)+(R93*'Overview'!$B$19)+(S93*'Overview'!$B$20)+(T93*'Overview'!$B$21)+(U93*'Overview'!$B$22)+(V93*'Overview'!$B$23)+(W93*'Overview'!$B$24)+(X93*'Overview'!$B$25)-(Y93*'Overview'!$B$26)-(Z93*'Overview'!$B$27)-(AA93*'Overview'!$B$28))/5*100,0)))</x:f>
        <x:v>65</x:v>
      </x:c>
      <x:c r="AL93" s="26" t="str">
        <x:v>Portugal weather, climate, seismology and ocean reference.</x:v>
      </x:c>
    </x:row>
    <x:row r="94">
      <x:c r="A94" s="53" t="str">
        <x:v>PSP-091</x:v>
      </x:c>
      <x:c r="B94" s="53" t="str">
        <x:v>PORT|AGRI|HEALTH</x:v>
      </x:c>
      <x:c r="C94" s="53" t="str">
        <x:v>DGAV plant health and food-practice pages</x:v>
      </x:c>
      <x:c r="D94" s="53" t="str">
        <x:v>Direção-Geral de Alimentação e Veterinária</x:v>
      </x:c>
      <x:c r="E94" s="53" t="str">
        <x:v>Практический источник для групп PORT|AGRI|HEALTH</x:v>
      </x:c>
      <x:c r="F94" s="53" t="str">
        <x:v>https://www.dgav.pt/</x:v>
      </x:c>
      <x:c r="G94" s="53" t="str">
        <x:v>https://www.dgav.pt/</x:v>
      </x:c>
      <x:c r="H94" s="53" t="str">
        <x:v>https://www.dgav.pt/termos-e-condicoes/</x:v>
      </x:c>
      <x:c r="I94" s="53" t="str">
        <x:v>site/item rights not assumed open</x:v>
      </x:c>
      <x:c r="J94" s="53" t="str">
        <x:v>pt</x:v>
      </x:c>
      <x:c r="K94" s="53" t="str">
        <x:v>Portugal/EU</x:v>
      </x:c>
      <x:c r="L94" s="53" t="str">
        <x:v>HTML/PDF</x:v>
      </x:c>
      <x:c r="M94" s="53" t="str">
        <x:v>metadata/link only until local reproduction right is evidenced</x:v>
      </x:c>
      <x:c r="N94" s="53" t="str">
        <x:v>L1</x:v>
      </x:c>
      <x:c r="O94" s="53" t="str">
        <x:v>S2_TRAINED_SUPERVISED</x:v>
      </x:c>
      <x:c r="P94" s="53" t="str">
        <x:v>ANNUAL_OR_EDITION</x:v>
      </x:c>
      <x:c r="Q94" s="53" t="n">
        <x:v>4</x:v>
      </x:c>
      <x:c r="R94" s="53" t="n">
        <x:v>4</x:v>
      </x:c>
      <x:c r="S94" s="53" t="n">
        <x:v>3</x:v>
      </x:c>
      <x:c r="T94" s="53" t="n">
        <x:v>4</x:v>
      </x:c>
      <x:c r="U94" s="53" t="n">
        <x:v>4</x:v>
      </x:c>
      <x:c r="V94" s="53" t="n">
        <x:v>3</x:v>
      </x:c>
      <x:c r="W94" s="53" t="n">
        <x:v>2</x:v>
      </x:c>
      <x:c r="X94" s="53" t="n">
        <x:v>4</x:v>
      </x:c>
      <x:c r="Y94" s="53" t="n">
        <x:v>2</x:v>
      </x:c>
      <x:c r="Z94" s="53" t="n">
        <x:v>2</x:v>
      </x:c>
      <x:c r="AA94" s="53" t="n">
        <x:v>1</x:v>
      </x:c>
      <x:c r="AB94" s="53" t="str">
        <x:v>CANDIDATE</x:v>
      </x:c>
      <x:c r="AC94" s="53" t="str">
        <x:v>NOT_DOWNLOADED</x:v>
      </x:c>
      <x:c r="AD94" s="53" t="str">
        <x:v>LOCAL_REPRODUCTION_RIGHTS_UNVERIFIED</x:v>
      </x:c>
      <x:c r="AE94" s="53" t="str">
        <x:v>NOT_REVIEWED</x:v>
      </x:c>
      <x:c r="AF94" s="53" t="str">
        <x:v>NOT_TESTED</x:v>
      </x:c>
      <x:c r="AG94" s="53" t="str"/>
      <x:c r="AH94" s="53" t="str"/>
      <x:c r="AI94" s="53" t="str"/>
      <x:c r="AJ94" s="53" t="str"/>
      <x:c r="AK94" s="57" t="n">
        <x:f>MAX(0,MIN(100,ROUND(((Q94*'Overview'!$B$18)+(R94*'Overview'!$B$19)+(S94*'Overview'!$B$20)+(T94*'Overview'!$B$21)+(U94*'Overview'!$B$22)+(V94*'Overview'!$B$23)+(W94*'Overview'!$B$24)+(X94*'Overview'!$B$25)-(Y94*'Overview'!$B$26)-(Z94*'Overview'!$B$27)-(AA94*'Overview'!$B$28))/5*100,0)))</x:f>
        <x:v>62</x:v>
      </x:c>
      <x:c r="AL94" s="53" t="str">
        <x:v>Portugal plant, food and animal authority; dynamic and topic-specific.</x:v>
      </x:c>
    </x:row>
    <x:row r="95">
      <x:c r="A95" s="26" t="str">
        <x:v>PSP-092</x:v>
      </x:c>
      <x:c r="B95" s="26" t="str">
        <x:v>PORT|CIVIL</x:v>
      </x:c>
      <x:c r="C95" s="26" t="str">
        <x:v>LNEC publications and repository</x:v>
      </x:c>
      <x:c r="D95" s="26" t="str">
        <x:v>Laboratório Nacional de Engenharia Civil</x:v>
      </x:c>
      <x:c r="E95" s="26" t="str">
        <x:v>Практический источник для групп PORT|CIVIL</x:v>
      </x:c>
      <x:c r="F95" s="26" t="str">
        <x:v>https://repositorio.lnec.pt/</x:v>
      </x:c>
      <x:c r="G95" s="26" t="str">
        <x:v>https://repositorio.lnec.pt/</x:v>
      </x:c>
      <x:c r="H95" s="26" t="str">
        <x:v>https://www.lnec.pt/pt/termos-de-utilizacao/</x:v>
      </x:c>
      <x:c r="I95" s="26" t="str">
        <x:v>repository and per-item rights</x:v>
      </x:c>
      <x:c r="J95" s="26" t="str">
        <x:v>pt|en</x:v>
      </x:c>
      <x:c r="K95" s="26" t="str">
        <x:v>Portugal/EU</x:v>
      </x:c>
      <x:c r="L95" s="26" t="str">
        <x:v>PDF/metadata</x:v>
      </x:c>
      <x:c r="M95" s="26" t="str">
        <x:v>per-item download only after repository/item rights review</x:v>
      </x:c>
      <x:c r="N95" s="26" t="str">
        <x:v>L2</x:v>
      </x:c>
      <x:c r="O95" s="26" t="str">
        <x:v>S3_LICENSED_PROFESSIONAL</x:v>
      </x:c>
      <x:c r="P95" s="26" t="str">
        <x:v>ANNUAL_OR_EDITION</x:v>
      </x:c>
      <x:c r="Q95" s="26" t="n">
        <x:v>4</x:v>
      </x:c>
      <x:c r="R95" s="26" t="n">
        <x:v>4</x:v>
      </x:c>
      <x:c r="S95" s="26" t="n">
        <x:v>3</x:v>
      </x:c>
      <x:c r="T95" s="26" t="n">
        <x:v>4</x:v>
      </x:c>
      <x:c r="U95" s="26" t="n">
        <x:v>4</x:v>
      </x:c>
      <x:c r="V95" s="26" t="n">
        <x:v>3</x:v>
      </x:c>
      <x:c r="W95" s="26" t="n">
        <x:v>2</x:v>
      </x:c>
      <x:c r="X95" s="26" t="n">
        <x:v>4</x:v>
      </x:c>
      <x:c r="Y95" s="26" t="n">
        <x:v>4</x:v>
      </x:c>
      <x:c r="Z95" s="26" t="n">
        <x:v>2</x:v>
      </x:c>
      <x:c r="AA95" s="26" t="n">
        <x:v>1</x:v>
      </x:c>
      <x:c r="AB95" s="26" t="str">
        <x:v>CANDIDATE</x:v>
      </x:c>
      <x:c r="AC95" s="26" t="str">
        <x:v>NOT_DOWNLOADED</x:v>
      </x:c>
      <x:c r="AD95" s="26" t="str">
        <x:v>REQUIRES_ITEM_REVIEW</x:v>
      </x:c>
      <x:c r="AE95" s="26" t="str">
        <x:v>NOT_REVIEWED</x:v>
      </x:c>
      <x:c r="AF95" s="26" t="str">
        <x:v>NOT_TESTED</x:v>
      </x:c>
      <x:c r="AG95" s="26" t="str"/>
      <x:c r="AH95" s="26" t="str"/>
      <x:c r="AI95" s="26" t="str"/>
      <x:c r="AJ95" s="26" t="str"/>
      <x:c r="AK95" s="57" t="n">
        <x:f>MAX(0,MIN(100,ROUND(((Q95*'Overview'!$B$18)+(R95*'Overview'!$B$19)+(S95*'Overview'!$B$20)+(T95*'Overview'!$B$21)+(U95*'Overview'!$B$22)+(V95*'Overview'!$B$23)+(W95*'Overview'!$B$24)+(X95*'Overview'!$B$25)-(Y95*'Overview'!$B$26)-(Z95*'Overview'!$B$27)-(AA95*'Overview'!$B$28))/5*100,0)))</x:f>
        <x:v>56</x:v>
      </x:c>
      <x:c r="AL95" s="26" t="str">
        <x:v>Portugal applied civil science; professional scope.</x:v>
      </x:c>
    </x:row>
    <x:row r="96">
      <x:c r="A96" s="53" t="str">
        <x:v>PSP-093</x:v>
      </x:c>
      <x:c r="B96" s="53" t="str">
        <x:v>PORT|ELEC</x:v>
      </x:c>
      <x:c r="C96" s="53" t="str">
        <x:v>DGEG energy and geology technical resources</x:v>
      </x:c>
      <x:c r="D96" s="53" t="str">
        <x:v>Direção-Geral de Energia e Geologia</x:v>
      </x:c>
      <x:c r="E96" s="53" t="str">
        <x:v>Практический источник для групп PORT|ELEC</x:v>
      </x:c>
      <x:c r="F96" s="53" t="str">
        <x:v>https://www.dgeg.gov.pt/</x:v>
      </x:c>
      <x:c r="G96" s="53" t="str">
        <x:v>https://www.dgeg.gov.pt/</x:v>
      </x:c>
      <x:c r="H96" s="53" t="str">
        <x:v>https://www.dgeg.gov.pt/pt/termos-e-condicoes/</x:v>
      </x:c>
      <x:c r="I96" s="53" t="str">
        <x:v>site/item rights review</x:v>
      </x:c>
      <x:c r="J96" s="53" t="str">
        <x:v>pt</x:v>
      </x:c>
      <x:c r="K96" s="53" t="str">
        <x:v>Portugal/EU</x:v>
      </x:c>
      <x:c r="L96" s="53" t="str">
        <x:v>HTML/PDF/data</x:v>
      </x:c>
      <x:c r="M96" s="53" t="str">
        <x:v>per-item official download after rights/edition review</x:v>
      </x:c>
      <x:c r="N96" s="53" t="str">
        <x:v>L2</x:v>
      </x:c>
      <x:c r="O96" s="53" t="str">
        <x:v>S3_LICENSED_PROFESSIONAL</x:v>
      </x:c>
      <x:c r="P96" s="53" t="str">
        <x:v>ANNUAL_OR_EDITION</x:v>
      </x:c>
      <x:c r="Q96" s="53" t="n">
        <x:v>4</x:v>
      </x:c>
      <x:c r="R96" s="53" t="n">
        <x:v>4</x:v>
      </x:c>
      <x:c r="S96" s="53" t="n">
        <x:v>3</x:v>
      </x:c>
      <x:c r="T96" s="53" t="n">
        <x:v>4</x:v>
      </x:c>
      <x:c r="U96" s="53" t="n">
        <x:v>4</x:v>
      </x:c>
      <x:c r="V96" s="53" t="n">
        <x:v>3</x:v>
      </x:c>
      <x:c r="W96" s="53" t="n">
        <x:v>2</x:v>
      </x:c>
      <x:c r="X96" s="53" t="n">
        <x:v>4</x:v>
      </x:c>
      <x:c r="Y96" s="53" t="n">
        <x:v>4</x:v>
      </x:c>
      <x:c r="Z96" s="53" t="n">
        <x:v>2</x:v>
      </x:c>
      <x:c r="AA96" s="53" t="n">
        <x:v>1</x:v>
      </x:c>
      <x:c r="AB96" s="53" t="str">
        <x:v>CANDIDATE</x:v>
      </x:c>
      <x:c r="AC96" s="53" t="str">
        <x:v>NOT_DOWNLOADED</x:v>
      </x:c>
      <x:c r="AD96" s="53" t="str">
        <x:v>REQUIRES_ITEM_REVIEW</x:v>
      </x:c>
      <x:c r="AE96" s="53" t="str">
        <x:v>NOT_REVIEWED</x:v>
      </x:c>
      <x:c r="AF96" s="53" t="str">
        <x:v>NOT_TESTED</x:v>
      </x:c>
      <x:c r="AG96" s="53" t="str"/>
      <x:c r="AH96" s="53" t="str"/>
      <x:c r="AI96" s="53" t="str"/>
      <x:c r="AJ96" s="53" t="str"/>
      <x:c r="AK96" s="57" t="n">
        <x:f>MAX(0,MIN(100,ROUND(((Q96*'Overview'!$B$18)+(R96*'Overview'!$B$19)+(S96*'Overview'!$B$20)+(T96*'Overview'!$B$21)+(U96*'Overview'!$B$22)+(V96*'Overview'!$B$23)+(W96*'Overview'!$B$24)+(X96*'Overview'!$B$25)-(Y96*'Overview'!$B$26)-(Z96*'Overview'!$B$27)-(AA96*'Overview'!$B$28))/5*100,0)))</x:f>
        <x:v>56</x:v>
      </x:c>
      <x:c r="AL96" s="53" t="str">
        <x:v>Portugal energy authority; current rules control.</x:v>
      </x:c>
    </x:row>
    <x:row r="97">
      <x:c r="A97" s="26" t="str">
        <x:v>PSP-094</x:v>
      </x:c>
      <x:c r="B97" s="26" t="str">
        <x:v>PORT|HEALTH</x:v>
      </x:c>
      <x:c r="C97" s="26" t="str">
        <x:v>DGS norms and guidance metadata</x:v>
      </x:c>
      <x:c r="D97" s="26" t="str">
        <x:v>Direção-Geral da Saúde</x:v>
      </x:c>
      <x:c r="E97" s="26" t="str">
        <x:v>Практический источник для групп PORT|HEALTH</x:v>
      </x:c>
      <x:c r="F97" s="26" t="str">
        <x:v>https://www.dgs.pt/normas-orientacoes-e-informacoes.aspx</x:v>
      </x:c>
      <x:c r="G97" s="26" t="str">
        <x:v>https://www.dgs.pt/normas-orientacoes-e-informacoes.aspx</x:v>
      </x:c>
      <x:c r="H97" s="26" t="str">
        <x:v>https://www.dgs.pt/termos-e-condicoes.aspx</x:v>
      </x:c>
      <x:c r="I97" s="26" t="str">
        <x:v>all rights reserved/rights unverified</x:v>
      </x:c>
      <x:c r="J97" s="26" t="str">
        <x:v>pt</x:v>
      </x:c>
      <x:c r="K97" s="26" t="str">
        <x:v>Portugal/EU</x:v>
      </x:c>
      <x:c r="L97" s="26" t="str">
        <x:v>metadata/link</x:v>
      </x:c>
      <x:c r="M97" s="26" t="str">
        <x:v>store URL/title/date only until reproduction right is documented</x:v>
      </x:c>
      <x:c r="N97" s="26" t="str">
        <x:v>L0</x:v>
      </x:c>
      <x:c r="O97" s="26" t="str">
        <x:v>S2_TRAINED_SUPERVISED</x:v>
      </x:c>
      <x:c r="P97" s="26" t="str">
        <x:v>EVENT_OR_MONTHLY</x:v>
      </x:c>
      <x:c r="Q97" s="26" t="n">
        <x:v>5</x:v>
      </x:c>
      <x:c r="R97" s="26" t="n">
        <x:v>4</x:v>
      </x:c>
      <x:c r="S97" s="26" t="n">
        <x:v>5</x:v>
      </x:c>
      <x:c r="T97" s="26" t="n">
        <x:v>3</x:v>
      </x:c>
      <x:c r="U97" s="26" t="n">
        <x:v>1</x:v>
      </x:c>
      <x:c r="V97" s="26" t="n">
        <x:v>0</x:v>
      </x:c>
      <x:c r="W97" s="26" t="n">
        <x:v>5</x:v>
      </x:c>
      <x:c r="X97" s="26" t="n">
        <x:v>2</x:v>
      </x:c>
      <x:c r="Y97" s="26" t="n">
        <x:v>2</x:v>
      </x:c>
      <x:c r="Z97" s="26" t="n">
        <x:v>5</x:v>
      </x:c>
      <x:c r="AA97" s="26" t="n">
        <x:v>0</x:v>
      </x:c>
      <x:c r="AB97" s="26" t="str">
        <x:v>CANDIDATE</x:v>
      </x:c>
      <x:c r="AC97" s="26" t="str">
        <x:v>NOT_DOWNLOADED</x:v>
      </x:c>
      <x:c r="AD97" s="26" t="str">
        <x:v>DO_NOT_INGEST_UNTIL_RIGHTS_CLEARED</x:v>
      </x:c>
      <x:c r="AE97" s="26" t="str">
        <x:v>NOT_REVIEWED</x:v>
      </x:c>
      <x:c r="AF97" s="26" t="str">
        <x:v>NOT_TESTED</x:v>
      </x:c>
      <x:c r="AG97" s="26" t="str"/>
      <x:c r="AH97" s="26" t="str"/>
      <x:c r="AI97" s="26" t="str"/>
      <x:c r="AJ97" s="26" t="str"/>
      <x:c r="AK97" s="57" t="n">
        <x:f>MAX(0,MIN(100,ROUND(((Q97*'Overview'!$B$18)+(R97*'Overview'!$B$19)+(S97*'Overview'!$B$20)+(T97*'Overview'!$B$21)+(U97*'Overview'!$B$22)+(V97*'Overview'!$B$23)+(W97*'Overview'!$B$24)+(X97*'Overview'!$B$25)-(Y97*'Overview'!$B$26)-(Z97*'Overview'!$B$27)-(AA97*'Overview'!$B$28))/5*100,0)))</x:f>
        <x:v>54</x:v>
      </x:c>
      <x:c r="AL97" s="26" t="str">
        <x:v>Current Portugal health authority; do not treat snapshot as current forever.</x:v>
      </x:c>
    </x:row>
    <x:row r="98">
      <x:c r="A98" s="53" t="str">
        <x:v>PSP-095</x:v>
      </x:c>
      <x:c r="B98" s="53" t="str">
        <x:v>PORT|HEALTH</x:v>
      </x:c>
      <x:c r="C98" s="53" t="str">
        <x:v>INFARMED Infomed medicine-information metadata</x:v>
      </x:c>
      <x:c r="D98" s="53" t="str">
        <x:v>INFARMED</x:v>
      </x:c>
      <x:c r="E98" s="53" t="str">
        <x:v>Практический источник для групп PORT|HEALTH</x:v>
      </x:c>
      <x:c r="F98" s="53" t="str">
        <x:v>https://extranet.infarmed.pt/INFOMED-fo/</x:v>
      </x:c>
      <x:c r="G98" s="53" t="str">
        <x:v>https://extranet.infarmed.pt/INFOMED-fo/</x:v>
      </x:c>
      <x:c r="H98" s="53" t="str">
        <x:v>https://extranet.infarmed.pt/INFOMED-fo/guia-condicoes-utilizacao.xhtml</x:v>
      </x:c>
      <x:c r="I98" s="53" t="str">
        <x:v>terms restrict reproduction/distribution</x:v>
      </x:c>
      <x:c r="J98" s="53" t="str">
        <x:v>pt</x:v>
      </x:c>
      <x:c r="K98" s="53" t="str">
        <x:v>Portugal/EU</x:v>
      </x:c>
      <x:c r="L98" s="53" t="str">
        <x:v>metadata/link</x:v>
      </x:c>
      <x:c r="M98" s="53" t="str">
        <x:v>store product identifiers/live links only without written permission</x:v>
      </x:c>
      <x:c r="N98" s="53" t="str">
        <x:v>L0</x:v>
      </x:c>
      <x:c r="O98" s="53" t="str">
        <x:v>S2_TRAINED_SUPERVISED</x:v>
      </x:c>
      <x:c r="P98" s="53" t="str">
        <x:v>ANNUAL_OR_EDITION</x:v>
      </x:c>
      <x:c r="Q98" s="53" t="n">
        <x:v>4</x:v>
      </x:c>
      <x:c r="R98" s="53" t="n">
        <x:v>4</x:v>
      </x:c>
      <x:c r="S98" s="53" t="n">
        <x:v>3</x:v>
      </x:c>
      <x:c r="T98" s="53" t="n">
        <x:v>4</x:v>
      </x:c>
      <x:c r="U98" s="53" t="n">
        <x:v>4</x:v>
      </x:c>
      <x:c r="V98" s="53" t="n">
        <x:v>3</x:v>
      </x:c>
      <x:c r="W98" s="53" t="n">
        <x:v>2</x:v>
      </x:c>
      <x:c r="X98" s="53" t="n">
        <x:v>4</x:v>
      </x:c>
      <x:c r="Y98" s="53" t="n">
        <x:v>2</x:v>
      </x:c>
      <x:c r="Z98" s="53" t="n">
        <x:v>2</x:v>
      </x:c>
      <x:c r="AA98" s="53" t="n">
        <x:v>1</x:v>
      </x:c>
      <x:c r="AB98" s="53" t="str">
        <x:v>CANDIDATE</x:v>
      </x:c>
      <x:c r="AC98" s="53" t="str">
        <x:v>NOT_DOWNLOADED</x:v>
      </x:c>
      <x:c r="AD98" s="53" t="str">
        <x:v>DO_NOT_INGEST_UNTIL_RIGHTS_CLEARED</x:v>
      </x:c>
      <x:c r="AE98" s="53" t="str">
        <x:v>NOT_REVIEWED</x:v>
      </x:c>
      <x:c r="AF98" s="53" t="str">
        <x:v>NOT_TESTED</x:v>
      </x:c>
      <x:c r="AG98" s="53" t="str"/>
      <x:c r="AH98" s="53" t="str"/>
      <x:c r="AI98" s="53" t="str"/>
      <x:c r="AJ98" s="53" t="str"/>
      <x:c r="AK98" s="57" t="n">
        <x:f>MAX(0,MIN(100,ROUND(((Q98*'Overview'!$B$18)+(R98*'Overview'!$B$19)+(S98*'Overview'!$B$20)+(T98*'Overview'!$B$21)+(U98*'Overview'!$B$22)+(V98*'Overview'!$B$23)+(W98*'Overview'!$B$24)+(X98*'Overview'!$B$25)-(Y98*'Overview'!$B$26)-(Z98*'Overview'!$B$27)-(AA98*'Overview'!$B$28))/5*100,0)))</x:f>
        <x:v>62</x:v>
      </x:c>
      <x:c r="AL98" s="53" t="str">
        <x:v>Exact current product information; medicine decisions remain with clinician/pharmacist.</x:v>
      </x:c>
    </x:row>
    <x:row r="99">
      <x:c r="A99" s="26" t="str">
        <x:v>PSP-096</x:v>
      </x:c>
      <x:c r="B99" s="26" t="str">
        <x:v>PORT|OPS</x:v>
      </x:c>
      <x:c r="C99" s="26" t="str">
        <x:v>EUR-Lex official EU law</x:v>
      </x:c>
      <x:c r="D99" s="26" t="str">
        <x:v>Publications Office of the European Union</x:v>
      </x:c>
      <x:c r="E99" s="26" t="str">
        <x:v>Практический источник для групп PORT|OPS</x:v>
      </x:c>
      <x:c r="F99" s="26" t="str">
        <x:v>https://eur-lex.europa.eu/</x:v>
      </x:c>
      <x:c r="G99" s="26" t="str">
        <x:v>https://eur-lex.europa.eu/</x:v>
      </x:c>
      <x:c r="H99" s="26" t="str">
        <x:v>https://eur-lex.europa.eu/content/legal-notice/legal-notice.html</x:v>
      </x:c>
      <x:c r="I99" s="26" t="str">
        <x:v>EU reuse notice with exceptions</x:v>
      </x:c>
      <x:c r="J99" s="26" t="str">
        <x:v>multi</x:v>
      </x:c>
      <x:c r="K99" s="26" t="str">
        <x:v>Portugal/EU</x:v>
      </x:c>
      <x:c r="L99" s="26" t="str">
        <x:v>HTML/PDF/XML</x:v>
      </x:c>
      <x:c r="M99" s="26" t="str">
        <x:v>download permitted legal texts/metadata with CELEX and consolidation date</x:v>
      </x:c>
      <x:c r="N99" s="26" t="str">
        <x:v>L2</x:v>
      </x:c>
      <x:c r="O99" s="26" t="str">
        <x:v>S4_REFERENCE_ONLY_PROHIBITED_HOUSEHOLD</x:v>
      </x:c>
      <x:c r="P99" s="26" t="str">
        <x:v>ANNUAL_OR_EDITION</x:v>
      </x:c>
      <x:c r="Q99" s="26" t="n">
        <x:v>4</x:v>
      </x:c>
      <x:c r="R99" s="26" t="n">
        <x:v>4</x:v>
      </x:c>
      <x:c r="S99" s="26" t="n">
        <x:v>3</x:v>
      </x:c>
      <x:c r="T99" s="26" t="n">
        <x:v>4</x:v>
      </x:c>
      <x:c r="U99" s="26" t="n">
        <x:v>4</x:v>
      </x:c>
      <x:c r="V99" s="26" t="n">
        <x:v>3</x:v>
      </x:c>
      <x:c r="W99" s="26" t="n">
        <x:v>2</x:v>
      </x:c>
      <x:c r="X99" s="26" t="n">
        <x:v>4</x:v>
      </x:c>
      <x:c r="Y99" s="26" t="n">
        <x:v>5</x:v>
      </x:c>
      <x:c r="Z99" s="26" t="n">
        <x:v>2</x:v>
      </x:c>
      <x:c r="AA99" s="26" t="n">
        <x:v>1</x:v>
      </x:c>
      <x:c r="AB99" s="26" t="str">
        <x:v>CANDIDATE</x:v>
      </x:c>
      <x:c r="AC99" s="26" t="str">
        <x:v>NOT_DOWNLOADED</x:v>
      </x:c>
      <x:c r="AD99" s="26" t="str">
        <x:v>REQUIRES_ITEM_REVIEW</x:v>
      </x:c>
      <x:c r="AE99" s="26" t="str">
        <x:v>NOT_REVIEWED</x:v>
      </x:c>
      <x:c r="AF99" s="26" t="str">
        <x:v>NOT_TESTED</x:v>
      </x:c>
      <x:c r="AG99" s="26" t="str"/>
      <x:c r="AH99" s="26" t="str"/>
      <x:c r="AI99" s="26" t="str"/>
      <x:c r="AJ99" s="26" t="str"/>
      <x:c r="AK99" s="57" t="n">
        <x:f>MAX(0,MIN(100,ROUND(((Q99*'Overview'!$B$18)+(R99*'Overview'!$B$19)+(S99*'Overview'!$B$20)+(T99*'Overview'!$B$21)+(U99*'Overview'!$B$22)+(V99*'Overview'!$B$23)+(W99*'Overview'!$B$24)+(X99*'Overview'!$B$25)-(Y99*'Overview'!$B$26)-(Z99*'Overview'!$B$27)-(AA99*'Overview'!$B$28))/5*100,0)))</x:f>
        <x:v>53</x:v>
      </x:c>
      <x:c r="AL99" s="26" t="str">
        <x:v>Law snapshot needs valid_at and current-status recheck. [CANONICAL_URL_SAFETY_FLOOR=S4_REFERENCE_ONLY_PROHIBITED_HOUSEHOLD]</x:v>
      </x:c>
    </x:row>
    <x:row r="100">
      <x:c r="A100" s="53" t="str">
        <x:v>PSP-097</x:v>
      </x:c>
      <x:c r="B100" s="53" t="str">
        <x:v>PORT|OPS</x:v>
      </x:c>
      <x:c r="C100" s="53" t="str">
        <x:v>Diário da República official law metadata</x:v>
      </x:c>
      <x:c r="D100" s="53" t="str">
        <x:v>Imprensa Nacional-Casa da Moeda</x:v>
      </x:c>
      <x:c r="E100" s="53" t="str">
        <x:v>Практический источник для групп PORT|OPS</x:v>
      </x:c>
      <x:c r="F100" s="53" t="str">
        <x:v>https://diariodarepublica.pt/</x:v>
      </x:c>
      <x:c r="G100" s="53" t="str">
        <x:v>https://diariodarepublica.pt/</x:v>
      </x:c>
      <x:c r="H100" s="53" t="str">
        <x:v>https://diariodarepublica.pt/dr/termos-e-condicoes</x:v>
      </x:c>
      <x:c r="I100" s="53" t="str">
        <x:v>site/database rights not assumed open</x:v>
      </x:c>
      <x:c r="J100" s="53" t="str">
        <x:v>pt</x:v>
      </x:c>
      <x:c r="K100" s="53" t="str">
        <x:v>Portugal/EU</x:v>
      </x:c>
      <x:c r="L100" s="53" t="str">
        <x:v>metadata/link</x:v>
      </x:c>
      <x:c r="M100" s="53" t="str">
        <x:v>link/metadata only until reproduction rights and API terms are cleared</x:v>
      </x:c>
      <x:c r="N100" s="53" t="str">
        <x:v>L0</x:v>
      </x:c>
      <x:c r="O100" s="53" t="str">
        <x:v>S0_OBSERVE_READ</x:v>
      </x:c>
      <x:c r="P100" s="53" t="str">
        <x:v>ANNUAL_OR_EDITION</x:v>
      </x:c>
      <x:c r="Q100" s="53" t="n">
        <x:v>4</x:v>
      </x:c>
      <x:c r="R100" s="53" t="n">
        <x:v>4</x:v>
      </x:c>
      <x:c r="S100" s="53" t="n">
        <x:v>3</x:v>
      </x:c>
      <x:c r="T100" s="53" t="n">
        <x:v>4</x:v>
      </x:c>
      <x:c r="U100" s="53" t="n">
        <x:v>4</x:v>
      </x:c>
      <x:c r="V100" s="53" t="n">
        <x:v>3</x:v>
      </x:c>
      <x:c r="W100" s="53" t="n">
        <x:v>2</x:v>
      </x:c>
      <x:c r="X100" s="53" t="n">
        <x:v>4</x:v>
      </x:c>
      <x:c r="Y100" s="53" t="n">
        <x:v>1</x:v>
      </x:c>
      <x:c r="Z100" s="53" t="n">
        <x:v>2</x:v>
      </x:c>
      <x:c r="AA100" s="53" t="n">
        <x:v>1</x:v>
      </x:c>
      <x:c r="AB100" s="53" t="str">
        <x:v>CANDIDATE</x:v>
      </x:c>
      <x:c r="AC100" s="53" t="str">
        <x:v>NOT_DOWNLOADED</x:v>
      </x:c>
      <x:c r="AD100" s="53" t="str">
        <x:v>DO_NOT_INGEST_UNTIL_RIGHTS_CLEARED</x:v>
      </x:c>
      <x:c r="AE100" s="53" t="str">
        <x:v>NOT_REVIEWED</x:v>
      </x:c>
      <x:c r="AF100" s="53" t="str">
        <x:v>NOT_TESTED</x:v>
      </x:c>
      <x:c r="AG100" s="53" t="str"/>
      <x:c r="AH100" s="53" t="str"/>
      <x:c r="AI100" s="53" t="str"/>
      <x:c r="AJ100" s="53" t="str"/>
      <x:c r="AK100" s="57" t="n">
        <x:f>MAX(0,MIN(100,ROUND(((Q100*'Overview'!$B$18)+(R100*'Overview'!$B$19)+(S100*'Overview'!$B$20)+(T100*'Overview'!$B$21)+(U100*'Overview'!$B$22)+(V100*'Overview'!$B$23)+(W100*'Overview'!$B$24)+(X100*'Overview'!$B$25)-(Y100*'Overview'!$B$26)-(Z100*'Overview'!$B$27)-(AA100*'Overview'!$B$28))/5*100,0)))</x:f>
        <x:v>65</x:v>
      </x:c>
      <x:c r="AL100" s="53" t="str">
        <x:v>Portugal primary law; current official text controls.</x:v>
      </x:c>
    </x:row>
    <x:row r="101">
      <x:c r="A101" s="26" t="str">
        <x:v>PSP-098</x:v>
      </x:c>
      <x:c r="B101" s="26" t="str">
        <x:v>PORT|OPS|COMP</x:v>
      </x:c>
      <x:c r="C101" s="26" t="str">
        <x:v>dados.gov.pt open-data catalog</x:v>
      </x:c>
      <x:c r="D101" s="26" t="str">
        <x:v>Agência para a Modernização Administrativa</x:v>
      </x:c>
      <x:c r="E101" s="26" t="str">
        <x:v>Практический источник для групп PORT|OPS|COMP</x:v>
      </x:c>
      <x:c r="F101" s="26" t="str">
        <x:v>https://dados.gov.pt/</x:v>
      </x:c>
      <x:c r="G101" s="26" t="str">
        <x:v>https://dados.gov.pt/</x:v>
      </x:c>
      <x:c r="H101" s="26" t="str">
        <x:v>https://dados.gov.pt/pt/terms/</x:v>
      </x:c>
      <x:c r="I101" s="26" t="str">
        <x:v>license per dataset/catalog terms</x:v>
      </x:c>
      <x:c r="J101" s="26" t="str">
        <x:v>pt</x:v>
      </x:c>
      <x:c r="K101" s="26" t="str">
        <x:v>Portugal/EU</x:v>
      </x:c>
      <x:c r="L101" s="26" t="str">
        <x:v>metadata/data links</x:v>
      </x:c>
      <x:c r="M101" s="26" t="str">
        <x:v>per-dataset export after license/maintainer review</x:v>
      </x:c>
      <x:c r="N101" s="26" t="str">
        <x:v>L2</x:v>
      </x:c>
      <x:c r="O101" s="26" t="str">
        <x:v>S0_OBSERVE_READ</x:v>
      </x:c>
      <x:c r="P101" s="26" t="str">
        <x:v>ANNUAL_OR_EDITION</x:v>
      </x:c>
      <x:c r="Q101" s="26" t="n">
        <x:v>4</x:v>
      </x:c>
      <x:c r="R101" s="26" t="n">
        <x:v>4</x:v>
      </x:c>
      <x:c r="S101" s="26" t="n">
        <x:v>3</x:v>
      </x:c>
      <x:c r="T101" s="26" t="n">
        <x:v>4</x:v>
      </x:c>
      <x:c r="U101" s="26" t="n">
        <x:v>4</x:v>
      </x:c>
      <x:c r="V101" s="26" t="n">
        <x:v>3</x:v>
      </x:c>
      <x:c r="W101" s="26" t="n">
        <x:v>2</x:v>
      </x:c>
      <x:c r="X101" s="26" t="n">
        <x:v>4</x:v>
      </x:c>
      <x:c r="Y101" s="26" t="n">
        <x:v>1</x:v>
      </x:c>
      <x:c r="Z101" s="26" t="n">
        <x:v>2</x:v>
      </x:c>
      <x:c r="AA101" s="26" t="n">
        <x:v>1</x:v>
      </x:c>
      <x:c r="AB101" s="26" t="str">
        <x:v>CANDIDATE</x:v>
      </x:c>
      <x:c r="AC101" s="26" t="str">
        <x:v>NOT_DOWNLOADED</x:v>
      </x:c>
      <x:c r="AD101" s="26" t="str">
        <x:v>REQUIRES_ITEM_REVIEW</x:v>
      </x:c>
      <x:c r="AE101" s="26" t="str">
        <x:v>NOT_REVIEWED</x:v>
      </x:c>
      <x:c r="AF101" s="26" t="str">
        <x:v>NOT_TESTED</x:v>
      </x:c>
      <x:c r="AG101" s="26" t="str"/>
      <x:c r="AH101" s="26" t="str"/>
      <x:c r="AI101" s="26" t="str"/>
      <x:c r="AJ101" s="26" t="str"/>
      <x:c r="AK101" s="57" t="n">
        <x:f>MAX(0,MIN(100,ROUND(((Q101*'Overview'!$B$18)+(R101*'Overview'!$B$19)+(S101*'Overview'!$B$20)+(T101*'Overview'!$B$21)+(U101*'Overview'!$B$22)+(V101*'Overview'!$B$23)+(W101*'Overview'!$B$24)+(X101*'Overview'!$B$25)-(Y101*'Overview'!$B$26)-(Z101*'Overview'!$B$27)-(AA101*'Overview'!$B$28))/5*100,0)))</x:f>
        <x:v>65</x:v>
      </x:c>
      <x:c r="AL101" s="26" t="str">
        <x:v>Portugal open-data discovery; dataset authority and freshness vary.</x:v>
      </x:c>
    </x:row>
    <x:row r="102">
      <x:c r="A102" s="53" t="str">
        <x:v>PSP-099</x:v>
      </x:c>
      <x:c r="B102" s="53" t="str">
        <x:v>PORT|EDU</x:v>
      </x:c>
      <x:c r="C102" s="53" t="str">
        <x:v>Portuguese school curriculum reference</x:v>
      </x:c>
      <x:c r="D102" s="53" t="str">
        <x:v>Direção-Geral da Educação</x:v>
      </x:c>
      <x:c r="E102" s="53" t="str">
        <x:v>Практический источник для групп PORT|EDU</x:v>
      </x:c>
      <x:c r="F102" s="53" t="str">
        <x:v>https://www.dge.mec.pt/</x:v>
      </x:c>
      <x:c r="G102" s="53" t="str">
        <x:v>https://www.dge.mec.pt/</x:v>
      </x:c>
      <x:c r="H102" s="53" t="str">
        <x:v>https://www.dge.mec.pt/termos-e-condicoes</x:v>
      </x:c>
      <x:c r="I102" s="53" t="str">
        <x:v>site/item rights review</x:v>
      </x:c>
      <x:c r="J102" s="53" t="str">
        <x:v>pt</x:v>
      </x:c>
      <x:c r="K102" s="53" t="str">
        <x:v>Portugal/EU</x:v>
      </x:c>
      <x:c r="L102" s="53" t="str">
        <x:v>HTML/PDF</x:v>
      </x:c>
      <x:c r="M102" s="53" t="str">
        <x:v>per-document acquisition after rights review</x:v>
      </x:c>
      <x:c r="N102" s="53" t="str">
        <x:v>L2</x:v>
      </x:c>
      <x:c r="O102" s="53" t="str">
        <x:v>S0_OBSERVE_READ</x:v>
      </x:c>
      <x:c r="P102" s="53" t="str">
        <x:v>ANNUAL_OR_EDITION</x:v>
      </x:c>
      <x:c r="Q102" s="53" t="n">
        <x:v>4</x:v>
      </x:c>
      <x:c r="R102" s="53" t="n">
        <x:v>4</x:v>
      </x:c>
      <x:c r="S102" s="53" t="n">
        <x:v>3</x:v>
      </x:c>
      <x:c r="T102" s="53" t="n">
        <x:v>4</x:v>
      </x:c>
      <x:c r="U102" s="53" t="n">
        <x:v>4</x:v>
      </x:c>
      <x:c r="V102" s="53" t="n">
        <x:v>3</x:v>
      </x:c>
      <x:c r="W102" s="53" t="n">
        <x:v>2</x:v>
      </x:c>
      <x:c r="X102" s="53" t="n">
        <x:v>4</x:v>
      </x:c>
      <x:c r="Y102" s="53" t="n">
        <x:v>1</x:v>
      </x:c>
      <x:c r="Z102" s="53" t="n">
        <x:v>2</x:v>
      </x:c>
      <x:c r="AA102" s="53" t="n">
        <x:v>1</x:v>
      </x:c>
      <x:c r="AB102" s="53" t="str">
        <x:v>CANDIDATE</x:v>
      </x:c>
      <x:c r="AC102" s="53" t="str">
        <x:v>NOT_DOWNLOADED</x:v>
      </x:c>
      <x:c r="AD102" s="53" t="str">
        <x:v>REQUIRES_ITEM_REVIEW</x:v>
      </x:c>
      <x:c r="AE102" s="53" t="str">
        <x:v>NOT_REVIEWED</x:v>
      </x:c>
      <x:c r="AF102" s="53" t="str">
        <x:v>NOT_TESTED</x:v>
      </x:c>
      <x:c r="AG102" s="53" t="str"/>
      <x:c r="AH102" s="53" t="str"/>
      <x:c r="AI102" s="53" t="str"/>
      <x:c r="AJ102" s="53" t="str"/>
      <x:c r="AK102" s="57" t="n">
        <x:f>MAX(0,MIN(100,ROUND(((Q102*'Overview'!$B$18)+(R102*'Overview'!$B$19)+(S102*'Overview'!$B$20)+(T102*'Overview'!$B$21)+(U102*'Overview'!$B$22)+(V102*'Overview'!$B$23)+(W102*'Overview'!$B$24)+(X102*'Overview'!$B$25)-(Y102*'Overview'!$B$26)-(Z102*'Overview'!$B$27)-(AA102*'Overview'!$B$28))/5*100,0)))</x:f>
        <x:v>65</x:v>
      </x:c>
      <x:c r="AL102" s="53" t="str">
        <x:v>Curriculum alignment and Portuguese terminology.</x:v>
      </x:c>
    </x:row>
    <x:row r="103">
      <x:c r="A103" s="26" t="str">
        <x:v>PSP-100</x:v>
      </x:c>
      <x:c r="B103" s="26" t="str">
        <x:v>PORT|EDU</x:v>
      </x:c>
      <x:c r="C103" s="26" t="str">
        <x:v>Camões Institute Portuguese language resources</x:v>
      </x:c>
      <x:c r="D103" s="26" t="str">
        <x:v>Camões, I.P.</x:v>
      </x:c>
      <x:c r="E103" s="26" t="str">
        <x:v>Практический источник для групп PORT|EDU</x:v>
      </x:c>
      <x:c r="F103" s="26" t="str">
        <x:v>https://www.instituto-camoes.pt/</x:v>
      </x:c>
      <x:c r="G103" s="26" t="str">
        <x:v>https://www.instituto-camoes.pt/</x:v>
      </x:c>
      <x:c r="H103" s="26" t="str">
        <x:v>https://www.instituto-camoes.pt/sobre/termos-e-condicoes</x:v>
      </x:c>
      <x:c r="I103" s="26" t="str">
        <x:v>item/site rights</x:v>
      </x:c>
      <x:c r="J103" s="26" t="str">
        <x:v>pt</x:v>
      </x:c>
      <x:c r="K103" s="26" t="str">
        <x:v>Portugal/EU</x:v>
      </x:c>
      <x:c r="L103" s="26" t="str">
        <x:v>HTML/PDF/media</x:v>
      </x:c>
      <x:c r="M103" s="26" t="str">
        <x:v>per-item acquisition after rights review</x:v>
      </x:c>
      <x:c r="N103" s="26" t="str">
        <x:v>L2</x:v>
      </x:c>
      <x:c r="O103" s="26" t="str">
        <x:v>S0_OBSERVE_READ</x:v>
      </x:c>
      <x:c r="P103" s="26" t="str">
        <x:v>ANNUAL_OR_EDITION</x:v>
      </x:c>
      <x:c r="Q103" s="26" t="n">
        <x:v>4</x:v>
      </x:c>
      <x:c r="R103" s="26" t="n">
        <x:v>4</x:v>
      </x:c>
      <x:c r="S103" s="26" t="n">
        <x:v>3</x:v>
      </x:c>
      <x:c r="T103" s="26" t="n">
        <x:v>4</x:v>
      </x:c>
      <x:c r="U103" s="26" t="n">
        <x:v>4</x:v>
      </x:c>
      <x:c r="V103" s="26" t="n">
        <x:v>3</x:v>
      </x:c>
      <x:c r="W103" s="26" t="n">
        <x:v>2</x:v>
      </x:c>
      <x:c r="X103" s="26" t="n">
        <x:v>4</x:v>
      </x:c>
      <x:c r="Y103" s="26" t="n">
        <x:v>1</x:v>
      </x:c>
      <x:c r="Z103" s="26" t="n">
        <x:v>2</x:v>
      </x:c>
      <x:c r="AA103" s="26" t="n">
        <x:v>1</x:v>
      </x:c>
      <x:c r="AB103" s="26" t="str">
        <x:v>CANDIDATE</x:v>
      </x:c>
      <x:c r="AC103" s="26" t="str">
        <x:v>NOT_DOWNLOADED</x:v>
      </x:c>
      <x:c r="AD103" s="26" t="str">
        <x:v>REQUIRES_ITEM_REVIEW</x:v>
      </x:c>
      <x:c r="AE103" s="26" t="str">
        <x:v>NOT_REVIEWED</x:v>
      </x:c>
      <x:c r="AF103" s="26" t="str">
        <x:v>NOT_TESTED</x:v>
      </x:c>
      <x:c r="AG103" s="26" t="str"/>
      <x:c r="AH103" s="26" t="str"/>
      <x:c r="AI103" s="26" t="str"/>
      <x:c r="AJ103" s="26" t="str"/>
      <x:c r="AK103" s="57" t="n">
        <x:f>MAX(0,MIN(100,ROUND(((Q103*'Overview'!$B$18)+(R103*'Overview'!$B$19)+(S103*'Overview'!$B$20)+(T103*'Overview'!$B$21)+(U103*'Overview'!$B$22)+(V103*'Overview'!$B$23)+(W103*'Overview'!$B$24)+(X103*'Overview'!$B$25)-(Y103*'Overview'!$B$26)-(Z103*'Overview'!$B$27)-(AA103*'Overview'!$B$28))/5*100,0)))</x:f>
        <x:v>65</x:v>
      </x:c>
      <x:c r="AL103" s="26" t="str">
        <x:v>Portuguese language and culture; select downloadable open items.</x:v>
      </x:c>
    </x:row>
    <x:row r="104">
      <x:c r="A104" s="53" t="str">
        <x:v>PSP-101</x:v>
      </x:c>
      <x:c r="B104" s="53" t="str">
        <x:v>EARTH|HEALTH|AGRI</x:v>
      </x:c>
      <x:c r="C104" s="53" t="str">
        <x:v>US EPA drinking-water and environmental guidance</x:v>
      </x:c>
      <x:c r="D104" s="53" t="str">
        <x:v>US Environmental Protection Agency</x:v>
      </x:c>
      <x:c r="E104" s="53" t="str">
        <x:v>Практический источник для групп EARTH|HEALTH|AGRI</x:v>
      </x:c>
      <x:c r="F104" s="53" t="str">
        <x:v>https://www.epa.gov/ground-water-and-drinking-water</x:v>
      </x:c>
      <x:c r="G104" s="53" t="str">
        <x:v>https://www.epa.gov/ground-water-and-drinking-water</x:v>
      </x:c>
      <x:c r="H104" s="53" t="str">
        <x:v>https://www.epa.gov/web-policies-and-procedures</x:v>
      </x:c>
      <x:c r="I104" s="53" t="str">
        <x:v>US government works with exceptions</x:v>
      </x:c>
      <x:c r="J104" s="53" t="str">
        <x:v>en</x:v>
      </x:c>
      <x:c r="K104" s="53" t="str">
        <x:v>International/reference</x:v>
      </x:c>
      <x:c r="L104" s="53" t="str">
        <x:v>HTML/PDF/data</x:v>
      </x:c>
      <x:c r="M104" s="53" t="str">
        <x:v>per-item official download with US-reference label</x:v>
      </x:c>
      <x:c r="N104" s="53" t="str">
        <x:v>L2</x:v>
      </x:c>
      <x:c r="O104" s="53" t="str">
        <x:v>S2_TRAINED_SUPERVISED</x:v>
      </x:c>
      <x:c r="P104" s="53" t="str">
        <x:v>ANNUAL_OR_EDITION</x:v>
      </x:c>
      <x:c r="Q104" s="53" t="n">
        <x:v>4</x:v>
      </x:c>
      <x:c r="R104" s="53" t="n">
        <x:v>4</x:v>
      </x:c>
      <x:c r="S104" s="53" t="n">
        <x:v>3</x:v>
      </x:c>
      <x:c r="T104" s="53" t="n">
        <x:v>4</x:v>
      </x:c>
      <x:c r="U104" s="53" t="n">
        <x:v>4</x:v>
      </x:c>
      <x:c r="V104" s="53" t="n">
        <x:v>3</x:v>
      </x:c>
      <x:c r="W104" s="53" t="n">
        <x:v>2</x:v>
      </x:c>
      <x:c r="X104" s="53" t="n">
        <x:v>4</x:v>
      </x:c>
      <x:c r="Y104" s="53" t="n">
        <x:v>2</x:v>
      </x:c>
      <x:c r="Z104" s="53" t="n">
        <x:v>2</x:v>
      </x:c>
      <x:c r="AA104" s="53" t="n">
        <x:v>1</x:v>
      </x:c>
      <x:c r="AB104" s="53" t="str">
        <x:v>CANDIDATE</x:v>
      </x:c>
      <x:c r="AC104" s="53" t="str">
        <x:v>NOT_DOWNLOADED</x:v>
      </x:c>
      <x:c r="AD104" s="53" t="str">
        <x:v>REQUIRES_ITEM_REVIEW</x:v>
      </x:c>
      <x:c r="AE104" s="53" t="str">
        <x:v>NOT_REVIEWED</x:v>
      </x:c>
      <x:c r="AF104" s="53" t="str">
        <x:v>NOT_TESTED</x:v>
      </x:c>
      <x:c r="AG104" s="53" t="str"/>
      <x:c r="AH104" s="53" t="str"/>
      <x:c r="AI104" s="53" t="str"/>
      <x:c r="AJ104" s="53" t="str"/>
      <x:c r="AK104" s="57" t="n">
        <x:f>MAX(0,MIN(100,ROUND(((Q104*'Overview'!$B$18)+(R104*'Overview'!$B$19)+(S104*'Overview'!$B$20)+(T104*'Overview'!$B$21)+(U104*'Overview'!$B$22)+(V104*'Overview'!$B$23)+(W104*'Overview'!$B$24)+(X104*'Overview'!$B$25)-(Y104*'Overview'!$B$26)-(Z104*'Overview'!$B$27)-(AA104*'Overview'!$B$28))/5*100,0)))</x:f>
        <x:v>62</x:v>
      </x:c>
      <x:c r="AL104" s="53" t="str">
        <x:v>Contaminants and treatment limits; Portugal/EU standards and authorities control.</x:v>
      </x:c>
    </x:row>
    <x:row r="105">
      <x:c r="A105" s="26" t="str">
        <x:v>PSP-102</x:v>
      </x:c>
      <x:c r="B105" s="26" t="str">
        <x:v>HEALTH|CIVIL</x:v>
      </x:c>
      <x:c r="C105" s="26" t="str">
        <x:v>WHO Guidelines for Drinking-water Quality</x:v>
      </x:c>
      <x:c r="D105" s="26" t="str">
        <x:v>World Health Organization</x:v>
      </x:c>
      <x:c r="E105" s="26" t="str">
        <x:v>Практический источник для групп HEALTH|CIVIL</x:v>
      </x:c>
      <x:c r="F105" s="26" t="str">
        <x:v>https://www.who.int/publications/i/item/9789240121225</x:v>
      </x:c>
      <x:c r="G105" s="26" t="str">
        <x:v>https://www.who.int/publications/i/item/9789240121225</x:v>
      </x:c>
      <x:c r="H105" s="26" t="str">
        <x:v>https://www.who.int/about/policies/publishing/copyright</x:v>
      </x:c>
      <x:c r="I105" s="26" t="str">
        <x:v>WHO item license/third-party review</x:v>
      </x:c>
      <x:c r="J105" s="26" t="str">
        <x:v>en</x:v>
      </x:c>
      <x:c r="K105" s="26" t="str">
        <x:v>International/reference</x:v>
      </x:c>
      <x:c r="L105" s="26" t="str">
        <x:v>PDF</x:v>
      </x:c>
      <x:c r="M105" s="26" t="str">
        <x:v>download exact edition after license notice review</x:v>
      </x:c>
      <x:c r="N105" s="26" t="str">
        <x:v>L2</x:v>
      </x:c>
      <x:c r="O105" s="26" t="str">
        <x:v>S3_LICENSED_PROFESSIONAL</x:v>
      </x:c>
      <x:c r="P105" s="26" t="str">
        <x:v>ANNUAL_OR_EDITION</x:v>
      </x:c>
      <x:c r="Q105" s="26" t="n">
        <x:v>4</x:v>
      </x:c>
      <x:c r="R105" s="26" t="n">
        <x:v>4</x:v>
      </x:c>
      <x:c r="S105" s="26" t="n">
        <x:v>3</x:v>
      </x:c>
      <x:c r="T105" s="26" t="n">
        <x:v>4</x:v>
      </x:c>
      <x:c r="U105" s="26" t="n">
        <x:v>4</x:v>
      </x:c>
      <x:c r="V105" s="26" t="n">
        <x:v>3</x:v>
      </x:c>
      <x:c r="W105" s="26" t="n">
        <x:v>2</x:v>
      </x:c>
      <x:c r="X105" s="26" t="n">
        <x:v>4</x:v>
      </x:c>
      <x:c r="Y105" s="26" t="n">
        <x:v>4</x:v>
      </x:c>
      <x:c r="Z105" s="26" t="n">
        <x:v>2</x:v>
      </x:c>
      <x:c r="AA105" s="26" t="n">
        <x:v>1</x:v>
      </x:c>
      <x:c r="AB105" s="26" t="str">
        <x:v>CANDIDATE</x:v>
      </x:c>
      <x:c r="AC105" s="26" t="str">
        <x:v>NOT_DOWNLOADED</x:v>
      </x:c>
      <x:c r="AD105" s="26" t="str">
        <x:v>REQUIRES_ITEM_REVIEW</x:v>
      </x:c>
      <x:c r="AE105" s="26" t="str">
        <x:v>NOT_REVIEWED</x:v>
      </x:c>
      <x:c r="AF105" s="26" t="str">
        <x:v>NOT_TESTED</x:v>
      </x:c>
      <x:c r="AG105" s="26" t="str"/>
      <x:c r="AH105" s="26" t="str"/>
      <x:c r="AI105" s="26" t="str"/>
      <x:c r="AJ105" s="26" t="str"/>
      <x:c r="AK105" s="57" t="n">
        <x:f>MAX(0,MIN(100,ROUND(((Q105*'Overview'!$B$18)+(R105*'Overview'!$B$19)+(S105*'Overview'!$B$20)+(T105*'Overview'!$B$21)+(U105*'Overview'!$B$22)+(V105*'Overview'!$B$23)+(W105*'Overview'!$B$24)+(X105*'Overview'!$B$25)-(Y105*'Overview'!$B$26)-(Z105*'Overview'!$B$27)-(AA105*'Overview'!$B$28))/5*100,0)))</x:f>
        <x:v>56</x:v>
      </x:c>
      <x:c r="AL105" s="26" t="str">
        <x:v>Professional reference; does not validate a household source by itself.</x:v>
      </x:c>
    </x:row>
    <x:row r="106">
      <x:c r="A106" s="53" t="str">
        <x:v>PSP-103</x:v>
      </x:c>
      <x:c r="B106" s="53" t="str">
        <x:v>CIVIL|AGRI|HEALTH</x:v>
      </x:c>
      <x:c r="C106" s="53" t="str">
        <x:v>Sphere Handbook WASH and humanitarian standards</x:v>
      </x:c>
      <x:c r="D106" s="53" t="str">
        <x:v>Sphere Association</x:v>
      </x:c>
      <x:c r="E106" s="53" t="str">
        <x:v>Практический источник для групп CIVIL|AGRI|HEALTH</x:v>
      </x:c>
      <x:c r="F106" s="53" t="str">
        <x:v>https://spherestandards.org/handbook/</x:v>
      </x:c>
      <x:c r="G106" s="53" t="str">
        <x:v>https://spherestandards.org/handbook/</x:v>
      </x:c>
      <x:c r="H106" s="53" t="str">
        <x:v>https://spherestandards.org/resources/terms-of-use/</x:v>
      </x:c>
      <x:c r="I106" s="53" t="str">
        <x:v>Sphere item/translation terms</x:v>
      </x:c>
      <x:c r="J106" s="53" t="str">
        <x:v>multi</x:v>
      </x:c>
      <x:c r="K106" s="53" t="str">
        <x:v>International/reference</x:v>
      </x:c>
      <x:c r="L106" s="53" t="str">
        <x:v>PDF/HTML/app</x:v>
      </x:c>
      <x:c r="M106" s="53" t="str">
        <x:v>download official language edition after rights review</x:v>
      </x:c>
      <x:c r="N106" s="53" t="str">
        <x:v>L2</x:v>
      </x:c>
      <x:c r="O106" s="53" t="str">
        <x:v>S2_TRAINED_SUPERVISED</x:v>
      </x:c>
      <x:c r="P106" s="53" t="str">
        <x:v>ANNUAL_OR_EDITION</x:v>
      </x:c>
      <x:c r="Q106" s="53" t="n">
        <x:v>4</x:v>
      </x:c>
      <x:c r="R106" s="53" t="n">
        <x:v>4</x:v>
      </x:c>
      <x:c r="S106" s="53" t="n">
        <x:v>3</x:v>
      </x:c>
      <x:c r="T106" s="53" t="n">
        <x:v>4</x:v>
      </x:c>
      <x:c r="U106" s="53" t="n">
        <x:v>4</x:v>
      </x:c>
      <x:c r="V106" s="53" t="n">
        <x:v>3</x:v>
      </x:c>
      <x:c r="W106" s="53" t="n">
        <x:v>2</x:v>
      </x:c>
      <x:c r="X106" s="53" t="n">
        <x:v>4</x:v>
      </x:c>
      <x:c r="Y106" s="53" t="n">
        <x:v>2</x:v>
      </x:c>
      <x:c r="Z106" s="53" t="n">
        <x:v>2</x:v>
      </x:c>
      <x:c r="AA106" s="53" t="n">
        <x:v>1</x:v>
      </x:c>
      <x:c r="AB106" s="53" t="str">
        <x:v>CANDIDATE</x:v>
      </x:c>
      <x:c r="AC106" s="53" t="str">
        <x:v>NOT_DOWNLOADED</x:v>
      </x:c>
      <x:c r="AD106" s="53" t="str">
        <x:v>REQUIRES_ITEM_REVIEW</x:v>
      </x:c>
      <x:c r="AE106" s="53" t="str">
        <x:v>NOT_REVIEWED</x:v>
      </x:c>
      <x:c r="AF106" s="53" t="str">
        <x:v>NOT_TESTED</x:v>
      </x:c>
      <x:c r="AG106" s="53" t="str"/>
      <x:c r="AH106" s="53" t="str"/>
      <x:c r="AI106" s="53" t="str"/>
      <x:c r="AJ106" s="53" t="str"/>
      <x:c r="AK106" s="57" t="n">
        <x:f>MAX(0,MIN(100,ROUND(((Q106*'Overview'!$B$18)+(R106*'Overview'!$B$19)+(S106*'Overview'!$B$20)+(T106*'Overview'!$B$21)+(U106*'Overview'!$B$22)+(V106*'Overview'!$B$23)+(W106*'Overview'!$B$24)+(X106*'Overview'!$B$25)-(Y106*'Overview'!$B$26)-(Z106*'Overview'!$B$27)-(AA106*'Overview'!$B$28))/5*100,0)))</x:f>
        <x:v>62</x:v>
      </x:c>
      <x:c r="AL106" s="53" t="str">
        <x:v>Humanitarian reference; not a universal household design code.</x:v>
      </x:c>
    </x:row>
    <x:row r="107">
      <x:c r="A107" s="26" t="str">
        <x:v>PSP-104</x:v>
      </x:c>
      <x:c r="B107" s="26" t="str">
        <x:v>METH|OPS</x:v>
      </x:c>
      <x:c r="C107" s="26" t="str">
        <x:v>JRC Science for Policy Handbook resources</x:v>
      </x:c>
      <x:c r="D107" s="26" t="str">
        <x:v>European Commission Joint Research Centre</x:v>
      </x:c>
      <x:c r="E107" s="26" t="str">
        <x:v>Практический источник для групп METH|OPS</x:v>
      </x:c>
      <x:c r="F107" s="26" t="str">
        <x:v>https://knowledge4policy.ec.europa.eu/evidence-informed-policy-making/science-policy-handbook_en</x:v>
      </x:c>
      <x:c r="G107" s="26" t="str">
        <x:v>https://knowledge4policy.ec.europa.eu/evidence-informed-policy-making/science-policy-handbook_en</x:v>
      </x:c>
      <x:c r="H107" s="26" t="str">
        <x:v>https://commission.europa.eu/legal-notice_en</x:v>
      </x:c>
      <x:c r="I107" s="26" t="str">
        <x:v>European Commission reuse policy and exceptions</x:v>
      </x:c>
      <x:c r="J107" s="26" t="str">
        <x:v>en</x:v>
      </x:c>
      <x:c r="K107" s="26" t="str">
        <x:v>International/reference</x:v>
      </x:c>
      <x:c r="L107" s="26" t="str">
        <x:v>HTML/PDF</x:v>
      </x:c>
      <x:c r="M107" s="26" t="str">
        <x:v>per-item official download</x:v>
      </x:c>
      <x:c r="N107" s="26" t="str">
        <x:v>L2</x:v>
      </x:c>
      <x:c r="O107" s="26" t="str">
        <x:v>S0_OBSERVE_READ</x:v>
      </x:c>
      <x:c r="P107" s="26" t="str">
        <x:v>ANNUAL_OR_EDITION</x:v>
      </x:c>
      <x:c r="Q107" s="26" t="n">
        <x:v>4</x:v>
      </x:c>
      <x:c r="R107" s="26" t="n">
        <x:v>4</x:v>
      </x:c>
      <x:c r="S107" s="26" t="n">
        <x:v>3</x:v>
      </x:c>
      <x:c r="T107" s="26" t="n">
        <x:v>4</x:v>
      </x:c>
      <x:c r="U107" s="26" t="n">
        <x:v>4</x:v>
      </x:c>
      <x:c r="V107" s="26" t="n">
        <x:v>3</x:v>
      </x:c>
      <x:c r="W107" s="26" t="n">
        <x:v>2</x:v>
      </x:c>
      <x:c r="X107" s="26" t="n">
        <x:v>4</x:v>
      </x:c>
      <x:c r="Y107" s="26" t="n">
        <x:v>1</x:v>
      </x:c>
      <x:c r="Z107" s="26" t="n">
        <x:v>2</x:v>
      </x:c>
      <x:c r="AA107" s="26" t="n">
        <x:v>1</x:v>
      </x:c>
      <x:c r="AB107" s="26" t="str">
        <x:v>CANDIDATE</x:v>
      </x:c>
      <x:c r="AC107" s="26" t="str">
        <x:v>NOT_DOWNLOADED</x:v>
      </x:c>
      <x:c r="AD107" s="26" t="str">
        <x:v>REQUIRES_ITEM_REVIEW</x:v>
      </x:c>
      <x:c r="AE107" s="26" t="str">
        <x:v>NOT_REVIEWED</x:v>
      </x:c>
      <x:c r="AF107" s="26" t="str">
        <x:v>NOT_TESTED</x:v>
      </x:c>
      <x:c r="AG107" s="26" t="str"/>
      <x:c r="AH107" s="26" t="str"/>
      <x:c r="AI107" s="26" t="str"/>
      <x:c r="AJ107" s="26" t="str"/>
      <x:c r="AK107" s="57" t="n">
        <x:f>MAX(0,MIN(100,ROUND(((Q107*'Overview'!$B$18)+(R107*'Overview'!$B$19)+(S107*'Overview'!$B$20)+(T107*'Overview'!$B$21)+(U107*'Overview'!$B$22)+(V107*'Overview'!$B$23)+(W107*'Overview'!$B$24)+(X107*'Overview'!$B$25)-(Y107*'Overview'!$B$26)-(Z107*'Overview'!$B$27)-(AA107*'Overview'!$B$28))/5*100,0)))</x:f>
        <x:v>65</x:v>
      </x:c>
      <x:c r="AL107" s="26" t="str">
        <x:v>Evidence assessment and policy translation.</x:v>
      </x:c>
    </x:row>
    <x:row r="108">
      <x:c r="A108" s="53" t="str">
        <x:v>PSP-105</x:v>
      </x:c>
      <x:c r="B108" s="53" t="str">
        <x:v>MATH|METH</x:v>
      </x:c>
      <x:c r="C108" s="53" t="str">
        <x:v>GNU R manuals and source</x:v>
      </x:c>
      <x:c r="D108" s="53" t="str">
        <x:v>R Foundation</x:v>
      </x:c>
      <x:c r="E108" s="53" t="str">
        <x:v>Практический источник для групп MATH|METH</x:v>
      </x:c>
      <x:c r="F108" s="53" t="str">
        <x:v>https://cran.r-project.org/manuals.html</x:v>
      </x:c>
      <x:c r="G108" s="53" t="str">
        <x:v>https://cran.r-project.org/manuals.html</x:v>
      </x:c>
      <x:c r="H108" s="53" t="str">
        <x:v>https://www.r-project.org/Licenses/</x:v>
      </x:c>
      <x:c r="I108" s="53" t="str">
        <x:v>GPL/software and manual licenses; package-specific rights</x:v>
      </x:c>
      <x:c r="J108" s="53" t="str">
        <x:v>en</x:v>
      </x:c>
      <x:c r="K108" s="53" t="str">
        <x:v>International/reference</x:v>
      </x:c>
      <x:c r="L108" s="53" t="str">
        <x:v>PDF/HTML/source/software</x:v>
      </x:c>
      <x:c r="M108" s="53" t="str">
        <x:v>archive source, binaries, packages and manuals with snapshots</x:v>
      </x:c>
      <x:c r="N108" s="53" t="str">
        <x:v>L2</x:v>
      </x:c>
      <x:c r="O108" s="53" t="str">
        <x:v>S0_OBSERVE_READ</x:v>
      </x:c>
      <x:c r="P108" s="53" t="str">
        <x:v>ANNUAL_OR_EDITION</x:v>
      </x:c>
      <x:c r="Q108" s="53" t="n">
        <x:v>4</x:v>
      </x:c>
      <x:c r="R108" s="53" t="n">
        <x:v>4</x:v>
      </x:c>
      <x:c r="S108" s="53" t="n">
        <x:v>3</x:v>
      </x:c>
      <x:c r="T108" s="53" t="n">
        <x:v>4</x:v>
      </x:c>
      <x:c r="U108" s="53" t="n">
        <x:v>4</x:v>
      </x:c>
      <x:c r="V108" s="53" t="n">
        <x:v>3</x:v>
      </x:c>
      <x:c r="W108" s="53" t="n">
        <x:v>2</x:v>
      </x:c>
      <x:c r="X108" s="53" t="n">
        <x:v>4</x:v>
      </x:c>
      <x:c r="Y108" s="53" t="n">
        <x:v>1</x:v>
      </x:c>
      <x:c r="Z108" s="53" t="n">
        <x:v>2</x:v>
      </x:c>
      <x:c r="AA108" s="53" t="n">
        <x:v>1</x:v>
      </x:c>
      <x:c r="AB108" s="53" t="str">
        <x:v>CANDIDATE</x:v>
      </x:c>
      <x:c r="AC108" s="53" t="str">
        <x:v>NOT_DOWNLOADED</x:v>
      </x:c>
      <x:c r="AD108" s="53" t="str">
        <x:v>REQUIRES_ITEM_REVIEW</x:v>
      </x:c>
      <x:c r="AE108" s="53" t="str">
        <x:v>NOT_REVIEWED</x:v>
      </x:c>
      <x:c r="AF108" s="53" t="str">
        <x:v>NOT_TESTED</x:v>
      </x:c>
      <x:c r="AG108" s="53" t="str"/>
      <x:c r="AH108" s="53" t="str"/>
      <x:c r="AI108" s="53" t="str"/>
      <x:c r="AJ108" s="53" t="str"/>
      <x:c r="AK108" s="57" t="n">
        <x:f>MAX(0,MIN(100,ROUND(((Q108*'Overview'!$B$18)+(R108*'Overview'!$B$19)+(S108*'Overview'!$B$20)+(T108*'Overview'!$B$21)+(U108*'Overview'!$B$22)+(V108*'Overview'!$B$23)+(W108*'Overview'!$B$24)+(X108*'Overview'!$B$25)-(Y108*'Overview'!$B$26)-(Z108*'Overview'!$B$27)-(AA108*'Overview'!$B$28))/5*100,0)))</x:f>
        <x:v>65</x:v>
      </x:c>
      <x:c r="AL108" s="53" t="str">
        <x:v>Statistical computing; package lock and source preservation required.</x:v>
      </x:c>
    </x:row>
    <x:row r="109">
      <x:c r="A109" s="26" t="str">
        <x:v>PSP-106</x:v>
      </x:c>
      <x:c r="B109" s="26" t="str">
        <x:v>MATH|COMP</x:v>
      </x:c>
      <x:c r="C109" s="26" t="str">
        <x:v>Julia documentation and source</x:v>
      </x:c>
      <x:c r="D109" s="26" t="str">
        <x:v>Julia Project</x:v>
      </x:c>
      <x:c r="E109" s="26" t="str">
        <x:v>Практический источник для групп MATH|COMP</x:v>
      </x:c>
      <x:c r="F109" s="26" t="str">
        <x:v>https://docs.julialang.org/</x:v>
      </x:c>
      <x:c r="G109" s="26" t="str">
        <x:v>https://docs.julialang.org/</x:v>
      </x:c>
      <x:c r="H109" s="26" t="str">
        <x:v>https://julialang.org/community/standards/</x:v>
      </x:c>
      <x:c r="I109" s="26" t="str">
        <x:v>MIT software; docs/content licenses review</x:v>
      </x:c>
      <x:c r="J109" s="26" t="str">
        <x:v>en</x:v>
      </x:c>
      <x:c r="K109" s="26" t="str">
        <x:v>International/reference</x:v>
      </x:c>
      <x:c r="L109" s="26" t="str">
        <x:v>HTML/PDF/source/software</x:v>
      </x:c>
      <x:c r="M109" s="26" t="str">
        <x:v>archive exact release/docs/depot subset</x:v>
      </x:c>
      <x:c r="N109" s="26" t="str">
        <x:v>L2</x:v>
      </x:c>
      <x:c r="O109" s="26" t="str">
        <x:v>S0_OBSERVE_READ</x:v>
      </x:c>
      <x:c r="P109" s="26" t="str">
        <x:v>ANNUAL_OR_EDITION</x:v>
      </x:c>
      <x:c r="Q109" s="26" t="n">
        <x:v>4</x:v>
      </x:c>
      <x:c r="R109" s="26" t="n">
        <x:v>4</x:v>
      </x:c>
      <x:c r="S109" s="26" t="n">
        <x:v>3</x:v>
      </x:c>
      <x:c r="T109" s="26" t="n">
        <x:v>4</x:v>
      </x:c>
      <x:c r="U109" s="26" t="n">
        <x:v>4</x:v>
      </x:c>
      <x:c r="V109" s="26" t="n">
        <x:v>3</x:v>
      </x:c>
      <x:c r="W109" s="26" t="n">
        <x:v>2</x:v>
      </x:c>
      <x:c r="X109" s="26" t="n">
        <x:v>4</x:v>
      </x:c>
      <x:c r="Y109" s="26" t="n">
        <x:v>1</x:v>
      </x:c>
      <x:c r="Z109" s="26" t="n">
        <x:v>2</x:v>
      </x:c>
      <x:c r="AA109" s="26" t="n">
        <x:v>1</x:v>
      </x:c>
      <x:c r="AB109" s="26" t="str">
        <x:v>CANDIDATE</x:v>
      </x:c>
      <x:c r="AC109" s="26" t="str">
        <x:v>NOT_DOWNLOADED</x:v>
      </x:c>
      <x:c r="AD109" s="26" t="str">
        <x:v>REQUIRES_ITEM_REVIEW</x:v>
      </x:c>
      <x:c r="AE109" s="26" t="str">
        <x:v>NOT_REVIEWED</x:v>
      </x:c>
      <x:c r="AF109" s="26" t="str">
        <x:v>NOT_TESTED</x:v>
      </x:c>
      <x:c r="AG109" s="26" t="str"/>
      <x:c r="AH109" s="26" t="str"/>
      <x:c r="AI109" s="26" t="str"/>
      <x:c r="AJ109" s="26" t="str"/>
      <x:c r="AK109" s="57" t="n">
        <x:f>MAX(0,MIN(100,ROUND(((Q109*'Overview'!$B$18)+(R109*'Overview'!$B$19)+(S109*'Overview'!$B$20)+(T109*'Overview'!$B$21)+(U109*'Overview'!$B$22)+(V109*'Overview'!$B$23)+(W109*'Overview'!$B$24)+(X109*'Overview'!$B$25)-(Y109*'Overview'!$B$26)-(Z109*'Overview'!$B$27)-(AA109*'Overview'!$B$28))/5*100,0)))</x:f>
        <x:v>65</x:v>
      </x:c>
      <x:c r="AL109" s="26" t="str">
        <x:v>Numerical/scientific computing alternative.</x:v>
      </x:c>
    </x:row>
    <x:row r="110">
      <x:c r="A110" s="53" t="str">
        <x:v>PSP-107</x:v>
      </x:c>
      <x:c r="B110" s="53" t="str">
        <x:v>COMP|ELEC</x:v>
      </x:c>
      <x:c r="C110" s="53" t="str">
        <x:v>Arduino language/reference and open hardware files</x:v>
      </x:c>
      <x:c r="D110" s="53" t="str">
        <x:v>Arduino</x:v>
      </x:c>
      <x:c r="E110" s="53" t="str">
        <x:v>Практический источник для групп COMP|ELEC</x:v>
      </x:c>
      <x:c r="F110" s="53" t="str">
        <x:v>https://docs.arduino.cc/</x:v>
      </x:c>
      <x:c r="G110" s="53" t="str">
        <x:v>https://docs.arduino.cc/</x:v>
      </x:c>
      <x:c r="H110" s="53" t="str">
        <x:v>https://www.arduino.cc/en/trademark/</x:v>
      </x:c>
      <x:c r="I110" s="53" t="str">
        <x:v>software/hardware/docs licenses vary</x:v>
      </x:c>
      <x:c r="J110" s="53" t="str">
        <x:v>en</x:v>
      </x:c>
      <x:c r="K110" s="53" t="str">
        <x:v>International/reference</x:v>
      </x:c>
      <x:c r="L110" s="53" t="str">
        <x:v>HTML/PDF/source/design files</x:v>
      </x:c>
      <x:c r="M110" s="53" t="str">
        <x:v>per-board/per-library acquisition with exact licenses</x:v>
      </x:c>
      <x:c r="N110" s="53" t="str">
        <x:v>L2</x:v>
      </x:c>
      <x:c r="O110" s="53" t="str">
        <x:v>S1_LOW_RISK_HOUSEHOLD</x:v>
      </x:c>
      <x:c r="P110" s="53" t="str">
        <x:v>ANNUAL_OR_EDITION</x:v>
      </x:c>
      <x:c r="Q110" s="53" t="n">
        <x:v>4</x:v>
      </x:c>
      <x:c r="R110" s="53" t="n">
        <x:v>4</x:v>
      </x:c>
      <x:c r="S110" s="53" t="n">
        <x:v>3</x:v>
      </x:c>
      <x:c r="T110" s="53" t="n">
        <x:v>4</x:v>
      </x:c>
      <x:c r="U110" s="53" t="n">
        <x:v>4</x:v>
      </x:c>
      <x:c r="V110" s="53" t="n">
        <x:v>3</x:v>
      </x:c>
      <x:c r="W110" s="53" t="n">
        <x:v>2</x:v>
      </x:c>
      <x:c r="X110" s="53" t="n">
        <x:v>4</x:v>
      </x:c>
      <x:c r="Y110" s="53" t="n">
        <x:v>1</x:v>
      </x:c>
      <x:c r="Z110" s="53" t="n">
        <x:v>2</x:v>
      </x:c>
      <x:c r="AA110" s="53" t="n">
        <x:v>1</x:v>
      </x:c>
      <x:c r="AB110" s="53" t="str">
        <x:v>CANDIDATE</x:v>
      </x:c>
      <x:c r="AC110" s="53" t="str">
        <x:v>NOT_DOWNLOADED</x:v>
      </x:c>
      <x:c r="AD110" s="53" t="str">
        <x:v>REQUIRES_ITEM_REVIEW</x:v>
      </x:c>
      <x:c r="AE110" s="53" t="str">
        <x:v>NOT_REVIEWED</x:v>
      </x:c>
      <x:c r="AF110" s="53" t="str">
        <x:v>NOT_TESTED</x:v>
      </x:c>
      <x:c r="AG110" s="53" t="str"/>
      <x:c r="AH110" s="53" t="str"/>
      <x:c r="AI110" s="53" t="str"/>
      <x:c r="AJ110" s="53" t="str"/>
      <x:c r="AK110" s="57" t="n">
        <x:f>MAX(0,MIN(100,ROUND(((Q110*'Overview'!$B$18)+(R110*'Overview'!$B$19)+(S110*'Overview'!$B$20)+(T110*'Overview'!$B$21)+(U110*'Overview'!$B$22)+(V110*'Overview'!$B$23)+(W110*'Overview'!$B$24)+(X110*'Overview'!$B$25)-(Y110*'Overview'!$B$26)-(Z110*'Overview'!$B$27)-(AA110*'Overview'!$B$28))/5*100,0)))</x:f>
        <x:v>65</x:v>
      </x:c>
      <x:c r="AL110" s="53" t="str">
        <x:v>Low-voltage learning; clones/trademarks and board licenses separate.</x:v>
      </x:c>
    </x:row>
    <x:row r="111">
      <x:c r="A111" s="26" t="str">
        <x:v>PSP-108</x:v>
      </x:c>
      <x:c r="B111" s="26" t="str">
        <x:v>ELEC|COMP</x:v>
      </x:c>
      <x:c r="C111" s="26" t="str">
        <x:v>Raspberry Pi documentation</x:v>
      </x:c>
      <x:c r="D111" s="26" t="str">
        <x:v>Raspberry Pi Ltd/Foundation</x:v>
      </x:c>
      <x:c r="E111" s="26" t="str">
        <x:v>Практический источник для групп ELEC|COMP</x:v>
      </x:c>
      <x:c r="F111" s="26" t="str">
        <x:v>https://www.raspberrypi.com/documentation/</x:v>
      </x:c>
      <x:c r="G111" s="26" t="str">
        <x:v>https://www.raspberrypi.com/documentation/</x:v>
      </x:c>
      <x:c r="H111" s="26" t="str">
        <x:v>https://www.raspberrypi.com/terms-conditions/</x:v>
      </x:c>
      <x:c r="I111" s="26" t="str">
        <x:v>site/document/software licenses vary</x:v>
      </x:c>
      <x:c r="J111" s="26" t="str">
        <x:v>en</x:v>
      </x:c>
      <x:c r="K111" s="26" t="str">
        <x:v>International/reference</x:v>
      </x:c>
      <x:c r="L111" s="26" t="str">
        <x:v>HTML/PDF/source links</x:v>
      </x:c>
      <x:c r="M111" s="26" t="str">
        <x:v>archive permitted docs for exact hardware revisions</x:v>
      </x:c>
      <x:c r="N111" s="26" t="str">
        <x:v>L2</x:v>
      </x:c>
      <x:c r="O111" s="26" t="str">
        <x:v>S1_LOW_RISK_HOUSEHOLD</x:v>
      </x:c>
      <x:c r="P111" s="26" t="str">
        <x:v>ANNUAL_OR_EDITION</x:v>
      </x:c>
      <x:c r="Q111" s="26" t="n">
        <x:v>4</x:v>
      </x:c>
      <x:c r="R111" s="26" t="n">
        <x:v>4</x:v>
      </x:c>
      <x:c r="S111" s="26" t="n">
        <x:v>3</x:v>
      </x:c>
      <x:c r="T111" s="26" t="n">
        <x:v>4</x:v>
      </x:c>
      <x:c r="U111" s="26" t="n">
        <x:v>4</x:v>
      </x:c>
      <x:c r="V111" s="26" t="n">
        <x:v>3</x:v>
      </x:c>
      <x:c r="W111" s="26" t="n">
        <x:v>2</x:v>
      </x:c>
      <x:c r="X111" s="26" t="n">
        <x:v>4</x:v>
      </x:c>
      <x:c r="Y111" s="26" t="n">
        <x:v>1</x:v>
      </x:c>
      <x:c r="Z111" s="26" t="n">
        <x:v>2</x:v>
      </x:c>
      <x:c r="AA111" s="26" t="n">
        <x:v>1</x:v>
      </x:c>
      <x:c r="AB111" s="26" t="str">
        <x:v>CANDIDATE</x:v>
      </x:c>
      <x:c r="AC111" s="26" t="str">
        <x:v>NOT_DOWNLOADED</x:v>
      </x:c>
      <x:c r="AD111" s="26" t="str">
        <x:v>REQUIRES_ITEM_REVIEW</x:v>
      </x:c>
      <x:c r="AE111" s="26" t="str">
        <x:v>NOT_REVIEWED</x:v>
      </x:c>
      <x:c r="AF111" s="26" t="str">
        <x:v>NOT_TESTED</x:v>
      </x:c>
      <x:c r="AG111" s="26" t="str"/>
      <x:c r="AH111" s="26" t="str"/>
      <x:c r="AI111" s="26" t="str"/>
      <x:c r="AJ111" s="26" t="str"/>
      <x:c r="AK111" s="57" t="n">
        <x:f>MAX(0,MIN(100,ROUND(((Q111*'Overview'!$B$18)+(R111*'Overview'!$B$19)+(S111*'Overview'!$B$20)+(T111*'Overview'!$B$21)+(U111*'Overview'!$B$22)+(V111*'Overview'!$B$23)+(W111*'Overview'!$B$24)+(X111*'Overview'!$B$25)-(Y111*'Overview'!$B$26)-(Z111*'Overview'!$B$27)-(AA111*'Overview'!$B$28))/5*100,0)))</x:f>
        <x:v>65</x:v>
      </x:c>
      <x:c r="AL111" s="26" t="str">
        <x:v>Offline computing and sensor learning; power/electrical safety separate.</x:v>
      </x:c>
    </x:row>
    <x:row r="112">
      <x:c r="A112" s="53" t="str">
        <x:v>PSP-109</x:v>
      </x:c>
      <x:c r="B112" s="53" t="str">
        <x:v>MECH|CIVIL|COMP</x:v>
      </x:c>
      <x:c r="C112" s="53" t="str">
        <x:v>OpenSCAD documentation and source</x:v>
      </x:c>
      <x:c r="D112" s="53" t="str">
        <x:v>OpenSCAD Project</x:v>
      </x:c>
      <x:c r="E112" s="53" t="str">
        <x:v>Практический источник для групп MECH|CIVIL|COMP</x:v>
      </x:c>
      <x:c r="F112" s="53" t="str">
        <x:v>https://openscad.org/documentation.html</x:v>
      </x:c>
      <x:c r="G112" s="53" t="str">
        <x:v>https://openscad.org/documentation.html</x:v>
      </x:c>
      <x:c r="H112" s="53" t="str">
        <x:v>https://github.com/openscad/openscad/blob/master/COPYING</x:v>
      </x:c>
      <x:c r="I112" s="53" t="str">
        <x:v>GPL software; manual/content rights review</x:v>
      </x:c>
      <x:c r="J112" s="53" t="str">
        <x:v>en</x:v>
      </x:c>
      <x:c r="K112" s="53" t="str">
        <x:v>International/reference</x:v>
      </x:c>
      <x:c r="L112" s="53" t="str">
        <x:v>HTML/PDF/software/source</x:v>
      </x:c>
      <x:c r="M112" s="53" t="str">
        <x:v>archive stable release/manual/source</x:v>
      </x:c>
      <x:c r="N112" s="53" t="str">
        <x:v>L2</x:v>
      </x:c>
      <x:c r="O112" s="53" t="str">
        <x:v>S0_OBSERVE_READ</x:v>
      </x:c>
      <x:c r="P112" s="53" t="str">
        <x:v>ANNUAL_OR_EDITION</x:v>
      </x:c>
      <x:c r="Q112" s="53" t="n">
        <x:v>4</x:v>
      </x:c>
      <x:c r="R112" s="53" t="n">
        <x:v>4</x:v>
      </x:c>
      <x:c r="S112" s="53" t="n">
        <x:v>3</x:v>
      </x:c>
      <x:c r="T112" s="53" t="n">
        <x:v>4</x:v>
      </x:c>
      <x:c r="U112" s="53" t="n">
        <x:v>4</x:v>
      </x:c>
      <x:c r="V112" s="53" t="n">
        <x:v>3</x:v>
      </x:c>
      <x:c r="W112" s="53" t="n">
        <x:v>2</x:v>
      </x:c>
      <x:c r="X112" s="53" t="n">
        <x:v>4</x:v>
      </x:c>
      <x:c r="Y112" s="53" t="n">
        <x:v>1</x:v>
      </x:c>
      <x:c r="Z112" s="53" t="n">
        <x:v>2</x:v>
      </x:c>
      <x:c r="AA112" s="53" t="n">
        <x:v>1</x:v>
      </x:c>
      <x:c r="AB112" s="53" t="str">
        <x:v>CANDIDATE</x:v>
      </x:c>
      <x:c r="AC112" s="53" t="str">
        <x:v>NOT_DOWNLOADED</x:v>
      </x:c>
      <x:c r="AD112" s="53" t="str">
        <x:v>REQUIRES_ITEM_REVIEW</x:v>
      </x:c>
      <x:c r="AE112" s="53" t="str">
        <x:v>NOT_REVIEWED</x:v>
      </x:c>
      <x:c r="AF112" s="53" t="str">
        <x:v>NOT_TESTED</x:v>
      </x:c>
      <x:c r="AG112" s="53" t="str"/>
      <x:c r="AH112" s="53" t="str"/>
      <x:c r="AI112" s="53" t="str"/>
      <x:c r="AJ112" s="53" t="str"/>
      <x:c r="AK112" s="57" t="n">
        <x:f>MAX(0,MIN(100,ROUND(((Q112*'Overview'!$B$18)+(R112*'Overview'!$B$19)+(S112*'Overview'!$B$20)+(T112*'Overview'!$B$21)+(U112*'Overview'!$B$22)+(V112*'Overview'!$B$23)+(W112*'Overview'!$B$24)+(X112*'Overview'!$B$25)-(Y112*'Overview'!$B$26)-(Z112*'Overview'!$B$27)-(AA112*'Overview'!$B$28))/5*100,0)))</x:f>
        <x:v>65</x:v>
      </x:c>
      <x:c r="AL112" s="53" t="str">
        <x:v>Parametric solid models and printable fixtures.</x:v>
      </x:c>
    </x:row>
    <x:row r="113">
      <x:c r="A113" s="26" t="str">
        <x:v>PSP-110</x:v>
      </x:c>
      <x:c r="B113" s="26" t="str">
        <x:v>COMP|ARCH</x:v>
      </x:c>
      <x:c r="C113" s="26" t="str">
        <x:v>Internet Archive item-level collections</x:v>
      </x:c>
      <x:c r="D113" s="26" t="str">
        <x:v>Internet Archive</x:v>
      </x:c>
      <x:c r="E113" s="26" t="str">
        <x:v>Практический источник для групп COMP|ARCH</x:v>
      </x:c>
      <x:c r="F113" s="26" t="str">
        <x:v>https://archive.org/</x:v>
      </x:c>
      <x:c r="G113" s="26" t="str">
        <x:v>https://archive.org/</x:v>
      </x:c>
      <x:c r="H113" s="26" t="str">
        <x:v>https://archive.org/about/terms.php</x:v>
      </x:c>
      <x:c r="I113" s="26" t="str">
        <x:v>rights per item; platform terms</x:v>
      </x:c>
      <x:c r="J113" s="26" t="str">
        <x:v>multi</x:v>
      </x:c>
      <x:c r="K113" s="26" t="str">
        <x:v>International/reference</x:v>
      </x:c>
      <x:c r="L113" s="26" t="str">
        <x:v>mixed</x:v>
      </x:c>
      <x:c r="M113" s="26" t="str">
        <x:v>only items with verified rights and stable identifiers</x:v>
      </x:c>
      <x:c r="N113" s="26" t="str">
        <x:v>L4</x:v>
      </x:c>
      <x:c r="O113" s="26" t="str">
        <x:v>S0_OBSERVE_READ</x:v>
      </x:c>
      <x:c r="P113" s="26" t="str">
        <x:v>ANNUAL_OR_EDITION</x:v>
      </x:c>
      <x:c r="Q113" s="26" t="n">
        <x:v>4</x:v>
      </x:c>
      <x:c r="R113" s="26" t="n">
        <x:v>4</x:v>
      </x:c>
      <x:c r="S113" s="26" t="n">
        <x:v>3</x:v>
      </x:c>
      <x:c r="T113" s="26" t="n">
        <x:v>4</x:v>
      </x:c>
      <x:c r="U113" s="26" t="n">
        <x:v>4</x:v>
      </x:c>
      <x:c r="V113" s="26" t="n">
        <x:v>3</x:v>
      </x:c>
      <x:c r="W113" s="26" t="n">
        <x:v>2</x:v>
      </x:c>
      <x:c r="X113" s="26" t="n">
        <x:v>4</x:v>
      </x:c>
      <x:c r="Y113" s="26" t="n">
        <x:v>1</x:v>
      </x:c>
      <x:c r="Z113" s="26" t="n">
        <x:v>2</x:v>
      </x:c>
      <x:c r="AA113" s="26" t="n">
        <x:v>1</x:v>
      </x:c>
      <x:c r="AB113" s="26" t="str">
        <x:v>CANDIDATE</x:v>
      </x:c>
      <x:c r="AC113" s="26" t="str">
        <x:v>NOT_DOWNLOADED</x:v>
      </x:c>
      <x:c r="AD113" s="26" t="str">
        <x:v>REQUIRES_ITEM_REVIEW</x:v>
      </x:c>
      <x:c r="AE113" s="26" t="str">
        <x:v>NOT_REVIEWED</x:v>
      </x:c>
      <x:c r="AF113" s="26" t="str">
        <x:v>NOT_TESTED</x:v>
      </x:c>
      <x:c r="AG113" s="26" t="str"/>
      <x:c r="AH113" s="26" t="str"/>
      <x:c r="AI113" s="26" t="str"/>
      <x:c r="AJ113" s="26" t="str"/>
      <x:c r="AK113" s="57" t="n">
        <x:f>MAX(0,MIN(100,ROUND(((Q113*'Overview'!$B$18)+(R113*'Overview'!$B$19)+(S113*'Overview'!$B$20)+(T113*'Overview'!$B$21)+(U113*'Overview'!$B$22)+(V113*'Overview'!$B$23)+(W113*'Overview'!$B$24)+(X113*'Overview'!$B$25)-(Y113*'Overview'!$B$26)-(Z113*'Overview'!$B$27)-(AA113*'Overview'!$B$28))/5*100,0)))</x:f>
        <x:v>65</x:v>
      </x:c>
      <x:c r="AL113" s="26" t="str">
        <x:v>Discovery/redundancy source, not a blanket-licensed corpus.</x:v>
      </x:c>
    </x:row>
    <x:row r="114">
      <x:c r="A114" s="53" t="str">
        <x:v>PSP-111</x:v>
      </x:c>
      <x:c r="B114" s="53" t="str">
        <x:v>ARCH|COMP</x:v>
      </x:c>
      <x:c r="C114" s="53" t="str">
        <x:v>Library of Congress Recommended Formats Statement</x:v>
      </x:c>
      <x:c r="D114" s="53" t="str">
        <x:v>Library of Congress</x:v>
      </x:c>
      <x:c r="E114" s="53" t="str">
        <x:v>Практический источник для групп ARCH|COMP</x:v>
      </x:c>
      <x:c r="F114" s="53" t="str">
        <x:v>https://www.loc.gov/preservation/resources/rfs/</x:v>
      </x:c>
      <x:c r="G114" s="53" t="str">
        <x:v>https://www.loc.gov/preservation/resources/rfs/</x:v>
      </x:c>
      <x:c r="H114" s="53" t="str">
        <x:v>https://www.loc.gov/legal/</x:v>
      </x:c>
      <x:c r="I114" s="53" t="str">
        <x:v>US government/third-party terms; item review</x:v>
      </x:c>
      <x:c r="J114" s="53" t="str">
        <x:v>en</x:v>
      </x:c>
      <x:c r="K114" s="53" t="str">
        <x:v>International/reference</x:v>
      </x:c>
      <x:c r="L114" s="53" t="str">
        <x:v>HTML/PDF</x:v>
      </x:c>
      <x:c r="M114" s="53" t="str">
        <x:v>download current annual statement</x:v>
      </x:c>
      <x:c r="N114" s="53" t="str">
        <x:v>L1</x:v>
      </x:c>
      <x:c r="O114" s="53" t="str">
        <x:v>S0_OBSERVE_READ</x:v>
      </x:c>
      <x:c r="P114" s="53" t="str">
        <x:v>ANNUAL_OR_EDITION</x:v>
      </x:c>
      <x:c r="Q114" s="53" t="n">
        <x:v>4</x:v>
      </x:c>
      <x:c r="R114" s="53" t="n">
        <x:v>4</x:v>
      </x:c>
      <x:c r="S114" s="53" t="n">
        <x:v>3</x:v>
      </x:c>
      <x:c r="T114" s="53" t="n">
        <x:v>4</x:v>
      </x:c>
      <x:c r="U114" s="53" t="n">
        <x:v>4</x:v>
      </x:c>
      <x:c r="V114" s="53" t="n">
        <x:v>3</x:v>
      </x:c>
      <x:c r="W114" s="53" t="n">
        <x:v>2</x:v>
      </x:c>
      <x:c r="X114" s="53" t="n">
        <x:v>4</x:v>
      </x:c>
      <x:c r="Y114" s="53" t="n">
        <x:v>1</x:v>
      </x:c>
      <x:c r="Z114" s="53" t="n">
        <x:v>2</x:v>
      </x:c>
      <x:c r="AA114" s="53" t="n">
        <x:v>1</x:v>
      </x:c>
      <x:c r="AB114" s="53" t="str">
        <x:v>CANDIDATE</x:v>
      </x:c>
      <x:c r="AC114" s="53" t="str">
        <x:v>NOT_DOWNLOADED</x:v>
      </x:c>
      <x:c r="AD114" s="53" t="str">
        <x:v>REQUIRES_ITEM_REVIEW</x:v>
      </x:c>
      <x:c r="AE114" s="53" t="str">
        <x:v>NOT_REVIEWED</x:v>
      </x:c>
      <x:c r="AF114" s="53" t="str">
        <x:v>NOT_TESTED</x:v>
      </x:c>
      <x:c r="AG114" s="53" t="str"/>
      <x:c r="AH114" s="53" t="str"/>
      <x:c r="AI114" s="53" t="str"/>
      <x:c r="AJ114" s="53" t="str"/>
      <x:c r="AK114" s="57" t="n">
        <x:f>MAX(0,MIN(100,ROUND(((Q114*'Overview'!$B$18)+(R114*'Overview'!$B$19)+(S114*'Overview'!$B$20)+(T114*'Overview'!$B$21)+(U114*'Overview'!$B$22)+(V114*'Overview'!$B$23)+(W114*'Overview'!$B$24)+(X114*'Overview'!$B$25)-(Y114*'Overview'!$B$26)-(Z114*'Overview'!$B$27)-(AA114*'Overview'!$B$28))/5*100,0)))</x:f>
        <x:v>65</x:v>
      </x:c>
      <x:c r="AL114" s="53" t="str">
        <x:v>Preferred preservation formats; revise annually.</x:v>
      </x:c>
    </x:row>
    <x:row r="115">
      <x:c r="A115" s="26" t="str">
        <x:v>PSP-112</x:v>
      </x:c>
      <x:c r="B115" s="26" t="str">
        <x:v>ARCH</x:v>
      </x:c>
      <x:c r="C115" s="26" t="str">
        <x:v>NDSA Levels of Digital Preservation</x:v>
      </x:c>
      <x:c r="D115" s="26" t="str">
        <x:v>National Digital Stewardship Alliance</x:v>
      </x:c>
      <x:c r="E115" s="26" t="str">
        <x:v>Практический источник для групп ARCH</x:v>
      </x:c>
      <x:c r="F115" s="26" t="str">
        <x:v>https://ndsa.org/publications/levels-of-digital-preservation/</x:v>
      </x:c>
      <x:c r="G115" s="26" t="str">
        <x:v>https://ndsa.org/publications/levels-of-digital-preservation/</x:v>
      </x:c>
      <x:c r="H115" s="26" t="str">
        <x:v>https://ndsa.org/about/</x:v>
      </x:c>
      <x:c r="I115" s="26" t="str">
        <x:v>published license/item notice review</x:v>
      </x:c>
      <x:c r="J115" s="26" t="str">
        <x:v>en</x:v>
      </x:c>
      <x:c r="K115" s="26" t="str">
        <x:v>International/reference</x:v>
      </x:c>
      <x:c r="L115" s="26" t="str">
        <x:v>PDF/HTML</x:v>
      </x:c>
      <x:c r="M115" s="26" t="str">
        <x:v>download current matrix and implementation resources</x:v>
      </x:c>
      <x:c r="N115" s="26" t="str">
        <x:v>L1</x:v>
      </x:c>
      <x:c r="O115" s="26" t="str">
        <x:v>S0_OBSERVE_READ</x:v>
      </x:c>
      <x:c r="P115" s="26" t="str">
        <x:v>ANNUAL_OR_EDITION</x:v>
      </x:c>
      <x:c r="Q115" s="26" t="n">
        <x:v>4</x:v>
      </x:c>
      <x:c r="R115" s="26" t="n">
        <x:v>4</x:v>
      </x:c>
      <x:c r="S115" s="26" t="n">
        <x:v>3</x:v>
      </x:c>
      <x:c r="T115" s="26" t="n">
        <x:v>4</x:v>
      </x:c>
      <x:c r="U115" s="26" t="n">
        <x:v>4</x:v>
      </x:c>
      <x:c r="V115" s="26" t="n">
        <x:v>3</x:v>
      </x:c>
      <x:c r="W115" s="26" t="n">
        <x:v>2</x:v>
      </x:c>
      <x:c r="X115" s="26" t="n">
        <x:v>4</x:v>
      </x:c>
      <x:c r="Y115" s="26" t="n">
        <x:v>1</x:v>
      </x:c>
      <x:c r="Z115" s="26" t="n">
        <x:v>2</x:v>
      </x:c>
      <x:c r="AA115" s="26" t="n">
        <x:v>1</x:v>
      </x:c>
      <x:c r="AB115" s="26" t="str">
        <x:v>CANDIDATE</x:v>
      </x:c>
      <x:c r="AC115" s="26" t="str">
        <x:v>NOT_DOWNLOADED</x:v>
      </x:c>
      <x:c r="AD115" s="26" t="str">
        <x:v>REQUIRES_ITEM_REVIEW</x:v>
      </x:c>
      <x:c r="AE115" s="26" t="str">
        <x:v>NOT_REVIEWED</x:v>
      </x:c>
      <x:c r="AF115" s="26" t="str">
        <x:v>NOT_TESTED</x:v>
      </x:c>
      <x:c r="AG115" s="26" t="str"/>
      <x:c r="AH115" s="26" t="str"/>
      <x:c r="AI115" s="26" t="str"/>
      <x:c r="AJ115" s="26" t="str"/>
      <x:c r="AK115" s="57" t="n">
        <x:f>MAX(0,MIN(100,ROUND(((Q115*'Overview'!$B$18)+(R115*'Overview'!$B$19)+(S115*'Overview'!$B$20)+(T115*'Overview'!$B$21)+(U115*'Overview'!$B$22)+(V115*'Overview'!$B$23)+(W115*'Overview'!$B$24)+(X115*'Overview'!$B$25)-(Y115*'Overview'!$B$26)-(Z115*'Overview'!$B$27)-(AA115*'Overview'!$B$28))/5*100,0)))</x:f>
        <x:v>65</x:v>
      </x:c>
      <x:c r="AL115" s="26" t="str">
        <x:v>Practical preservation maturity model.</x:v>
      </x:c>
    </x:row>
    <x:row r="116">
      <x:c r="A116" s="53" t="str">
        <x:v>PSP-113</x:v>
      </x:c>
      <x:c r="B116" s="53" t="str">
        <x:v>ARCH|COMP</x:v>
      </x:c>
      <x:c r="C116" s="53" t="str">
        <x:v>OpenZIM specification and tools</x:v>
      </x:c>
      <x:c r="D116" s="53" t="str">
        <x:v>OpenZIM</x:v>
      </x:c>
      <x:c r="E116" s="53" t="str">
        <x:v>Практический источник для групп ARCH|COMP</x:v>
      </x:c>
      <x:c r="F116" s="53" t="str">
        <x:v>https://openzim.org/</x:v>
      </x:c>
      <x:c r="G116" s="53" t="str">
        <x:v>https://openzim.org/</x:v>
      </x:c>
      <x:c r="H116" s="53" t="str">
        <x:v>https://github.com/openzim/zim-spec/blob/master/LICENSE</x:v>
      </x:c>
      <x:c r="I116" s="53" t="str">
        <x:v>open-source licenses per repository</x:v>
      </x:c>
      <x:c r="J116" s="53" t="str">
        <x:v>en</x:v>
      </x:c>
      <x:c r="K116" s="53" t="str">
        <x:v>International/reference</x:v>
      </x:c>
      <x:c r="L116" s="53" t="str">
        <x:v>HTML/source/spec</x:v>
      </x:c>
      <x:c r="M116" s="53" t="str">
        <x:v>archive spec, libzim/zim-tools source and build dependencies</x:v>
      </x:c>
      <x:c r="N116" s="53" t="str">
        <x:v>L2</x:v>
      </x:c>
      <x:c r="O116" s="53" t="str">
        <x:v>S0_OBSERVE_READ</x:v>
      </x:c>
      <x:c r="P116" s="53" t="str">
        <x:v>ANNUAL_OR_EDITION</x:v>
      </x:c>
      <x:c r="Q116" s="53" t="n">
        <x:v>4</x:v>
      </x:c>
      <x:c r="R116" s="53" t="n">
        <x:v>4</x:v>
      </x:c>
      <x:c r="S116" s="53" t="n">
        <x:v>3</x:v>
      </x:c>
      <x:c r="T116" s="53" t="n">
        <x:v>4</x:v>
      </x:c>
      <x:c r="U116" s="53" t="n">
        <x:v>4</x:v>
      </x:c>
      <x:c r="V116" s="53" t="n">
        <x:v>3</x:v>
      </x:c>
      <x:c r="W116" s="53" t="n">
        <x:v>2</x:v>
      </x:c>
      <x:c r="X116" s="53" t="n">
        <x:v>4</x:v>
      </x:c>
      <x:c r="Y116" s="53" t="n">
        <x:v>1</x:v>
      </x:c>
      <x:c r="Z116" s="53" t="n">
        <x:v>2</x:v>
      </x:c>
      <x:c r="AA116" s="53" t="n">
        <x:v>1</x:v>
      </x:c>
      <x:c r="AB116" s="53" t="str">
        <x:v>CANDIDATE</x:v>
      </x:c>
      <x:c r="AC116" s="53" t="str">
        <x:v>NOT_DOWNLOADED</x:v>
      </x:c>
      <x:c r="AD116" s="53" t="str">
        <x:v>REQUIRES_ITEM_REVIEW</x:v>
      </x:c>
      <x:c r="AE116" s="53" t="str">
        <x:v>NOT_REVIEWED</x:v>
      </x:c>
      <x:c r="AF116" s="53" t="str">
        <x:v>NOT_TESTED</x:v>
      </x:c>
      <x:c r="AG116" s="53" t="str"/>
      <x:c r="AH116" s="53" t="str"/>
      <x:c r="AI116" s="53" t="str"/>
      <x:c r="AJ116" s="53" t="str"/>
      <x:c r="AK116" s="57" t="n">
        <x:f>MAX(0,MIN(100,ROUND(((Q116*'Overview'!$B$18)+(R116*'Overview'!$B$19)+(S116*'Overview'!$B$20)+(T116*'Overview'!$B$21)+(U116*'Overview'!$B$22)+(V116*'Overview'!$B$23)+(W116*'Overview'!$B$24)+(X116*'Overview'!$B$25)-(Y116*'Overview'!$B$26)-(Z116*'Overview'!$B$27)-(AA116*'Overview'!$B$28))/5*100,0)))</x:f>
        <x:v>65</x:v>
      </x:c>
      <x:c r="AL116" s="53" t="str">
        <x:v>Long-term access to ZIM packages.</x:v>
      </x:c>
    </x:row>
    <x:row r="117">
      <x:c r="A117" s="26" t="str">
        <x:v>PSP-114</x:v>
      </x:c>
      <x:c r="B117" s="26" t="str">
        <x:v>ARCH|COMP</x:v>
      </x:c>
      <x:c r="C117" s="26" t="str">
        <x:v>PDF Association archival PDF resources</x:v>
      </x:c>
      <x:c r="D117" s="26" t="str">
        <x:v>PDF Association</x:v>
      </x:c>
      <x:c r="E117" s="26" t="str">
        <x:v>Практический источник для групп ARCH|COMP</x:v>
      </x:c>
      <x:c r="F117" s="26" t="str">
        <x:v>https://pdfa.org/resource/iso-standards/</x:v>
      </x:c>
      <x:c r="G117" s="26" t="str">
        <x:v>https://pdfa.org/resource/iso-standards/</x:v>
      </x:c>
      <x:c r="H117" s="26" t="str">
        <x:v>https://pdfa.org/terms-of-use/</x:v>
      </x:c>
      <x:c r="I117" s="26" t="str">
        <x:v>item rights; ISO texts copyrighted</x:v>
      </x:c>
      <x:c r="J117" s="26" t="str">
        <x:v>en</x:v>
      </x:c>
      <x:c r="K117" s="26" t="str">
        <x:v>International/reference</x:v>
      </x:c>
      <x:c r="L117" s="26" t="str">
        <x:v>HTML/PDF/metadata</x:v>
      </x:c>
      <x:c r="M117" s="26" t="str">
        <x:v>archive openly downloadable resources; standards by lawful access</x:v>
      </x:c>
      <x:c r="N117" s="26" t="str">
        <x:v>L2</x:v>
      </x:c>
      <x:c r="O117" s="26" t="str">
        <x:v>S0_OBSERVE_READ</x:v>
      </x:c>
      <x:c r="P117" s="26" t="str">
        <x:v>ANNUAL_OR_EDITION</x:v>
      </x:c>
      <x:c r="Q117" s="26" t="n">
        <x:v>4</x:v>
      </x:c>
      <x:c r="R117" s="26" t="n">
        <x:v>4</x:v>
      </x:c>
      <x:c r="S117" s="26" t="n">
        <x:v>3</x:v>
      </x:c>
      <x:c r="T117" s="26" t="n">
        <x:v>4</x:v>
      </x:c>
      <x:c r="U117" s="26" t="n">
        <x:v>4</x:v>
      </x:c>
      <x:c r="V117" s="26" t="n">
        <x:v>3</x:v>
      </x:c>
      <x:c r="W117" s="26" t="n">
        <x:v>2</x:v>
      </x:c>
      <x:c r="X117" s="26" t="n">
        <x:v>4</x:v>
      </x:c>
      <x:c r="Y117" s="26" t="n">
        <x:v>1</x:v>
      </x:c>
      <x:c r="Z117" s="26" t="n">
        <x:v>2</x:v>
      </x:c>
      <x:c r="AA117" s="26" t="n">
        <x:v>1</x:v>
      </x:c>
      <x:c r="AB117" s="26" t="str">
        <x:v>CANDIDATE</x:v>
      </x:c>
      <x:c r="AC117" s="26" t="str">
        <x:v>NOT_DOWNLOADED</x:v>
      </x:c>
      <x:c r="AD117" s="26" t="str">
        <x:v>REQUIRES_ITEM_REVIEW</x:v>
      </x:c>
      <x:c r="AE117" s="26" t="str">
        <x:v>NOT_REVIEWED</x:v>
      </x:c>
      <x:c r="AF117" s="26" t="str">
        <x:v>NOT_TESTED</x:v>
      </x:c>
      <x:c r="AG117" s="26" t="str"/>
      <x:c r="AH117" s="26" t="str"/>
      <x:c r="AI117" s="26" t="str"/>
      <x:c r="AJ117" s="26" t="str"/>
      <x:c r="AK117" s="57" t="n">
        <x:f>MAX(0,MIN(100,ROUND(((Q117*'Overview'!$B$18)+(R117*'Overview'!$B$19)+(S117*'Overview'!$B$20)+(T117*'Overview'!$B$21)+(U117*'Overview'!$B$22)+(V117*'Overview'!$B$23)+(W117*'Overview'!$B$24)+(X117*'Overview'!$B$25)-(Y117*'Overview'!$B$26)-(Z117*'Overview'!$B$27)-(AA117*'Overview'!$B$28))/5*100,0)))</x:f>
        <x:v>65</x:v>
      </x:c>
      <x:c r="AL117" s="26" t="str">
        <x:v>PDF/A concepts; do not copy paid ISO standards without permission.</x:v>
      </x:c>
    </x:row>
    <x:row r="118">
      <x:c r="A118" s="53" t="str">
        <x:v>PSP-115</x:v>
      </x:c>
      <x:c r="B118" s="53" t="str">
        <x:v>ARCH|COMP</x:v>
      </x:c>
      <x:c r="C118" s="53" t="str">
        <x:v>Library of Congress digital preservation formats</x:v>
      </x:c>
      <x:c r="D118" s="53" t="str">
        <x:v>Library of Congress</x:v>
      </x:c>
      <x:c r="E118" s="53" t="str">
        <x:v>Практический источник для групп ARCH|COMP</x:v>
      </x:c>
      <x:c r="F118" s="53" t="str">
        <x:v>https://www.loc.gov/preservation/digital/formats/</x:v>
      </x:c>
      <x:c r="G118" s="53" t="str">
        <x:v>https://www.loc.gov/preservation/digital/formats/</x:v>
      </x:c>
      <x:c r="H118" s="53" t="str">
        <x:v>https://www.loc.gov/legal/</x:v>
      </x:c>
      <x:c r="I118" s="53" t="str">
        <x:v>US government/third-party terms; item review</x:v>
      </x:c>
      <x:c r="J118" s="53" t="str">
        <x:v>en</x:v>
      </x:c>
      <x:c r="K118" s="53" t="str">
        <x:v>International/reference</x:v>
      </x:c>
      <x:c r="L118" s="53" t="str">
        <x:v>HTML/XML</x:v>
      </x:c>
      <x:c r="M118" s="53" t="str">
        <x:v>archive format descriptions and references</x:v>
      </x:c>
      <x:c r="N118" s="53" t="str">
        <x:v>L2</x:v>
      </x:c>
      <x:c r="O118" s="53" t="str">
        <x:v>S0_OBSERVE_READ</x:v>
      </x:c>
      <x:c r="P118" s="53" t="str">
        <x:v>ANNUAL_OR_EDITION</x:v>
      </x:c>
      <x:c r="Q118" s="53" t="n">
        <x:v>4</x:v>
      </x:c>
      <x:c r="R118" s="53" t="n">
        <x:v>4</x:v>
      </x:c>
      <x:c r="S118" s="53" t="n">
        <x:v>3</x:v>
      </x:c>
      <x:c r="T118" s="53" t="n">
        <x:v>4</x:v>
      </x:c>
      <x:c r="U118" s="53" t="n">
        <x:v>4</x:v>
      </x:c>
      <x:c r="V118" s="53" t="n">
        <x:v>3</x:v>
      </x:c>
      <x:c r="W118" s="53" t="n">
        <x:v>2</x:v>
      </x:c>
      <x:c r="X118" s="53" t="n">
        <x:v>4</x:v>
      </x:c>
      <x:c r="Y118" s="53" t="n">
        <x:v>1</x:v>
      </x:c>
      <x:c r="Z118" s="53" t="n">
        <x:v>2</x:v>
      </x:c>
      <x:c r="AA118" s="53" t="n">
        <x:v>1</x:v>
      </x:c>
      <x:c r="AB118" s="53" t="str">
        <x:v>CANDIDATE</x:v>
      </x:c>
      <x:c r="AC118" s="53" t="str">
        <x:v>NOT_DOWNLOADED</x:v>
      </x:c>
      <x:c r="AD118" s="53" t="str">
        <x:v>REQUIRES_ITEM_REVIEW</x:v>
      </x:c>
      <x:c r="AE118" s="53" t="str">
        <x:v>NOT_REVIEWED</x:v>
      </x:c>
      <x:c r="AF118" s="53" t="str">
        <x:v>NOT_TESTED</x:v>
      </x:c>
      <x:c r="AG118" s="53" t="str"/>
      <x:c r="AH118" s="53" t="str"/>
      <x:c r="AI118" s="53" t="str"/>
      <x:c r="AJ118" s="53" t="str"/>
      <x:c r="AK118" s="57" t="n">
        <x:f>MAX(0,MIN(100,ROUND(((Q118*'Overview'!$B$18)+(R118*'Overview'!$B$19)+(S118*'Overview'!$B$20)+(T118*'Overview'!$B$21)+(U118*'Overview'!$B$22)+(V118*'Overview'!$B$23)+(W118*'Overview'!$B$24)+(X118*'Overview'!$B$25)-(Y118*'Overview'!$B$26)-(Z118*'Overview'!$B$27)-(AA118*'Overview'!$B$28))/5*100,0)))</x:f>
        <x:v>65</x:v>
      </x:c>
      <x:c r="AL118" s="53" t="str">
        <x:v>Format sustainability factors and signatures.</x:v>
      </x:c>
    </x:row>
    <x:row r="119">
      <x:c r="A119" s="26" t="str">
        <x:v>PSP-116</x:v>
      </x:c>
      <x:c r="B119" s="26" t="str">
        <x:v>MECH|CIVIL|ELEC</x:v>
      </x:c>
      <x:c r="C119" s="26" t="str">
        <x:v>manufacturer manuals for owned exact assets</x:v>
      </x:c>
      <x:c r="D119" s="26" t="str">
        <x:v>Actual manufacturers</x:v>
      </x:c>
      <x:c r="E119" s="26" t="str">
        <x:v>Практический источник для групп MECH|CIVIL|ELEC</x:v>
      </x:c>
      <x:c r="F119" s="26" t="str">
        <x:v>TBD_PER_ASSET</x:v>
      </x:c>
      <x:c r="G119" s="26" t="str">
        <x:v>TBD_PER_ASSET</x:v>
      </x:c>
      <x:c r="H119" s="26" t="str">
        <x:v>TBD_PER_ASSET</x:v>
      </x:c>
      <x:c r="I119" s="26" t="str">
        <x:v>per-manufacturer terms; personal copy rights review</x:v>
      </x:c>
      <x:c r="J119" s="26" t="str">
        <x:v>local language|en</x:v>
      </x:c>
      <x:c r="K119" s="26" t="str">
        <x:v>International/reference</x:v>
      </x:c>
      <x:c r="L119" s="26" t="str">
        <x:v>PDF/firmware/parts list</x:v>
      </x:c>
      <x:c r="M119" s="26" t="str">
        <x:v>download from official support page per exact model/serial</x:v>
      </x:c>
      <x:c r="N119" s="26" t="str">
        <x:v>L0</x:v>
      </x:c>
      <x:c r="O119" s="26" t="str">
        <x:v>S2_TRAINED_SUPERVISED</x:v>
      </x:c>
      <x:c r="P119" s="26" t="str">
        <x:v>ANNUAL_OR_EDITION</x:v>
      </x:c>
      <x:c r="Q119" s="26" t="n">
        <x:v>5</x:v>
      </x:c>
      <x:c r="R119" s="26" t="n">
        <x:v>3</x:v>
      </x:c>
      <x:c r="S119" s="26" t="n">
        <x:v>5</x:v>
      </x:c>
      <x:c r="T119" s="26" t="n">
        <x:v>5</x:v>
      </x:c>
      <x:c r="U119" s="26" t="n">
        <x:v>5</x:v>
      </x:c>
      <x:c r="V119" s="26" t="n">
        <x:v>2</x:v>
      </x:c>
      <x:c r="W119" s="26" t="n">
        <x:v>4</x:v>
      </x:c>
      <x:c r="X119" s="26" t="n">
        <x:v>3</x:v>
      </x:c>
      <x:c r="Y119" s="26" t="n">
        <x:v>2</x:v>
      </x:c>
      <x:c r="Z119" s="26" t="n">
        <x:v>3</x:v>
      </x:c>
      <x:c r="AA119" s="26" t="n">
        <x:v>1</x:v>
      </x:c>
      <x:c r="AB119" s="26" t="str">
        <x:v>CANDIDATE</x:v>
      </x:c>
      <x:c r="AC119" s="26" t="str">
        <x:v>NOT_DOWNLOADED</x:v>
      </x:c>
      <x:c r="AD119" s="26" t="str">
        <x:v>REQUIRES_ASSET_INVENTORY</x:v>
      </x:c>
      <x:c r="AE119" s="26" t="str">
        <x:v>NOT_REVIEWED</x:v>
      </x:c>
      <x:c r="AF119" s="26" t="str">
        <x:v>NOT_TESTED</x:v>
      </x:c>
      <x:c r="AG119" s="26" t="str"/>
      <x:c r="AH119" s="26" t="str"/>
      <x:c r="AI119" s="26" t="str"/>
      <x:c r="AJ119" s="26" t="str"/>
      <x:c r="AK119" s="57" t="n">
        <x:f>MAX(0,MIN(100,ROUND(((Q119*'Overview'!$B$18)+(R119*'Overview'!$B$19)+(S119*'Overview'!$B$20)+(T119*'Overview'!$B$21)+(U119*'Overview'!$B$22)+(V119*'Overview'!$B$23)+(W119*'Overview'!$B$24)+(X119*'Overview'!$B$25)-(Y119*'Overview'!$B$26)-(Z119*'Overview'!$B$27)-(AA119*'Overview'!$B$28))/5*100,0)))</x:f>
        <x:v>72</x:v>
      </x:c>
      <x:c r="AL119" s="26" t="str">
        <x:v>Highest actionability but cannot be populated without actual inventory.</x:v>
      </x:c>
    </x:row>
    <x:row r="120">
      <x:c r="A120" s="53" t="str">
        <x:v>PSP-117</x:v>
      </x:c>
      <x:c r="B120" s="53" t="str">
        <x:v>HEALTH</x:v>
      </x:c>
      <x:c r="C120" s="53" t="str">
        <x:v>personal care plans and medicine reconciliation</x:v>
      </x:c>
      <x:c r="D120" s="53" t="str">
        <x:v>Licensed clinicians/pharmacists</x:v>
      </x:c>
      <x:c r="E120" s="53" t="str">
        <x:v>Практический источник для групп HEALTH</x:v>
      </x:c>
      <x:c r="F120" s="53" t="str">
        <x:v>TBD_PER_PERSON</x:v>
      </x:c>
      <x:c r="G120" s="53" t="str">
        <x:v>TBD_PER_PERSON</x:v>
      </x:c>
      <x:c r="H120" s="53" t="str">
        <x:v>TBD_PER_PERSON</x:v>
      </x:c>
      <x:c r="I120" s="53" t="str">
        <x:v>personal confidential record; consent/access controls</x:v>
      </x:c>
      <x:c r="J120" s="53" t="str">
        <x:v>local language</x:v>
      </x:c>
      <x:c r="K120" s="53" t="str">
        <x:v>International/reference</x:v>
      </x:c>
      <x:c r="L120" s="53" t="str">
        <x:v>PDF/print</x:v>
      </x:c>
      <x:c r="M120" s="53" t="str">
        <x:v>obtain lawful person-specific plan and store encrypted/printed restricted copy</x:v>
      </x:c>
      <x:c r="N120" s="53" t="str">
        <x:v>L0</x:v>
      </x:c>
      <x:c r="O120" s="53" t="str">
        <x:v>S2_TRAINED_SUPERVISED</x:v>
      </x:c>
      <x:c r="P120" s="53" t="str">
        <x:v>ANNUAL_OR_EDITION</x:v>
      </x:c>
      <x:c r="Q120" s="53" t="n">
        <x:v>4</x:v>
      </x:c>
      <x:c r="R120" s="53" t="n">
        <x:v>4</x:v>
      </x:c>
      <x:c r="S120" s="53" t="n">
        <x:v>3</x:v>
      </x:c>
      <x:c r="T120" s="53" t="n">
        <x:v>4</x:v>
      </x:c>
      <x:c r="U120" s="53" t="n">
        <x:v>4</x:v>
      </x:c>
      <x:c r="V120" s="53" t="n">
        <x:v>3</x:v>
      </x:c>
      <x:c r="W120" s="53" t="n">
        <x:v>2</x:v>
      </x:c>
      <x:c r="X120" s="53" t="n">
        <x:v>4</x:v>
      </x:c>
      <x:c r="Y120" s="53" t="n">
        <x:v>2</x:v>
      </x:c>
      <x:c r="Z120" s="53" t="n">
        <x:v>2</x:v>
      </x:c>
      <x:c r="AA120" s="53" t="n">
        <x:v>1</x:v>
      </x:c>
      <x:c r="AB120" s="53" t="str">
        <x:v>CANDIDATE</x:v>
      </x:c>
      <x:c r="AC120" s="53" t="str">
        <x:v>NOT_DOWNLOADED</x:v>
      </x:c>
      <x:c r="AD120" s="53" t="str">
        <x:v>REQUIRES_PERSONALIZATION</x:v>
      </x:c>
      <x:c r="AE120" s="53" t="str">
        <x:v>NOT_REVIEWED</x:v>
      </x:c>
      <x:c r="AF120" s="53" t="str">
        <x:v>NOT_TESTED</x:v>
      </x:c>
      <x:c r="AG120" s="53" t="str"/>
      <x:c r="AH120" s="53" t="str"/>
      <x:c r="AI120" s="53" t="str"/>
      <x:c r="AJ120" s="53" t="str"/>
      <x:c r="AK120" s="57" t="n">
        <x:f>MAX(0,MIN(100,ROUND(((Q120*'Overview'!$B$18)+(R120*'Overview'!$B$19)+(S120*'Overview'!$B$20)+(T120*'Overview'!$B$21)+(U120*'Overview'!$B$22)+(V120*'Overview'!$B$23)+(W120*'Overview'!$B$24)+(X120*'Overview'!$B$25)-(Y120*'Overview'!$B$26)-(Z120*'Overview'!$B$27)-(AA120*'Overview'!$B$28))/5*100,0)))</x:f>
        <x:v>62</x:v>
      </x:c>
      <x:c r="AL120" s="53" t="str">
        <x:v>Not a shared treatment manual; never infer doses or substitutes.</x:v>
      </x:c>
    </x:row>
    <x:row r="121">
      <x:c r="A121" s="26" t="str">
        <x:v>PSP-118</x:v>
      </x:c>
      <x:c r="B121" s="26" t="str">
        <x:v>PORT|CIVIL|ELEC|MECH</x:v>
      </x:c>
      <x:c r="C121" s="26" t="str">
        <x:v>Portugal laws, permits and competent-person registers per asset</x:v>
      </x:c>
      <x:c r="D121" s="26" t="str">
        <x:v>Portugal competent authorities</x:v>
      </x:c>
      <x:c r="E121" s="26" t="str">
        <x:v>Практический источник для групп PORT|CIVIL|ELEC|MECH</x:v>
      </x:c>
      <x:c r="F121" s="26" t="str">
        <x:v>TBD_PER_ASSET_AND_MUNICIPALITY</x:v>
      </x:c>
      <x:c r="G121" s="26" t="str">
        <x:v>TBD_PER_ASSET_AND_MUNICIPALITY</x:v>
      </x:c>
      <x:c r="H121" s="26" t="str">
        <x:v>TBD_PER_AUTHORITY</x:v>
      </x:c>
      <x:c r="I121" s="26" t="str">
        <x:v>jurisdiction/item terms</x:v>
      </x:c>
      <x:c r="J121" s="26" t="str">
        <x:v>pt</x:v>
      </x:c>
      <x:c r="K121" s="26" t="str">
        <x:v>Portugal/EU</x:v>
      </x:c>
      <x:c r="L121" s="26" t="str">
        <x:v>metadata/PDF</x:v>
      </x:c>
      <x:c r="M121" s="26" t="str">
        <x:v>store exact citations and permitted copies; refresh before work</x:v>
      </x:c>
      <x:c r="N121" s="26" t="str">
        <x:v>L0</x:v>
      </x:c>
      <x:c r="O121" s="26" t="str">
        <x:v>S3_LICENSED_PROFESSIONAL</x:v>
      </x:c>
      <x:c r="P121" s="26" t="str">
        <x:v>ANNUAL_OR_EDITION</x:v>
      </x:c>
      <x:c r="Q121" s="26" t="n">
        <x:v>4</x:v>
      </x:c>
      <x:c r="R121" s="26" t="n">
        <x:v>4</x:v>
      </x:c>
      <x:c r="S121" s="26" t="n">
        <x:v>3</x:v>
      </x:c>
      <x:c r="T121" s="26" t="n">
        <x:v>4</x:v>
      </x:c>
      <x:c r="U121" s="26" t="n">
        <x:v>4</x:v>
      </x:c>
      <x:c r="V121" s="26" t="n">
        <x:v>3</x:v>
      </x:c>
      <x:c r="W121" s="26" t="n">
        <x:v>2</x:v>
      </x:c>
      <x:c r="X121" s="26" t="n">
        <x:v>4</x:v>
      </x:c>
      <x:c r="Y121" s="26" t="n">
        <x:v>4</x:v>
      </x:c>
      <x:c r="Z121" s="26" t="n">
        <x:v>2</x:v>
      </x:c>
      <x:c r="AA121" s="26" t="n">
        <x:v>1</x:v>
      </x:c>
      <x:c r="AB121" s="26" t="str">
        <x:v>CANDIDATE</x:v>
      </x:c>
      <x:c r="AC121" s="26" t="str">
        <x:v>NOT_DOWNLOADED</x:v>
      </x:c>
      <x:c r="AD121" s="26" t="str">
        <x:v>REQUIRES_LOCALIZATION</x:v>
      </x:c>
      <x:c r="AE121" s="26" t="str">
        <x:v>NOT_REVIEWED</x:v>
      </x:c>
      <x:c r="AF121" s="26" t="str">
        <x:v>NOT_TESTED</x:v>
      </x:c>
      <x:c r="AG121" s="26" t="str"/>
      <x:c r="AH121" s="26" t="str"/>
      <x:c r="AI121" s="26" t="str"/>
      <x:c r="AJ121" s="26" t="str"/>
      <x:c r="AK121" s="57" t="n">
        <x:f>MAX(0,MIN(100,ROUND(((Q121*'Overview'!$B$18)+(R121*'Overview'!$B$19)+(S121*'Overview'!$B$20)+(T121*'Overview'!$B$21)+(U121*'Overview'!$B$22)+(V121*'Overview'!$B$23)+(W121*'Overview'!$B$24)+(X121*'Overview'!$B$25)-(Y121*'Overview'!$B$26)-(Z121*'Overview'!$B$27)-(AA121*'Overview'!$B$28))/5*100,0)))</x:f>
        <x:v>56</x:v>
      </x:c>
      <x:c r="AL121" s="26" t="str">
        <x:v>Needed before mains, gas, structure, pressure, fire-system or licensed work.</x:v>
      </x:c>
    </x:row>
    <x:row r="122">
      <x:c r="A122" s="53" t="str">
        <x:v>PSP-119</x:v>
      </x:c>
      <x:c r="B122" s="53" t="str">
        <x:v>METH|EDU|OPS</x:v>
      </x:c>
      <x:c r="C122" s="53" t="str">
        <x:v>local skills assessment and teach-back corpus</x:v>
      </x:c>
      <x:c r="D122" s="53" t="str">
        <x:v>Kit owner/stewardship group</x:v>
      </x:c>
      <x:c r="E122" s="53" t="str">
        <x:v>Практический источник для групп METH|EDU|OPS</x:v>
      </x:c>
      <x:c r="F122" s="53" t="str">
        <x:v>local://practical-science</x:v>
      </x:c>
      <x:c r="G122" s="53" t="str">
        <x:v>local://practical-science</x:v>
      </x:c>
      <x:c r="H122" s="53" t="str">
        <x:v>local://practical-science</x:v>
      </x:c>
      <x:c r="I122" s="53" t="str">
        <x:v>locally authored; contributor consent and privacy rules</x:v>
      </x:c>
      <x:c r="J122" s="53" t="str">
        <x:v>ru|uk|pt|en</x:v>
      </x:c>
      <x:c r="K122" s="53" t="str">
        <x:v>International/reference</x:v>
      </x:c>
      <x:c r="L122" s="53" t="str">
        <x:v>CSV/Markdown/video where consented</x:v>
      </x:c>
      <x:c r="M122" s="53" t="str">
        <x:v>create locally; hash, restrict personal media and review annually</x:v>
      </x:c>
      <x:c r="N122" s="53" t="str">
        <x:v>L0</x:v>
      </x:c>
      <x:c r="O122" s="53" t="str">
        <x:v>S1_LOW_RISK_HOUSEHOLD</x:v>
      </x:c>
      <x:c r="P122" s="53" t="str">
        <x:v>ANNUAL_OR_EDITION</x:v>
      </x:c>
      <x:c r="Q122" s="53" t="n">
        <x:v>4</x:v>
      </x:c>
      <x:c r="R122" s="53" t="n">
        <x:v>4</x:v>
      </x:c>
      <x:c r="S122" s="53" t="n">
        <x:v>3</x:v>
      </x:c>
      <x:c r="T122" s="53" t="n">
        <x:v>4</x:v>
      </x:c>
      <x:c r="U122" s="53" t="n">
        <x:v>4</x:v>
      </x:c>
      <x:c r="V122" s="53" t="n">
        <x:v>3</x:v>
      </x:c>
      <x:c r="W122" s="53" t="n">
        <x:v>2</x:v>
      </x:c>
      <x:c r="X122" s="53" t="n">
        <x:v>4</x:v>
      </x:c>
      <x:c r="Y122" s="53" t="n">
        <x:v>1</x:v>
      </x:c>
      <x:c r="Z122" s="53" t="n">
        <x:v>2</x:v>
      </x:c>
      <x:c r="AA122" s="53" t="n">
        <x:v>1</x:v>
      </x:c>
      <x:c r="AB122" s="53" t="str">
        <x:v>CANDIDATE</x:v>
      </x:c>
      <x:c r="AC122" s="53" t="str">
        <x:v>NOT_CREATED</x:v>
      </x:c>
      <x:c r="AD122" s="53" t="str">
        <x:v>LOCAL_AUTHORING_REQUIRED</x:v>
      </x:c>
      <x:c r="AE122" s="53" t="str">
        <x:v>NOT_REVIEWED</x:v>
      </x:c>
      <x:c r="AF122" s="53" t="str">
        <x:v>NOT_TESTED</x:v>
      </x:c>
      <x:c r="AG122" s="53" t="str"/>
      <x:c r="AH122" s="53" t="str"/>
      <x:c r="AI122" s="53" t="str"/>
      <x:c r="AJ122" s="53" t="str"/>
      <x:c r="AK122" s="57" t="n">
        <x:f>MAX(0,MIN(100,ROUND(((Q122*'Overview'!$B$18)+(R122*'Overview'!$B$19)+(S122*'Overview'!$B$20)+(T122*'Overview'!$B$21)+(U122*'Overview'!$B$22)+(V122*'Overview'!$B$23)+(W122*'Overview'!$B$24)+(X122*'Overview'!$B$25)-(Y122*'Overview'!$B$26)-(Z122*'Overview'!$B$27)-(AA122*'Overview'!$B$28))/5*100,0)))</x:f>
        <x:v>65</x:v>
      </x:c>
      <x:c r="AL122" s="53" t="str">
        <x:v>Evidence of capability, not merely course completion.</x:v>
      </x:c>
    </x:row>
    <x:row r="123">
      <x:c r="A123" s="26" t="str">
        <x:v>PSP-120</x:v>
      </x:c>
      <x:c r="B123" s="26" t="str">
        <x:v>METH|ARCH|OPS</x:v>
      </x:c>
      <x:c r="C123" s="26" t="str">
        <x:v>practical science release manifest and restore evidence</x:v>
      </x:c>
      <x:c r="D123" s="26" t="str">
        <x:v>Kit owner/stewardship group</x:v>
      </x:c>
      <x:c r="E123" s="26" t="str">
        <x:v>Практический источник для групп METH|ARCH|OPS</x:v>
      </x:c>
      <x:c r="F123" s="26" t="str">
        <x:v>local://autonomous-life-kit</x:v>
      </x:c>
      <x:c r="G123" s="26" t="str">
        <x:v>local://autonomous-life-kit</x:v>
      </x:c>
      <x:c r="H123" s="26" t="str">
        <x:v>local://autonomous-life-kit</x:v>
      </x:c>
      <x:c r="I123" s="26" t="str">
        <x:v>locally authored metadata</x:v>
      </x:c>
      <x:c r="J123" s="26" t="str">
        <x:v>ru</x:v>
      </x:c>
      <x:c r="K123" s="26" t="str">
        <x:v>International/reference</x:v>
      </x:c>
      <x:c r="L123" s="26" t="str">
        <x:v>CSV/JSON/TXT</x:v>
      </x:c>
      <x:c r="M123" s="26" t="str">
        <x:v>generate deterministic release, hashes, seed lock and restore log</x:v>
      </x:c>
      <x:c r="N123" s="26" t="str">
        <x:v>L0</x:v>
      </x:c>
      <x:c r="O123" s="26" t="str">
        <x:v>S0_OBSERVE_READ</x:v>
      </x:c>
      <x:c r="P123" s="26" t="str">
        <x:v>ANNUAL_OR_EDITION</x:v>
      </x:c>
      <x:c r="Q123" s="26" t="n">
        <x:v>5</x:v>
      </x:c>
      <x:c r="R123" s="26" t="n">
        <x:v>5</x:v>
      </x:c>
      <x:c r="S123" s="26" t="n">
        <x:v>5</x:v>
      </x:c>
      <x:c r="T123" s="26" t="n">
        <x:v>5</x:v>
      </x:c>
      <x:c r="U123" s="26" t="n">
        <x:v>5</x:v>
      </x:c>
      <x:c r="V123" s="26" t="n">
        <x:v>5</x:v>
      </x:c>
      <x:c r="W123" s="26" t="n">
        <x:v>5</x:v>
      </x:c>
      <x:c r="X123" s="26" t="n">
        <x:v>5</x:v>
      </x:c>
      <x:c r="Y123" s="26" t="n">
        <x:v>0</x:v>
      </x:c>
      <x:c r="Z123" s="26" t="n">
        <x:v>1</x:v>
      </x:c>
      <x:c r="AA123" s="26" t="n">
        <x:v>0</x:v>
      </x:c>
      <x:c r="AB123" s="26" t="str">
        <x:v>CANDIDATE</x:v>
      </x:c>
      <x:c r="AC123" s="26" t="str">
        <x:v>NOT_CREATED</x:v>
      </x:c>
      <x:c r="AD123" s="26" t="str">
        <x:v>LOCAL_AUTHORING_REQUIRED</x:v>
      </x:c>
      <x:c r="AE123" s="26" t="str">
        <x:v>NOT_REVIEWED</x:v>
      </x:c>
      <x:c r="AF123" s="26" t="str">
        <x:v>NOT_TESTED</x:v>
      </x:c>
      <x:c r="AG123" s="26" t="str"/>
      <x:c r="AH123" s="26" t="str"/>
      <x:c r="AI123" s="26" t="str"/>
      <x:c r="AJ123" s="26" t="str"/>
      <x:c r="AK123" s="57" t="n">
        <x:f>MAX(0,MIN(100,ROUND(((Q123*'Overview'!$B$18)+(R123*'Overview'!$B$19)+(S123*'Overview'!$B$20)+(T123*'Overview'!$B$21)+(U123*'Overview'!$B$22)+(V123*'Overview'!$B$23)+(W123*'Overview'!$B$24)+(X123*'Overview'!$B$25)-(Y123*'Overview'!$B$26)-(Z123*'Overview'!$B$27)-(AA123*'Overview'!$B$28))/5*100,0)))</x:f>
        <x:v>98</x:v>
      </x:c>
      <x:c r="AL123" s="26" t="str">
        <x:v>This release supplies the framework only; external payload remains absent.</x:v>
      </x:c>
    </x:row>
    <x:row r="124">
      <x:c r="A124" s="53" t="str">
        <x:v>SUP-PHY-001</x:v>
      </x:c>
      <x:c r="B124" s="53" t="str">
        <x:v>MATH|METH</x:v>
      </x:c>
      <x:c r="C124" s="53" t="str">
        <x:v>SI Brochure 9th edition version 3.02</x:v>
      </x:c>
      <x:c r="D124" s="53" t="str">
        <x:v>Bureau International des Poids et Mesures</x:v>
      </x:c>
      <x:c r="E124" s="53" t="str">
        <x:v>Практический источник для групп MATH|METH</x:v>
      </x:c>
      <x:c r="F124" s="53" t="str">
        <x:v>https://www.bipm.org/documents/20126/41483022/SI-Brochure-9.pdf</x:v>
      </x:c>
      <x:c r="G124" s="53" t="str">
        <x:v>https://www.bipm.org/documents/20126/41483022/SI-Brochure-9.pdf</x:v>
      </x:c>
      <x:c r="H124" s="53" t="str">
        <x:v>https://www.bipm.org/documents/20126/41483022/SI-Brochure-9.pdf</x:v>
      </x:c>
      <x:c r="I124" s="53" t="str">
        <x:v>CC BY 4.0 is printed in the publication; preserve attribution URL and change notice; canonical base for SI definitions</x:v>
      </x:c>
      <x:c r="J124" s="53" t="str">
        <x:v>EN;FR</x:v>
      </x:c>
      <x:c r="K124" s="53" t="str">
        <x:v>International/reference</x:v>
      </x:c>
      <x:c r="L124" s="53" t="str">
        <x:v>PDF</x:v>
      </x:c>
      <x:c r="M124" s="53" t="str">
        <x:v>Download the official versioned PDF; keep license page and SHA-256</x:v>
      </x:c>
      <x:c r="N124" s="53" t="str">
        <x:v>L1</x:v>
      </x:c>
      <x:c r="O124" s="53" t="str">
        <x:v>S0_OBSERVE_READ</x:v>
      </x:c>
      <x:c r="P124" s="53" t="str">
        <x:v>ANNUAL_OR_EDITION</x:v>
      </x:c>
      <x:c r="Q124" s="53" t="n">
        <x:v>5</x:v>
      </x:c>
      <x:c r="R124" s="53" t="n">
        <x:v>4</x:v>
      </x:c>
      <x:c r="S124" s="53" t="n">
        <x:v>4</x:v>
      </x:c>
      <x:c r="T124" s="53" t="n">
        <x:v>4</x:v>
      </x:c>
      <x:c r="U124" s="53" t="n">
        <x:v>4</x:v>
      </x:c>
      <x:c r="V124" s="53" t="n">
        <x:v>3</x:v>
      </x:c>
      <x:c r="W124" s="53" t="n">
        <x:v>2</x:v>
      </x:c>
      <x:c r="X124" s="53" t="n">
        <x:v>3</x:v>
      </x:c>
      <x:c r="Y124" s="53" t="n">
        <x:v>0</x:v>
      </x:c>
      <x:c r="Z124" s="53" t="n">
        <x:v>2</x:v>
      </x:c>
      <x:c r="AA124" s="53" t="n">
        <x:v>1</x:v>
      </x:c>
      <x:c r="AB124" s="53" t="str">
        <x:v>CANDIDATE</x:v>
      </x:c>
      <x:c r="AC124" s="53" t="str">
        <x:v>NOT_DOWNLOADED</x:v>
      </x:c>
      <x:c r="AD124" s="53" t="str">
        <x:v>REQUIRES_ITEM_REVIEW</x:v>
      </x:c>
      <x:c r="AE124" s="53" t="str">
        <x:v>NOT_REVIEWED</x:v>
      </x:c>
      <x:c r="AF124" s="53" t="str">
        <x:v>NOT_TESTED</x:v>
      </x:c>
      <x:c r="AG124" s="53" t="str"/>
      <x:c r="AH124" s="53" t="str"/>
      <x:c r="AI124" s="53" t="str"/>
      <x:c r="AJ124" s="53" t="str"/>
      <x:c r="AK124" s="57" t="n">
        <x:f>MAX(0,MIN(100,ROUND(((Q124*'Overview'!$B$18)+(R124*'Overview'!$B$19)+(S124*'Overview'!$B$20)+(T124*'Overview'!$B$21)+(U124*'Overview'!$B$22)+(V124*'Overview'!$B$23)+(W124*'Overview'!$B$24)+(X124*'Overview'!$B$25)-(Y124*'Overview'!$B$26)-(Z124*'Overview'!$B$27)-(AA124*'Overview'!$B$28))/5*100,0)))</x:f>
        <x:v>75</x:v>
      </x:c>
      <x:c r="AL124" s="53" t="str">
        <x:v>[SUPPLEMENTAL_RESEARCH] CC BY 4.0 is printed in the publication; preserve attribution URL and change notice; canonical base for SI definitions</x:v>
      </x:c>
    </x:row>
    <x:row r="125">
      <x:c r="A125" s="26" t="str">
        <x:v>SUP-PHY-002</x:v>
      </x:c>
      <x:c r="B125" s="26" t="str">
        <x:v>METH</x:v>
      </x:c>
      <x:c r="C125" s="26" t="str">
        <x:v>NIST Special Publication 330: The International System of Units</x:v>
      </x:c>
      <x:c r="D125" s="26" t="str">
        <x:v>National Institute of Standards and Technology</x:v>
      </x:c>
      <x:c r="E125" s="26" t="str">
        <x:v>Практический источник для групп METH</x:v>
      </x:c>
      <x:c r="F125" s="26" t="str">
        <x:v>https://www.nist.gov/pml/special-publication-330</x:v>
      </x:c>
      <x:c r="G125" s="26" t="str">
        <x:v>https://www.nist.gov/pml/special-publication-330</x:v>
      </x:c>
      <x:c r="H125" s="26" t="str">
        <x:v>https://www.nist.gov/open/copyright-fair-use-and-licensing-statements-srd-data-software-and-technical-series-publications</x:v>
      </x:c>
      <x:c r="I125" s="26" t="str">
        <x:v>NIST employee-authored technical series is public domain in the US with a worldwide royalty-free reprint right; exclude identified third-party material; use current version history</x:v>
      </x:c>
      <x:c r="J125" s="26" t="str">
        <x:v>EN</x:v>
      </x:c>
      <x:c r="K125" s="26" t="str">
        <x:v>International/reference</x:v>
      </x:c>
      <x:c r="L125" s="26" t="str">
        <x:v>PDF;HTML</x:v>
      </x:c>
      <x:c r="M125" s="26" t="str">
        <x:v>Download the official 2019 PDF and snapshot the version-history HTML</x:v>
      </x:c>
      <x:c r="N125" s="26" t="str">
        <x:v>L1</x:v>
      </x:c>
      <x:c r="O125" s="26" t="str">
        <x:v>S0_OBSERVE_READ</x:v>
      </x:c>
      <x:c r="P125" s="26" t="str">
        <x:v>ANNUAL_OR_EDITION</x:v>
      </x:c>
      <x:c r="Q125" s="26" t="n">
        <x:v>5</x:v>
      </x:c>
      <x:c r="R125" s="26" t="n">
        <x:v>4</x:v>
      </x:c>
      <x:c r="S125" s="26" t="n">
        <x:v>4</x:v>
      </x:c>
      <x:c r="T125" s="26" t="n">
        <x:v>4</x:v>
      </x:c>
      <x:c r="U125" s="26" t="n">
        <x:v>4</x:v>
      </x:c>
      <x:c r="V125" s="26" t="n">
        <x:v>3</x:v>
      </x:c>
      <x:c r="W125" s="26" t="n">
        <x:v>2</x:v>
      </x:c>
      <x:c r="X125" s="26" t="n">
        <x:v>3</x:v>
      </x:c>
      <x:c r="Y125" s="26" t="n">
        <x:v>0</x:v>
      </x:c>
      <x:c r="Z125" s="26" t="n">
        <x:v>2</x:v>
      </x:c>
      <x:c r="AA125" s="26" t="n">
        <x:v>1</x:v>
      </x:c>
      <x:c r="AB125" s="26" t="str">
        <x:v>CANDIDATE</x:v>
      </x:c>
      <x:c r="AC125" s="26" t="str">
        <x:v>NOT_DOWNLOADED</x:v>
      </x:c>
      <x:c r="AD125" s="26" t="str">
        <x:v>REQUIRES_ITEM_REVIEW</x:v>
      </x:c>
      <x:c r="AE125" s="26" t="str">
        <x:v>NOT_REVIEWED</x:v>
      </x:c>
      <x:c r="AF125" s="26" t="str">
        <x:v>NOT_TESTED</x:v>
      </x:c>
      <x:c r="AG125" s="26" t="str"/>
      <x:c r="AH125" s="26" t="str"/>
      <x:c r="AI125" s="26" t="str"/>
      <x:c r="AJ125" s="26" t="str"/>
      <x:c r="AK125" s="57" t="n">
        <x:f>MAX(0,MIN(100,ROUND(((Q125*'Overview'!$B$18)+(R125*'Overview'!$B$19)+(S125*'Overview'!$B$20)+(T125*'Overview'!$B$21)+(U125*'Overview'!$B$22)+(V125*'Overview'!$B$23)+(W125*'Overview'!$B$24)+(X125*'Overview'!$B$25)-(Y125*'Overview'!$B$26)-(Z125*'Overview'!$B$27)-(AA125*'Overview'!$B$28))/5*100,0)))</x:f>
        <x:v>75</x:v>
      </x:c>
      <x:c r="AL125" s="26" t="str">
        <x:v>[SUPPLEMENTAL_RESEARCH] NIST employee-authored technical series is public domain in the US with a worldwide royalty-free reprint right; exclude identified third-party material; use current version history</x:v>
      </x:c>
    </x:row>
    <x:row r="126">
      <x:c r="A126" s="53" t="str">
        <x:v>SUP-PHY-003</x:v>
      </x:c>
      <x:c r="B126" s="53" t="str">
        <x:v>METH</x:v>
      </x:c>
      <x:c r="C126" s="53" t="str">
        <x:v>NIST Special Publication 811: Guide for the Use of SI</x:v>
      </x:c>
      <x:c r="D126" s="53" t="str">
        <x:v>National Institute of Standards and Technology</x:v>
      </x:c>
      <x:c r="E126" s="53" t="str">
        <x:v>Практический источник для групп METH</x:v>
      </x:c>
      <x:c r="F126" s="53" t="str">
        <x:v>https://www.nist.gov/pml/special-publication-811</x:v>
      </x:c>
      <x:c r="G126" s="53" t="str">
        <x:v>https://www.nist.gov/pml/special-publication-811</x:v>
      </x:c>
      <x:c r="H126" s="53" t="str">
        <x:v>https://www.nist.gov/open/copyright-fair-use-and-licensing-statements-srd-data-software-and-technical-series-publications</x:v>
      </x:c>
      <x:c r="I126" s="53" t="str">
        <x:v>Useful for notation and conversion but the official page warns that the 2008 edition was not updated for the 2019 SI; BIPM SI Brochure and SP 330 override conflicts</x:v>
      </x:c>
      <x:c r="J126" s="53" t="str">
        <x:v>EN</x:v>
      </x:c>
      <x:c r="K126" s="53" t="str">
        <x:v>International/reference</x:v>
      </x:c>
      <x:c r="L126" s="53" t="str">
        <x:v>PDF;HTML</x:v>
      </x:c>
      <x:c r="M126" s="53" t="str">
        <x:v>Download official PDF and HTML snapshot</x:v>
      </x:c>
      <x:c r="N126" s="53" t="str">
        <x:v>L1</x:v>
      </x:c>
      <x:c r="O126" s="53" t="str">
        <x:v>S0_OBSERVE_READ</x:v>
      </x:c>
      <x:c r="P126" s="53" t="str">
        <x:v>ANNUAL_OR_EDITION</x:v>
      </x:c>
      <x:c r="Q126" s="53" t="n">
        <x:v>5</x:v>
      </x:c>
      <x:c r="R126" s="53" t="n">
        <x:v>4</x:v>
      </x:c>
      <x:c r="S126" s="53" t="n">
        <x:v>4</x:v>
      </x:c>
      <x:c r="T126" s="53" t="n">
        <x:v>4</x:v>
      </x:c>
      <x:c r="U126" s="53" t="n">
        <x:v>4</x:v>
      </x:c>
      <x:c r="V126" s="53" t="n">
        <x:v>3</x:v>
      </x:c>
      <x:c r="W126" s="53" t="n">
        <x:v>2</x:v>
      </x:c>
      <x:c r="X126" s="53" t="n">
        <x:v>3</x:v>
      </x:c>
      <x:c r="Y126" s="53" t="n">
        <x:v>0</x:v>
      </x:c>
      <x:c r="Z126" s="53" t="n">
        <x:v>2</x:v>
      </x:c>
      <x:c r="AA126" s="53" t="n">
        <x:v>1</x:v>
      </x:c>
      <x:c r="AB126" s="53" t="str">
        <x:v>CANDIDATE</x:v>
      </x:c>
      <x:c r="AC126" s="53" t="str">
        <x:v>NOT_DOWNLOADED</x:v>
      </x:c>
      <x:c r="AD126" s="53" t="str">
        <x:v>REQUIRES_ITEM_REVIEW</x:v>
      </x:c>
      <x:c r="AE126" s="53" t="str">
        <x:v>NOT_REVIEWED</x:v>
      </x:c>
      <x:c r="AF126" s="53" t="str">
        <x:v>NOT_TESTED</x:v>
      </x:c>
      <x:c r="AG126" s="53" t="str"/>
      <x:c r="AH126" s="53" t="str"/>
      <x:c r="AI126" s="53" t="str"/>
      <x:c r="AJ126" s="53" t="str"/>
      <x:c r="AK126" s="57" t="n">
        <x:f>MAX(0,MIN(100,ROUND(((Q126*'Overview'!$B$18)+(R126*'Overview'!$B$19)+(S126*'Overview'!$B$20)+(T126*'Overview'!$B$21)+(U126*'Overview'!$B$22)+(V126*'Overview'!$B$23)+(W126*'Overview'!$B$24)+(X126*'Overview'!$B$25)-(Y126*'Overview'!$B$26)-(Z126*'Overview'!$B$27)-(AA126*'Overview'!$B$28))/5*100,0)))</x:f>
        <x:v>75</x:v>
      </x:c>
      <x:c r="AL126" s="53" t="str">
        <x:v>[SUPPLEMENTAL_RESEARCH] Useful for notation and conversion but the official page warns that the 2008 edition was not updated for the 2019 SI; BIPM SI Brochure and SP 330 override conflicts</x:v>
      </x:c>
    </x:row>
    <x:row r="127">
      <x:c r="A127" s="26" t="str">
        <x:v>SUP-PHY-004</x:v>
      </x:c>
      <x:c r="B127" s="26" t="str">
        <x:v>MATH|METH</x:v>
      </x:c>
      <x:c r="C127" s="26" t="str">
        <x:v>NIST Technical Note 1297: Evaluating and Expressing Measurement Uncertainty</x:v>
      </x:c>
      <x:c r="D127" s="26" t="str">
        <x:v>National Institute of Standards and Technology</x:v>
      </x:c>
      <x:c r="E127" s="26" t="str">
        <x:v>Практический источник для групп MATH|METH</x:v>
      </x:c>
      <x:c r="F127" s="26" t="str">
        <x:v>https://www.nist.gov/pml/nist-technical-note-1297</x:v>
      </x:c>
      <x:c r="G127" s="26" t="str">
        <x:v>https://www.nist.gov/pml/nist-technical-note-1297</x:v>
      </x:c>
      <x:c r="H127" s="26" t="str">
        <x:v>https://www.nist.gov/open/copyright-fair-use-and-licensing-statements-srd-data-software-and-technical-series-publications</x:v>
      </x:c>
      <x:c r="I127" s="26" t="str">
        <x:v>Foundational uncertainty guide; 1994 publication and not a substitute for current method-specific or accreditation requirements</x:v>
      </x:c>
      <x:c r="J127" s="26" t="str">
        <x:v>EN</x:v>
      </x:c>
      <x:c r="K127" s="26" t="str">
        <x:v>International/reference</x:v>
      </x:c>
      <x:c r="L127" s="26" t="str">
        <x:v>PDF;HTML</x:v>
      </x:c>
      <x:c r="M127" s="26" t="str">
        <x:v>Download official PDF and HTML; record edition and page update date</x:v>
      </x:c>
      <x:c r="N127" s="26" t="str">
        <x:v>L1</x:v>
      </x:c>
      <x:c r="O127" s="26" t="str">
        <x:v>S1_LOW_RISK_HOUSEHOLD</x:v>
      </x:c>
      <x:c r="P127" s="26" t="str">
        <x:v>ANNUAL_OR_EDITION</x:v>
      </x:c>
      <x:c r="Q127" s="26" t="n">
        <x:v>5</x:v>
      </x:c>
      <x:c r="R127" s="26" t="n">
        <x:v>4</x:v>
      </x:c>
      <x:c r="S127" s="26" t="n">
        <x:v>4</x:v>
      </x:c>
      <x:c r="T127" s="26" t="n">
        <x:v>4</x:v>
      </x:c>
      <x:c r="U127" s="26" t="n">
        <x:v>4</x:v>
      </x:c>
      <x:c r="V127" s="26" t="n">
        <x:v>3</x:v>
      </x:c>
      <x:c r="W127" s="26" t="n">
        <x:v>2</x:v>
      </x:c>
      <x:c r="X127" s="26" t="n">
        <x:v>3</x:v>
      </x:c>
      <x:c r="Y127" s="26" t="n">
        <x:v>0</x:v>
      </x:c>
      <x:c r="Z127" s="26" t="n">
        <x:v>2</x:v>
      </x:c>
      <x:c r="AA127" s="26" t="n">
        <x:v>1</x:v>
      </x:c>
      <x:c r="AB127" s="26" t="str">
        <x:v>CANDIDATE</x:v>
      </x:c>
      <x:c r="AC127" s="26" t="str">
        <x:v>NOT_DOWNLOADED</x:v>
      </x:c>
      <x:c r="AD127" s="26" t="str">
        <x:v>REQUIRES_ITEM_REVIEW</x:v>
      </x:c>
      <x:c r="AE127" s="26" t="str">
        <x:v>NOT_REVIEWED</x:v>
      </x:c>
      <x:c r="AF127" s="26" t="str">
        <x:v>NOT_TESTED</x:v>
      </x:c>
      <x:c r="AG127" s="26" t="str"/>
      <x:c r="AH127" s="26" t="str"/>
      <x:c r="AI127" s="26" t="str"/>
      <x:c r="AJ127" s="26" t="str"/>
      <x:c r="AK127" s="57" t="n">
        <x:f>MAX(0,MIN(100,ROUND(((Q127*'Overview'!$B$18)+(R127*'Overview'!$B$19)+(S127*'Overview'!$B$20)+(T127*'Overview'!$B$21)+(U127*'Overview'!$B$22)+(V127*'Overview'!$B$23)+(W127*'Overview'!$B$24)+(X127*'Overview'!$B$25)-(Y127*'Overview'!$B$26)-(Z127*'Overview'!$B$27)-(AA127*'Overview'!$B$28))/5*100,0)))</x:f>
        <x:v>75</x:v>
      </x:c>
      <x:c r="AL127" s="26" t="str">
        <x:v>[SUPPLEMENTAL_RESEARCH] Foundational uncertainty guide; 1994 publication and not a substitute for current method-specific or accreditation requirements</x:v>
      </x:c>
    </x:row>
    <x:row r="128">
      <x:c r="A128" s="53" t="str">
        <x:v>SUP-PHY-005</x:v>
      </x:c>
      <x:c r="B128" s="53" t="str">
        <x:v>METH</x:v>
      </x:c>
      <x:c r="C128" s="53" t="str">
        <x:v>NIST Handbook 44 current edition</x:v>
      </x:c>
      <x:c r="D128" s="53" t="str">
        <x:v>National Institute of Standards and Technology</x:v>
      </x:c>
      <x:c r="E128" s="53" t="str">
        <x:v>Практический источник для групп METH</x:v>
      </x:c>
      <x:c r="F128" s="53" t="str">
        <x:v>https://www.nist.gov/pml/owm/nist-handbook-44-current-edition</x:v>
      </x:c>
      <x:c r="G128" s="53" t="str">
        <x:v>https://www.nist.gov/pml/owm/nist-handbook-44-current-edition</x:v>
      </x:c>
      <x:c r="H128" s="53" t="str">
        <x:v>https://www.nist.gov/open/copyright-fair-use-and-licensing-statements-srd-data-software-and-technical-series-publications</x:v>
      </x:c>
      <x:c r="I128" s="53" t="str">
        <x:v>US legal-metrology reference only; not Portuguese law; refresh annually and do not use it to self-certify commercial measuring equipment</x:v>
      </x:c>
      <x:c r="J128" s="53" t="str">
        <x:v>EN</x:v>
      </x:c>
      <x:c r="K128" s="53" t="str">
        <x:v>International/reference</x:v>
      </x:c>
      <x:c r="L128" s="53" t="str">
        <x:v>PDF;DOCX</x:v>
      </x:c>
      <x:c r="M128" s="53" t="str">
        <x:v>Download current complete PDF plus official section DOCX files and edition metadata</x:v>
      </x:c>
      <x:c r="N128" s="53" t="str">
        <x:v>L3</x:v>
      </x:c>
      <x:c r="O128" s="53" t="str">
        <x:v>S3_LICENSED_PROFESSIONAL</x:v>
      </x:c>
      <x:c r="P128" s="53" t="str">
        <x:v>ANNUAL_OR_EDITION</x:v>
      </x:c>
      <x:c r="Q128" s="53" t="n">
        <x:v>3</x:v>
      </x:c>
      <x:c r="R128" s="53" t="n">
        <x:v>4</x:v>
      </x:c>
      <x:c r="S128" s="53" t="n">
        <x:v>3</x:v>
      </x:c>
      <x:c r="T128" s="53" t="n">
        <x:v>4</x:v>
      </x:c>
      <x:c r="U128" s="53" t="n">
        <x:v>3</x:v>
      </x:c>
      <x:c r="V128" s="53" t="n">
        <x:v>3</x:v>
      </x:c>
      <x:c r="W128" s="53" t="n">
        <x:v>2</x:v>
      </x:c>
      <x:c r="X128" s="53" t="n">
        <x:v>3</x:v>
      </x:c>
      <x:c r="Y128" s="53" t="n">
        <x:v>4</x:v>
      </x:c>
      <x:c r="Z128" s="53" t="n">
        <x:v>2</x:v>
      </x:c>
      <x:c r="AA128" s="53" t="n">
        <x:v>3</x:v>
      </x:c>
      <x:c r="AB128" s="53" t="str">
        <x:v>CANDIDATE</x:v>
      </x:c>
      <x:c r="AC128" s="53" t="str">
        <x:v>NOT_DOWNLOADED</x:v>
      </x:c>
      <x:c r="AD128" s="53" t="str">
        <x:v>REQUIRES_ITEM_REVIEW</x:v>
      </x:c>
      <x:c r="AE128" s="53" t="str">
        <x:v>NOT_REVIEWED</x:v>
      </x:c>
      <x:c r="AF128" s="53" t="str">
        <x:v>NOT_TESTED</x:v>
      </x:c>
      <x:c r="AG128" s="53" t="str"/>
      <x:c r="AH128" s="53" t="str"/>
      <x:c r="AI128" s="53" t="str"/>
      <x:c r="AJ128" s="53" t="str"/>
      <x:c r="AK128" s="57" t="n">
        <x:f>MAX(0,MIN(100,ROUND(((Q128*'Overview'!$B$18)+(R128*'Overview'!$B$19)+(S128*'Overview'!$B$20)+(T128*'Overview'!$B$21)+(U128*'Overview'!$B$22)+(V128*'Overview'!$B$23)+(W128*'Overview'!$B$24)+(X128*'Overview'!$B$25)-(Y128*'Overview'!$B$26)-(Z128*'Overview'!$B$27)-(AA128*'Overview'!$B$28))/5*100,0)))</x:f>
        <x:v>46</x:v>
      </x:c>
      <x:c r="AL128" s="53" t="str">
        <x:v>[SUPPLEMENTAL_RESEARCH] US legal-metrology reference only; not Portuguese law; refresh annually and do not use it to self-certify commercial measuring equipment</x:v>
      </x:c>
    </x:row>
    <x:row r="129">
      <x:c r="A129" s="26" t="str">
        <x:v>SUP-PHY-006</x:v>
      </x:c>
      <x:c r="B129" s="26" t="str">
        <x:v>METH</x:v>
      </x:c>
      <x:c r="C129" s="26" t="str">
        <x:v>NIST/SEMATECH e-Handbook of Statistical Methods</x:v>
      </x:c>
      <x:c r="D129" s="26" t="str">
        <x:v>National Institute of Standards and Technology</x:v>
      </x:c>
      <x:c r="E129" s="26" t="str">
        <x:v>Практический источник для групп METH</x:v>
      </x:c>
      <x:c r="F129" s="26" t="str">
        <x:v>https://www.itl.nist.gov/div898/handbook/</x:v>
      </x:c>
      <x:c r="G129" s="26" t="str">
        <x:v>https://www.itl.nist.gov/div898/handbook/</x:v>
      </x:c>
      <x:c r="H129" s="26" t="str">
        <x:v>https://www.itl.nist.gov/div898/handbook/cd.htm</x:v>
      </x:c>
      <x:c r="I129" s="26" t="str">
        <x:v>Official download page explicitly supports making copies; preserve NIST attribution and third-party notices; verify local links and examples</x:v>
      </x:c>
      <x:c r="J129" s="26" t="str">
        <x:v>EN</x:v>
      </x:c>
      <x:c r="K129" s="26" t="str">
        <x:v>International/reference</x:v>
      </x:c>
      <x:c r="L129" s="26" t="str">
        <x:v>HTML;ZIP;PDF;Dataplot source/examples</x:v>
      </x:c>
      <x:c r="M129" s="26" t="str">
        <x:v>Use the official downloadable ZIP and chapter PDFs; archive Dataplot examples and local start page</x:v>
      </x:c>
      <x:c r="N129" s="26" t="str">
        <x:v>L1</x:v>
      </x:c>
      <x:c r="O129" s="26" t="str">
        <x:v>S0_OBSERVE_READ</x:v>
      </x:c>
      <x:c r="P129" s="26" t="str">
        <x:v>ANNUAL_OR_EDITION</x:v>
      </x:c>
      <x:c r="Q129" s="26" t="n">
        <x:v>5</x:v>
      </x:c>
      <x:c r="R129" s="26" t="n">
        <x:v>4</x:v>
      </x:c>
      <x:c r="S129" s="26" t="n">
        <x:v>4</x:v>
      </x:c>
      <x:c r="T129" s="26" t="n">
        <x:v>4</x:v>
      </x:c>
      <x:c r="U129" s="26" t="n">
        <x:v>4</x:v>
      </x:c>
      <x:c r="V129" s="26" t="n">
        <x:v>3</x:v>
      </x:c>
      <x:c r="W129" s="26" t="n">
        <x:v>2</x:v>
      </x:c>
      <x:c r="X129" s="26" t="n">
        <x:v>3</x:v>
      </x:c>
      <x:c r="Y129" s="26" t="n">
        <x:v>0</x:v>
      </x:c>
      <x:c r="Z129" s="26" t="n">
        <x:v>2</x:v>
      </x:c>
      <x:c r="AA129" s="26" t="n">
        <x:v>1</x:v>
      </x:c>
      <x:c r="AB129" s="26" t="str">
        <x:v>CANDIDATE</x:v>
      </x:c>
      <x:c r="AC129" s="26" t="str">
        <x:v>NOT_DOWNLOADED</x:v>
      </x:c>
      <x:c r="AD129" s="26" t="str">
        <x:v>REQUIRES_ITEM_REVIEW</x:v>
      </x:c>
      <x:c r="AE129" s="26" t="str">
        <x:v>NOT_REVIEWED</x:v>
      </x:c>
      <x:c r="AF129" s="26" t="str">
        <x:v>NOT_TESTED</x:v>
      </x:c>
      <x:c r="AG129" s="26" t="str"/>
      <x:c r="AH129" s="26" t="str"/>
      <x:c r="AI129" s="26" t="str"/>
      <x:c r="AJ129" s="26" t="str"/>
      <x:c r="AK129" s="57" t="n">
        <x:f>MAX(0,MIN(100,ROUND(((Q129*'Overview'!$B$18)+(R129*'Overview'!$B$19)+(S129*'Overview'!$B$20)+(T129*'Overview'!$B$21)+(U129*'Overview'!$B$22)+(V129*'Overview'!$B$23)+(W129*'Overview'!$B$24)+(X129*'Overview'!$B$25)-(Y129*'Overview'!$B$26)-(Z129*'Overview'!$B$27)-(AA129*'Overview'!$B$28))/5*100,0)))</x:f>
        <x:v>75</x:v>
      </x:c>
      <x:c r="AL129" s="26" t="str">
        <x:v>[SUPPLEMENTAL_RESEARCH] Official download page explicitly supports making copies; preserve NIST attribution and third-party notices; verify local links and examples</x:v>
      </x:c>
    </x:row>
    <x:row r="130">
      <x:c r="A130" s="53" t="str">
        <x:v>SUP-PHY-007</x:v>
      </x:c>
      <x:c r="B130" s="53" t="str">
        <x:v>MATH|METH</x:v>
      </x:c>
      <x:c r="C130" s="53" t="str">
        <x:v>JCGM 100: Evaluation of measurement data - Guide to the expression of uncertainty in measurement</x:v>
      </x:c>
      <x:c r="D130" s="53" t="str">
        <x:v>Joint Committee for Guides in Metrology via BIPM</x:v>
      </x:c>
      <x:c r="E130" s="53" t="str">
        <x:v>Практический источник для групп MATH|METH</x:v>
      </x:c>
      <x:c r="F130" s="53" t="str">
        <x:v>https://www.bipm.org/documents/20126/2071204/JCGM_100_2008_E.pdf</x:v>
      </x:c>
      <x:c r="G130" s="53" t="str">
        <x:v>https://www.bipm.org/documents/20126/2071204/JCGM_100_2008_E.pdf</x:v>
      </x:c>
      <x:c r="H130" s="53" t="str">
        <x:v>https://www.bipm.org/documents/20126/2071204/JCGM_100_2008_E.pdf</x:v>
      </x:c>
      <x:c r="I130" s="53" t="str">
        <x:v>Free official download but JCGM copyright notice restricts reproduction rebranding public issue sale broadcast and online use; redistribution or translation requires BIPM permission</x:v>
      </x:c>
      <x:c r="J130" s="53" t="str">
        <x:v>EN</x:v>
      </x:c>
      <x:c r="K130" s="53" t="str">
        <x:v>International/reference</x:v>
      </x:c>
      <x:c r="L130" s="53" t="str">
        <x:v>PDF</x:v>
      </x:c>
      <x:c r="M130" s="53" t="str">
        <x:v>Keep a private license-controlled copy of the official PDF; no repackaging translation or public mirror</x:v>
      </x:c>
      <x:c r="N130" s="53" t="str">
        <x:v>L4</x:v>
      </x:c>
      <x:c r="O130" s="53" t="str">
        <x:v>S3_LICENSED_PROFESSIONAL</x:v>
      </x:c>
      <x:c r="P130" s="53" t="str">
        <x:v>ANNUAL_OR_EDITION</x:v>
      </x:c>
      <x:c r="Q130" s="53" t="n">
        <x:v>3</x:v>
      </x:c>
      <x:c r="R130" s="53" t="n">
        <x:v>4</x:v>
      </x:c>
      <x:c r="S130" s="53" t="n">
        <x:v>3</x:v>
      </x:c>
      <x:c r="T130" s="53" t="n">
        <x:v>4</x:v>
      </x:c>
      <x:c r="U130" s="53" t="n">
        <x:v>2</x:v>
      </x:c>
      <x:c r="V130" s="53" t="n">
        <x:v>1</x:v>
      </x:c>
      <x:c r="W130" s="53" t="n">
        <x:v>2</x:v>
      </x:c>
      <x:c r="X130" s="53" t="n">
        <x:v>3</x:v>
      </x:c>
      <x:c r="Y130" s="53" t="n">
        <x:v>4</x:v>
      </x:c>
      <x:c r="Z130" s="53" t="n">
        <x:v>2</x:v>
      </x:c>
      <x:c r="AA130" s="53" t="n">
        <x:v>5</x:v>
      </x:c>
      <x:c r="AB130" s="53" t="str">
        <x:v>CANDIDATE</x:v>
      </x:c>
      <x:c r="AC130" s="53" t="str">
        <x:v>NOT_DOWNLOADED</x:v>
      </x:c>
      <x:c r="AD130" s="53" t="str">
        <x:v>REFERENCE_ONLY_NO_COPY</x:v>
      </x:c>
      <x:c r="AE130" s="53" t="str">
        <x:v>NOT_REVIEWED</x:v>
      </x:c>
      <x:c r="AF130" s="53" t="str">
        <x:v>NOT_TESTED</x:v>
      </x:c>
      <x:c r="AG130" s="53" t="str"/>
      <x:c r="AH130" s="53" t="str"/>
      <x:c r="AI130" s="53" t="str"/>
      <x:c r="AJ130" s="53" t="str"/>
      <x:c r="AK130" s="57" t="n">
        <x:f>MAX(0,MIN(100,ROUND(((Q130*'Overview'!$B$18)+(R130*'Overview'!$B$19)+(S130*'Overview'!$B$20)+(T130*'Overview'!$B$21)+(U130*'Overview'!$B$22)+(V130*'Overview'!$B$23)+(W130*'Overview'!$B$24)+(X130*'Overview'!$B$25)-(Y130*'Overview'!$B$26)-(Z130*'Overview'!$B$27)-(AA130*'Overview'!$B$28))/5*100,0)))</x:f>
        <x:v>38</x:v>
      </x:c>
      <x:c r="AL130" s="53" t="str">
        <x:v>[SUPPLEMENTAL_RESEARCH] Free official download but JCGM copyright notice restricts reproduction rebranding public issue sale broadcast and online use; redistribution or translation requires BIPM permission</x:v>
      </x:c>
    </x:row>
    <x:row r="131">
      <x:c r="A131" s="26" t="str">
        <x:v>SUP-PHY-008</x:v>
      </x:c>
      <x:c r="B131" s="26" t="str">
        <x:v>MATH|METH</x:v>
      </x:c>
      <x:c r="C131" s="26" t="str">
        <x:v>JCGM 200: International vocabulary of metrology</x:v>
      </x:c>
      <x:c r="D131" s="26" t="str">
        <x:v>Joint Committee for Guides in Metrology via BIPM</x:v>
      </x:c>
      <x:c r="E131" s="26" t="str">
        <x:v>Практический источник для групп MATH|METH</x:v>
      </x:c>
      <x:c r="F131" s="26" t="str">
        <x:v>https://www.bipm.org/en/doi/10.59161/jcgm200-2012</x:v>
      </x:c>
      <x:c r="G131" s="26" t="str">
        <x:v>https://www.bipm.org/en/doi/10.59161/jcgm200-2012</x:v>
      </x:c>
      <x:c r="H131" s="26" t="str">
        <x:v>https://www.bipm.org/documents/20126/2071204/JCGM_200_2012.pdf</x:v>
      </x:c>
      <x:c r="I131" s="26" t="str">
        <x:v>Same restrictive JCGM copyright family as GUM; do not translate redistribute or expose through a public corpus without permission</x:v>
      </x:c>
      <x:c r="J131" s="26" t="str">
        <x:v>EN;FR</x:v>
      </x:c>
      <x:c r="K131" s="26" t="str">
        <x:v>International/reference</x:v>
      </x:c>
      <x:c r="L131" s="26" t="str">
        <x:v>PDF</x:v>
      </x:c>
      <x:c r="M131" s="26" t="str">
        <x:v>Keep official PDF in a private license-controlled reference vault with DOI metadata</x:v>
      </x:c>
      <x:c r="N131" s="26" t="str">
        <x:v>L4</x:v>
      </x:c>
      <x:c r="O131" s="26" t="str">
        <x:v>S0_OBSERVE_READ</x:v>
      </x:c>
      <x:c r="P131" s="26" t="str">
        <x:v>ANNUAL_OR_EDITION</x:v>
      </x:c>
      <x:c r="Q131" s="26" t="n">
        <x:v>3</x:v>
      </x:c>
      <x:c r="R131" s="26" t="n">
        <x:v>4</x:v>
      </x:c>
      <x:c r="S131" s="26" t="n">
        <x:v>3</x:v>
      </x:c>
      <x:c r="T131" s="26" t="n">
        <x:v>4</x:v>
      </x:c>
      <x:c r="U131" s="26" t="n">
        <x:v>2</x:v>
      </x:c>
      <x:c r="V131" s="26" t="n">
        <x:v>1</x:v>
      </x:c>
      <x:c r="W131" s="26" t="n">
        <x:v>2</x:v>
      </x:c>
      <x:c r="X131" s="26" t="n">
        <x:v>3</x:v>
      </x:c>
      <x:c r="Y131" s="26" t="n">
        <x:v>0</x:v>
      </x:c>
      <x:c r="Z131" s="26" t="n">
        <x:v>2</x:v>
      </x:c>
      <x:c r="AA131" s="26" t="n">
        <x:v>5</x:v>
      </x:c>
      <x:c r="AB131" s="26" t="str">
        <x:v>CANDIDATE</x:v>
      </x:c>
      <x:c r="AC131" s="26" t="str">
        <x:v>NOT_DOWNLOADED</x:v>
      </x:c>
      <x:c r="AD131" s="26" t="str">
        <x:v>REFERENCE_ONLY_NO_COPY</x:v>
      </x:c>
      <x:c r="AE131" s="26" t="str">
        <x:v>NOT_REVIEWED</x:v>
      </x:c>
      <x:c r="AF131" s="26" t="str">
        <x:v>NOT_TESTED</x:v>
      </x:c>
      <x:c r="AG131" s="26" t="str"/>
      <x:c r="AH131" s="26" t="str"/>
      <x:c r="AI131" s="26" t="str"/>
      <x:c r="AJ131" s="26" t="str"/>
      <x:c r="AK131" s="57" t="n">
        <x:f>MAX(0,MIN(100,ROUND(((Q131*'Overview'!$B$18)+(R131*'Overview'!$B$19)+(S131*'Overview'!$B$20)+(T131*'Overview'!$B$21)+(U131*'Overview'!$B$22)+(V131*'Overview'!$B$23)+(W131*'Overview'!$B$24)+(X131*'Overview'!$B$25)-(Y131*'Overview'!$B$26)-(Z131*'Overview'!$B$27)-(AA131*'Overview'!$B$28))/5*100,0)))</x:f>
        <x:v>50</x:v>
      </x:c>
      <x:c r="AL131" s="26" t="str">
        <x:v>[SUPPLEMENTAL_RESEARCH] Same restrictive JCGM copyright family as GUM; do not translate redistribute or expose through a public corpus without permission</x:v>
      </x:c>
    </x:row>
    <x:row r="132">
      <x:c r="A132" s="53" t="str">
        <x:v>SUP-PHY-009</x:v>
      </x:c>
      <x:c r="B132" s="53" t="str">
        <x:v>PORT</x:v>
      </x:c>
      <x:c r="C132" s="53" t="str">
        <x:v>Portuguese SI information and official Luso-Brazilian translation shelf</x:v>
      </x:c>
      <x:c r="D132" s="53" t="str">
        <x:v>Instituto Português da Qualidade</x:v>
      </x:c>
      <x:c r="E132" s="53" t="str">
        <x:v>Практический источник для групп PORT</x:v>
      </x:c>
      <x:c r="F132" s="53" t="str">
        <x:v>https://www.ipq.pt/metrologia/sistema-internacional-de-unidades/</x:v>
      </x:c>
      <x:c r="G132" s="53" t="str">
        <x:v>https://www.ipq.pt/metrologia/sistema-internacional-de-unidades/</x:v>
      </x:c>
      <x:c r="H132" s="53" t="str">
        <x:v>https://www.ipq.pt/normalizacao/normas/direitos-de-propriedade-intelectual/</x:v>
      </x:c>
      <x:c r="I132" s="53" t="str">
        <x:v>Portuguese terminology is valuable; the IPQ standards copyright page is restrictive and may not govern every SI translation identically; fail closed on each file's notice</x:v>
      </x:c>
      <x:c r="J132" s="53" t="str">
        <x:v>PT</x:v>
      </x:c>
      <x:c r="K132" s="53" t="str">
        <x:v>Portugal/EU</x:v>
      </x:c>
      <x:c r="L132" s="53" t="str">
        <x:v>HTML;PDF when linked</x:v>
      </x:c>
      <x:c r="M132" s="53" t="str">
        <x:v>Archive the official IPQ page and only the exact linked PDF after item-level rights review</x:v>
      </x:c>
      <x:c r="N132" s="53" t="str">
        <x:v>L1</x:v>
      </x:c>
      <x:c r="O132" s="53" t="str">
        <x:v>S0_OBSERVE_READ</x:v>
      </x:c>
      <x:c r="P132" s="53" t="str">
        <x:v>ANNUAL_OR_EDITION</x:v>
      </x:c>
      <x:c r="Q132" s="53" t="n">
        <x:v>5</x:v>
      </x:c>
      <x:c r="R132" s="53" t="n">
        <x:v>4</x:v>
      </x:c>
      <x:c r="S132" s="53" t="n">
        <x:v>4</x:v>
      </x:c>
      <x:c r="T132" s="53" t="n">
        <x:v>4</x:v>
      </x:c>
      <x:c r="U132" s="53" t="n">
        <x:v>4</x:v>
      </x:c>
      <x:c r="V132" s="53" t="n">
        <x:v>1</x:v>
      </x:c>
      <x:c r="W132" s="53" t="n">
        <x:v>4</x:v>
      </x:c>
      <x:c r="X132" s="53" t="n">
        <x:v>3</x:v>
      </x:c>
      <x:c r="Y132" s="53" t="n">
        <x:v>0</x:v>
      </x:c>
      <x:c r="Z132" s="53" t="n">
        <x:v>2</x:v>
      </x:c>
      <x:c r="AA132" s="53" t="n">
        <x:v>1</x:v>
      </x:c>
      <x:c r="AB132" s="53" t="str">
        <x:v>CANDIDATE</x:v>
      </x:c>
      <x:c r="AC132" s="53" t="str">
        <x:v>NOT_DOWNLOADED</x:v>
      </x:c>
      <x:c r="AD132" s="53" t="str">
        <x:v>REFERENCE_ONLY_NO_COPY</x:v>
      </x:c>
      <x:c r="AE132" s="53" t="str">
        <x:v>NOT_REVIEWED</x:v>
      </x:c>
      <x:c r="AF132" s="53" t="str">
        <x:v>NOT_TESTED</x:v>
      </x:c>
      <x:c r="AG132" s="53" t="str"/>
      <x:c r="AH132" s="53" t="str"/>
      <x:c r="AI132" s="53" t="str"/>
      <x:c r="AJ132" s="53" t="str"/>
      <x:c r="AK132" s="57" t="n">
        <x:f>MAX(0,MIN(100,ROUND(((Q132*'Overview'!$B$18)+(R132*'Overview'!$B$19)+(S132*'Overview'!$B$20)+(T132*'Overview'!$B$21)+(U132*'Overview'!$B$22)+(V132*'Overview'!$B$23)+(W132*'Overview'!$B$24)+(X132*'Overview'!$B$25)-(Y132*'Overview'!$B$26)-(Z132*'Overview'!$B$27)-(AA132*'Overview'!$B$28))/5*100,0)))</x:f>
        <x:v>73</x:v>
      </x:c>
      <x:c r="AL132" s="53" t="str">
        <x:v>[SUPPLEMENTAL_RESEARCH] Portuguese terminology is valuable; the IPQ standards copyright page is restrictive and may not govern every SI translation identically; fail closed on each file's notice</x:v>
      </x:c>
    </x:row>
    <x:row r="133">
      <x:c r="A133" s="26" t="str">
        <x:v>SUP-PHY-010</x:v>
      </x:c>
      <x:c r="B133" s="26" t="str">
        <x:v>PHYS|EDU</x:v>
      </x:c>
      <x:c r="C133" s="26" t="str">
        <x:v>University Physics Volume 1</x:v>
      </x:c>
      <x:c r="D133" s="26" t="str">
        <x:v>OpenStax at Rice University</x:v>
      </x:c>
      <x:c r="E133" s="26" t="str">
        <x:v>Практический источник для групп PHYS|EDU</x:v>
      </x:c>
      <x:c r="F133" s="26" t="str">
        <x:v>https://openstax.org/details/books/university-physics-volume-1</x:v>
      </x:c>
      <x:c r="G133" s="26" t="str">
        <x:v>https://openstax.org/details/books/university-physics-volume-1</x:v>
      </x:c>
      <x:c r="H133" s="26" t="str">
        <x:v>https://help.openstax.org/s/article/Licensing-information-of-OpenStax-textbooks</x:v>
      </x:c>
      <x:c r="I133" s="26" t="str">
        <x:v>Mechanics fluids waves and measurement; current OpenStax licensing page states CC BY-NC-SA 4.0; freeze title-specific notice and exclude third-party/logo material</x:v>
      </x:c>
      <x:c r="J133" s="26" t="str">
        <x:v>EN</x:v>
      </x:c>
      <x:c r="K133" s="26" t="str">
        <x:v>International/reference</x:v>
      </x:c>
      <x:c r="L133" s="26" t="str">
        <x:v>PDF;HTML</x:v>
      </x:c>
      <x:c r="M133" s="26" t="str">
        <x:v>Download the official PDF; preserve per-title license notice attribution and canonical link; optional static HTML capture only if permitted</x:v>
      </x:c>
      <x:c r="N133" s="26" t="str">
        <x:v>L1</x:v>
      </x:c>
      <x:c r="O133" s="26" t="str">
        <x:v>S1_LOW_RISK_HOUSEHOLD</x:v>
      </x:c>
      <x:c r="P133" s="26" t="str">
        <x:v>ANNUAL_OR_EDITION</x:v>
      </x:c>
      <x:c r="Q133" s="26" t="n">
        <x:v>5</x:v>
      </x:c>
      <x:c r="R133" s="26" t="n">
        <x:v>4</x:v>
      </x:c>
      <x:c r="S133" s="26" t="n">
        <x:v>4</x:v>
      </x:c>
      <x:c r="T133" s="26" t="n">
        <x:v>4</x:v>
      </x:c>
      <x:c r="U133" s="26" t="n">
        <x:v>4</x:v>
      </x:c>
      <x:c r="V133" s="26" t="n">
        <x:v>3</x:v>
      </x:c>
      <x:c r="W133" s="26" t="n">
        <x:v>2</x:v>
      </x:c>
      <x:c r="X133" s="26" t="n">
        <x:v>3</x:v>
      </x:c>
      <x:c r="Y133" s="26" t="n">
        <x:v>0</x:v>
      </x:c>
      <x:c r="Z133" s="26" t="n">
        <x:v>2</x:v>
      </x:c>
      <x:c r="AA133" s="26" t="n">
        <x:v>1</x:v>
      </x:c>
      <x:c r="AB133" s="26" t="str">
        <x:v>CANDIDATE</x:v>
      </x:c>
      <x:c r="AC133" s="26" t="str">
        <x:v>NOT_DOWNLOADED</x:v>
      </x:c>
      <x:c r="AD133" s="26" t="str">
        <x:v>REQUIRES_ITEM_REVIEW</x:v>
      </x:c>
      <x:c r="AE133" s="26" t="str">
        <x:v>NOT_REVIEWED</x:v>
      </x:c>
      <x:c r="AF133" s="26" t="str">
        <x:v>NOT_TESTED</x:v>
      </x:c>
      <x:c r="AG133" s="26" t="str"/>
      <x:c r="AH133" s="26" t="str"/>
      <x:c r="AI133" s="26" t="str"/>
      <x:c r="AJ133" s="26" t="str"/>
      <x:c r="AK133" s="57" t="n">
        <x:f>MAX(0,MIN(100,ROUND(((Q133*'Overview'!$B$18)+(R133*'Overview'!$B$19)+(S133*'Overview'!$B$20)+(T133*'Overview'!$B$21)+(U133*'Overview'!$B$22)+(V133*'Overview'!$B$23)+(W133*'Overview'!$B$24)+(X133*'Overview'!$B$25)-(Y133*'Overview'!$B$26)-(Z133*'Overview'!$B$27)-(AA133*'Overview'!$B$28))/5*100,0)))</x:f>
        <x:v>75</x:v>
      </x:c>
      <x:c r="AL133" s="26" t="str">
        <x:v>[SUPPLEMENTAL_RESEARCH] Mechanics fluids waves and measurement; current OpenStax licensing page states CC BY-NC-SA 4.0; freeze title-specific notice and exclude third-party/logo material</x:v>
      </x:c>
    </x:row>
    <x:row r="134">
      <x:c r="A134" s="53" t="str">
        <x:v>SUP-PHY-011</x:v>
      </x:c>
      <x:c r="B134" s="53" t="str">
        <x:v>PHYS|EDU</x:v>
      </x:c>
      <x:c r="C134" s="53" t="str">
        <x:v>University Physics Volume 2</x:v>
      </x:c>
      <x:c r="D134" s="53" t="str">
        <x:v>OpenStax at Rice University</x:v>
      </x:c>
      <x:c r="E134" s="53" t="str">
        <x:v>Практический источник для групп PHYS|EDU</x:v>
      </x:c>
      <x:c r="F134" s="53" t="str">
        <x:v>https://openstax.org/details/books/university-physics-volume-2</x:v>
      </x:c>
      <x:c r="G134" s="53" t="str">
        <x:v>https://openstax.org/details/books/university-physics-volume-2</x:v>
      </x:c>
      <x:c r="H134" s="53" t="str">
        <x:v>https://help.openstax.org/s/article/Licensing-information-of-OpenStax-textbooks</x:v>
      </x:c>
      <x:c r="I134" s="53" t="str">
        <x:v>Thermodynamics electricity and magnetism; restrict practical activation to low-voltage current-limited work; title-specific license and any AI-use notice must be preserved</x:v>
      </x:c>
      <x:c r="J134" s="53" t="str">
        <x:v>EN</x:v>
      </x:c>
      <x:c r="K134" s="53" t="str">
        <x:v>International/reference</x:v>
      </x:c>
      <x:c r="L134" s="53" t="str">
        <x:v>PDF;HTML</x:v>
      </x:c>
      <x:c r="M134" s="53" t="str">
        <x:v>Download official PDF with license and attribution files</x:v>
      </x:c>
      <x:c r="N134" s="53" t="str">
        <x:v>L1</x:v>
      </x:c>
      <x:c r="O134" s="53" t="str">
        <x:v>S1_LOW_RISK_HOUSEHOLD</x:v>
      </x:c>
      <x:c r="P134" s="53" t="str">
        <x:v>ANNUAL_OR_EDITION</x:v>
      </x:c>
      <x:c r="Q134" s="53" t="n">
        <x:v>5</x:v>
      </x:c>
      <x:c r="R134" s="53" t="n">
        <x:v>4</x:v>
      </x:c>
      <x:c r="S134" s="53" t="n">
        <x:v>4</x:v>
      </x:c>
      <x:c r="T134" s="53" t="n">
        <x:v>4</x:v>
      </x:c>
      <x:c r="U134" s="53" t="n">
        <x:v>4</x:v>
      </x:c>
      <x:c r="V134" s="53" t="n">
        <x:v>1</x:v>
      </x:c>
      <x:c r="W134" s="53" t="n">
        <x:v>2</x:v>
      </x:c>
      <x:c r="X134" s="53" t="n">
        <x:v>3</x:v>
      </x:c>
      <x:c r="Y134" s="53" t="n">
        <x:v>0</x:v>
      </x:c>
      <x:c r="Z134" s="53" t="n">
        <x:v>2</x:v>
      </x:c>
      <x:c r="AA134" s="53" t="n">
        <x:v>1</x:v>
      </x:c>
      <x:c r="AB134" s="53" t="str">
        <x:v>CANDIDATE</x:v>
      </x:c>
      <x:c r="AC134" s="53" t="str">
        <x:v>NOT_DOWNLOADED</x:v>
      </x:c>
      <x:c r="AD134" s="53" t="str">
        <x:v>REFERENCE_ONLY_NO_COPY</x:v>
      </x:c>
      <x:c r="AE134" s="53" t="str">
        <x:v>NOT_REVIEWED</x:v>
      </x:c>
      <x:c r="AF134" s="53" t="str">
        <x:v>NOT_TESTED</x:v>
      </x:c>
      <x:c r="AG134" s="53" t="str"/>
      <x:c r="AH134" s="53" t="str"/>
      <x:c r="AI134" s="53" t="str"/>
      <x:c r="AJ134" s="53" t="str"/>
      <x:c r="AK134" s="57" t="n">
        <x:f>MAX(0,MIN(100,ROUND(((Q134*'Overview'!$B$18)+(R134*'Overview'!$B$19)+(S134*'Overview'!$B$20)+(T134*'Overview'!$B$21)+(U134*'Overview'!$B$22)+(V134*'Overview'!$B$23)+(W134*'Overview'!$B$24)+(X134*'Overview'!$B$25)-(Y134*'Overview'!$B$26)-(Z134*'Overview'!$B$27)-(AA134*'Overview'!$B$28))/5*100,0)))</x:f>
        <x:v>71</x:v>
      </x:c>
      <x:c r="AL134" s="53" t="str">
        <x:v>[SUPPLEMENTAL_RESEARCH] Thermodynamics electricity and magnetism; restrict practical activation to low-voltage current-limited work; title-specific license and any AI-use notice must be preserved</x:v>
      </x:c>
    </x:row>
    <x:row r="135">
      <x:c r="A135" s="26" t="str">
        <x:v>SUP-PHY-012</x:v>
      </x:c>
      <x:c r="B135" s="26" t="str">
        <x:v>CHEM|EDU</x:v>
      </x:c>
      <x:c r="C135" s="26" t="str">
        <x:v>Chemistry 2e</x:v>
      </x:c>
      <x:c r="D135" s="26" t="str">
        <x:v>OpenStax at Rice University</x:v>
      </x:c>
      <x:c r="E135" s="26" t="str">
        <x:v>Практический источник для групп CHEM|EDU</x:v>
      </x:c>
      <x:c r="F135" s="26" t="str">
        <x:v>https://openstax.org/details/books/chemistry-2e</x:v>
      </x:c>
      <x:c r="G135" s="26" t="str">
        <x:v>https://openstax.org/details/books/chemistry-2e</x:v>
      </x:c>
      <x:c r="H135" s="26" t="str">
        <x:v>https://openstax.org/books/chemistry-2e/pages/preface</x:v>
      </x:c>
      <x:c r="I135" s="26" t="str">
        <x:v>Current preface identifies CC BY-NC-SA 4.0; archive for theory and hazard literacy only; quarantine reactive synthesis gas pressure energetic and unknown-mixing procedures</x:v>
      </x:c>
      <x:c r="J135" s="26" t="str">
        <x:v>EN</x:v>
      </x:c>
      <x:c r="K135" s="26" t="str">
        <x:v>International/reference</x:v>
      </x:c>
      <x:c r="L135" s="26" t="str">
        <x:v>PDF;HTML</x:v>
      </x:c>
      <x:c r="M135" s="26" t="str">
        <x:v>Download official PDF plus preface/license snapshot</x:v>
      </x:c>
      <x:c r="N135" s="26" t="str">
        <x:v>L1</x:v>
      </x:c>
      <x:c r="O135" s="26" t="str">
        <x:v>S4_REFERENCE_ONLY_PROHIBITED_HOUSEHOLD</x:v>
      </x:c>
      <x:c r="P135" s="26" t="str">
        <x:v>ANNUAL_OR_EDITION</x:v>
      </x:c>
      <x:c r="Q135" s="26" t="n">
        <x:v>5</x:v>
      </x:c>
      <x:c r="R135" s="26" t="n">
        <x:v>4</x:v>
      </x:c>
      <x:c r="S135" s="26" t="n">
        <x:v>4</x:v>
      </x:c>
      <x:c r="T135" s="26" t="n">
        <x:v>4</x:v>
      </x:c>
      <x:c r="U135" s="26" t="n">
        <x:v>4</x:v>
      </x:c>
      <x:c r="V135" s="26" t="n">
        <x:v>3</x:v>
      </x:c>
      <x:c r="W135" s="26" t="n">
        <x:v>2</x:v>
      </x:c>
      <x:c r="X135" s="26" t="n">
        <x:v>3</x:v>
      </x:c>
      <x:c r="Y135" s="26" t="n">
        <x:v>5</x:v>
      </x:c>
      <x:c r="Z135" s="26" t="n">
        <x:v>2</x:v>
      </x:c>
      <x:c r="AA135" s="26" t="n">
        <x:v>1</x:v>
      </x:c>
      <x:c r="AB135" s="26" t="str">
        <x:v>CANDIDATE</x:v>
      </x:c>
      <x:c r="AC135" s="26" t="str">
        <x:v>NOT_DOWNLOADED</x:v>
      </x:c>
      <x:c r="AD135" s="26" t="str">
        <x:v>REQUIRES_ITEM_REVIEW</x:v>
      </x:c>
      <x:c r="AE135" s="26" t="str">
        <x:v>NOT_REVIEWED</x:v>
      </x:c>
      <x:c r="AF135" s="26" t="str">
        <x:v>NOT_TESTED</x:v>
      </x:c>
      <x:c r="AG135" s="26" t="str"/>
      <x:c r="AH135" s="26" t="str"/>
      <x:c r="AI135" s="26" t="str"/>
      <x:c r="AJ135" s="26" t="str"/>
      <x:c r="AK135" s="57" t="n">
        <x:f>MAX(0,MIN(100,ROUND(((Q135*'Overview'!$B$18)+(R135*'Overview'!$B$19)+(S135*'Overview'!$B$20)+(T135*'Overview'!$B$21)+(U135*'Overview'!$B$22)+(V135*'Overview'!$B$23)+(W135*'Overview'!$B$24)+(X135*'Overview'!$B$25)-(Y135*'Overview'!$B$26)-(Z135*'Overview'!$B$27)-(AA135*'Overview'!$B$28))/5*100,0)))</x:f>
        <x:v>60</x:v>
      </x:c>
      <x:c r="AL135" s="26" t="str">
        <x:v>[SUPPLEMENTAL_RESEARCH] Current preface identifies CC BY-NC-SA 4.0; archive for theory and hazard literacy only; quarantine reactive synthesis gas pressure energetic and unknown-mixing procedures</x:v>
      </x:c>
    </x:row>
    <x:row r="136">
      <x:c r="A136" s="53" t="str">
        <x:v>SUP-PHY-013</x:v>
      </x:c>
      <x:c r="B136" s="53" t="str">
        <x:v>MATH|METH|EDU</x:v>
      </x:c>
      <x:c r="C136" s="53" t="str">
        <x:v>Algebra and Trigonometry 2e</x:v>
      </x:c>
      <x:c r="D136" s="53" t="str">
        <x:v>OpenStax at Rice University</x:v>
      </x:c>
      <x:c r="E136" s="53" t="str">
        <x:v>Практический источник для групп MATH|METH|EDU</x:v>
      </x:c>
      <x:c r="F136" s="53" t="str">
        <x:v>https://openstax.org/details/books/algebra-and-trigonometry-2e</x:v>
      </x:c>
      <x:c r="G136" s="53" t="str">
        <x:v>https://openstax.org/details/books/algebra-and-trigonometry-2e</x:v>
      </x:c>
      <x:c r="H136" s="53" t="str">
        <x:v>https://help.openstax.org/s/article/Licensing-information-of-OpenStax-textbooks</x:v>
      </x:c>
      <x:c r="I136" s="53" t="str">
        <x:v>Foundation for surveying circuits mechanics and dimensional calculation; current global licensing page says CC BY-NC-SA 4.0 but keep the exact title notice</x:v>
      </x:c>
      <x:c r="J136" s="53" t="str">
        <x:v>EN</x:v>
      </x:c>
      <x:c r="K136" s="53" t="str">
        <x:v>International/reference</x:v>
      </x:c>
      <x:c r="L136" s="53" t="str">
        <x:v>PDF;HTML</x:v>
      </x:c>
      <x:c r="M136" s="53" t="str">
        <x:v>Download official PDF with title license and attribution manifest</x:v>
      </x:c>
      <x:c r="N136" s="53" t="str">
        <x:v>L1</x:v>
      </x:c>
      <x:c r="O136" s="53" t="str">
        <x:v>S0_OBSERVE_READ</x:v>
      </x:c>
      <x:c r="P136" s="53" t="str">
        <x:v>ANNUAL_OR_EDITION</x:v>
      </x:c>
      <x:c r="Q136" s="53" t="n">
        <x:v>5</x:v>
      </x:c>
      <x:c r="R136" s="53" t="n">
        <x:v>4</x:v>
      </x:c>
      <x:c r="S136" s="53" t="n">
        <x:v>4</x:v>
      </x:c>
      <x:c r="T136" s="53" t="n">
        <x:v>4</x:v>
      </x:c>
      <x:c r="U136" s="53" t="n">
        <x:v>4</x:v>
      </x:c>
      <x:c r="V136" s="53" t="n">
        <x:v>3</x:v>
      </x:c>
      <x:c r="W136" s="53" t="n">
        <x:v>2</x:v>
      </x:c>
      <x:c r="X136" s="53" t="n">
        <x:v>3</x:v>
      </x:c>
      <x:c r="Y136" s="53" t="n">
        <x:v>0</x:v>
      </x:c>
      <x:c r="Z136" s="53" t="n">
        <x:v>2</x:v>
      </x:c>
      <x:c r="AA136" s="53" t="n">
        <x:v>1</x:v>
      </x:c>
      <x:c r="AB136" s="53" t="str">
        <x:v>CANDIDATE</x:v>
      </x:c>
      <x:c r="AC136" s="53" t="str">
        <x:v>NOT_DOWNLOADED</x:v>
      </x:c>
      <x:c r="AD136" s="53" t="str">
        <x:v>REQUIRES_ITEM_REVIEW</x:v>
      </x:c>
      <x:c r="AE136" s="53" t="str">
        <x:v>NOT_REVIEWED</x:v>
      </x:c>
      <x:c r="AF136" s="53" t="str">
        <x:v>NOT_TESTED</x:v>
      </x:c>
      <x:c r="AG136" s="53" t="str"/>
      <x:c r="AH136" s="53" t="str"/>
      <x:c r="AI136" s="53" t="str"/>
      <x:c r="AJ136" s="53" t="str"/>
      <x:c r="AK136" s="57" t="n">
        <x:f>MAX(0,MIN(100,ROUND(((Q136*'Overview'!$B$18)+(R136*'Overview'!$B$19)+(S136*'Overview'!$B$20)+(T136*'Overview'!$B$21)+(U136*'Overview'!$B$22)+(V136*'Overview'!$B$23)+(W136*'Overview'!$B$24)+(X136*'Overview'!$B$25)-(Y136*'Overview'!$B$26)-(Z136*'Overview'!$B$27)-(AA136*'Overview'!$B$28))/5*100,0)))</x:f>
        <x:v>75</x:v>
      </x:c>
      <x:c r="AL136" s="53" t="str">
        <x:v>[SUPPLEMENTAL_RESEARCH] Foundation for surveying circuits mechanics and dimensional calculation; current global licensing page says CC BY-NC-SA 4.0 but keep the exact title notice</x:v>
      </x:c>
    </x:row>
    <x:row r="137">
      <x:c r="A137" s="26" t="str">
        <x:v>SUP-PHY-014</x:v>
      </x:c>
      <x:c r="B137" s="26" t="str">
        <x:v>MATH|METH|EDU</x:v>
      </x:c>
      <x:c r="C137" s="26" t="str">
        <x:v>Introductory Statistics 2e</x:v>
      </x:c>
      <x:c r="D137" s="26" t="str">
        <x:v>OpenStax at Rice University</x:v>
      </x:c>
      <x:c r="E137" s="26" t="str">
        <x:v>Практический источник для групп MATH|METH|EDU</x:v>
      </x:c>
      <x:c r="F137" s="26" t="str">
        <x:v>https://openstax.org/details/books/introductory-statistics-2e</x:v>
      </x:c>
      <x:c r="G137" s="26" t="str">
        <x:v>https://openstax.org/details/books/introductory-statistics-2e</x:v>
      </x:c>
      <x:c r="H137" s="26" t="str">
        <x:v>https://help.openstax.org/s/article/Licensing-information-of-OpenStax-textbooks</x:v>
      </x:c>
      <x:c r="I137" s="26" t="str">
        <x:v>Use for experimental records control charts and uncertainty intuition; not a substitute for method-specific metrology guidance</x:v>
      </x:c>
      <x:c r="J137" s="26" t="str">
        <x:v>EN</x:v>
      </x:c>
      <x:c r="K137" s="26" t="str">
        <x:v>International/reference</x:v>
      </x:c>
      <x:c r="L137" s="26" t="str">
        <x:v>PDF;HTML</x:v>
      </x:c>
      <x:c r="M137" s="26" t="str">
        <x:v>Download official PDF with title license and attribution manifest</x:v>
      </x:c>
      <x:c r="N137" s="26" t="str">
        <x:v>L1</x:v>
      </x:c>
      <x:c r="O137" s="26" t="str">
        <x:v>S0_OBSERVE_READ</x:v>
      </x:c>
      <x:c r="P137" s="26" t="str">
        <x:v>ANNUAL_OR_EDITION</x:v>
      </x:c>
      <x:c r="Q137" s="26" t="n">
        <x:v>5</x:v>
      </x:c>
      <x:c r="R137" s="26" t="n">
        <x:v>4</x:v>
      </x:c>
      <x:c r="S137" s="26" t="n">
        <x:v>4</x:v>
      </x:c>
      <x:c r="T137" s="26" t="n">
        <x:v>4</x:v>
      </x:c>
      <x:c r="U137" s="26" t="n">
        <x:v>4</x:v>
      </x:c>
      <x:c r="V137" s="26" t="n">
        <x:v>3</x:v>
      </x:c>
      <x:c r="W137" s="26" t="n">
        <x:v>2</x:v>
      </x:c>
      <x:c r="X137" s="26" t="n">
        <x:v>3</x:v>
      </x:c>
      <x:c r="Y137" s="26" t="n">
        <x:v>0</x:v>
      </x:c>
      <x:c r="Z137" s="26" t="n">
        <x:v>2</x:v>
      </x:c>
      <x:c r="AA137" s="26" t="n">
        <x:v>1</x:v>
      </x:c>
      <x:c r="AB137" s="26" t="str">
        <x:v>CANDIDATE</x:v>
      </x:c>
      <x:c r="AC137" s="26" t="str">
        <x:v>NOT_DOWNLOADED</x:v>
      </x:c>
      <x:c r="AD137" s="26" t="str">
        <x:v>REQUIRES_ITEM_REVIEW</x:v>
      </x:c>
      <x:c r="AE137" s="26" t="str">
        <x:v>NOT_REVIEWED</x:v>
      </x:c>
      <x:c r="AF137" s="26" t="str">
        <x:v>NOT_TESTED</x:v>
      </x:c>
      <x:c r="AG137" s="26" t="str"/>
      <x:c r="AH137" s="26" t="str"/>
      <x:c r="AI137" s="26" t="str"/>
      <x:c r="AJ137" s="26" t="str"/>
      <x:c r="AK137" s="57" t="n">
        <x:f>MAX(0,MIN(100,ROUND(((Q137*'Overview'!$B$18)+(R137*'Overview'!$B$19)+(S137*'Overview'!$B$20)+(T137*'Overview'!$B$21)+(U137*'Overview'!$B$22)+(V137*'Overview'!$B$23)+(W137*'Overview'!$B$24)+(X137*'Overview'!$B$25)-(Y137*'Overview'!$B$26)-(Z137*'Overview'!$B$27)-(AA137*'Overview'!$B$28))/5*100,0)))</x:f>
        <x:v>75</x:v>
      </x:c>
      <x:c r="AL137" s="26" t="str">
        <x:v>[SUPPLEMENTAL_RESEARCH] Use for experimental records control charts and uncertainty intuition; not a substitute for method-specific metrology guidance</x:v>
      </x:c>
    </x:row>
    <x:row r="138">
      <x:c r="A138" s="53" t="str">
        <x:v>SUP-PHY-015</x:v>
      </x:c>
      <x:c r="B138" s="53" t="str">
        <x:v>PHYS</x:v>
      </x:c>
      <x:c r="C138" s="53" t="str">
        <x:v>8.01SC Classical Mechanics</x:v>
      </x:c>
      <x:c r="D138" s="53" t="str">
        <x:v>MIT OpenCourseWare</x:v>
      </x:c>
      <x:c r="E138" s="53" t="str">
        <x:v>Практический источник для групп PHYS</x:v>
      </x:c>
      <x:c r="F138" s="53" t="str">
        <x:v>https://ocw.mit.edu/courses/8-01sc-classical-mechanics-fall-2016/</x:v>
      </x:c>
      <x:c r="G138" s="53" t="str">
        <x:v>https://ocw.mit.edu/courses/8-01sc-classical-mechanics-fall-2016/</x:v>
      </x:c>
      <x:c r="H138" s="53" t="str">
        <x:v>https://ocw.mit.edu/pages/privacy-and-terms-of-use/</x:v>
      </x:c>
      <x:c r="I138" s="53" t="str">
        <x:v>MIT OCW material is generally CC BY-NC-SA 4.0 but third-party components are excluded; videos increase preservation cost; practicals require low-energy review</x:v>
      </x:c>
      <x:c r="J138" s="53" t="str">
        <x:v>EN</x:v>
      </x:c>
      <x:c r="K138" s="53" t="str">
        <x:v>International/reference</x:v>
      </x:c>
      <x:c r="L138" s="53" t="str">
        <x:v>Course ZIP;HTML;PDF;video;transcripts</x:v>
      </x:c>
      <x:c r="M138" s="53" t="str">
        <x:v>Use the official Download Course package; retain license attribution and third-party-exclusion inventory</x:v>
      </x:c>
      <x:c r="N138" s="53" t="str">
        <x:v>L2</x:v>
      </x:c>
      <x:c r="O138" s="53" t="str">
        <x:v>S1_LOW_RISK_HOUSEHOLD</x:v>
      </x:c>
      <x:c r="P138" s="53" t="str">
        <x:v>ANNUAL_OR_EDITION</x:v>
      </x:c>
      <x:c r="Q138" s="53" t="n">
        <x:v>4</x:v>
      </x:c>
      <x:c r="R138" s="53" t="n">
        <x:v>4</x:v>
      </x:c>
      <x:c r="S138" s="53" t="n">
        <x:v>3</x:v>
      </x:c>
      <x:c r="T138" s="53" t="n">
        <x:v>4</x:v>
      </x:c>
      <x:c r="U138" s="53" t="n">
        <x:v>4</x:v>
      </x:c>
      <x:c r="V138" s="53" t="n">
        <x:v>3</x:v>
      </x:c>
      <x:c r="W138" s="53" t="n">
        <x:v>2</x:v>
      </x:c>
      <x:c r="X138" s="53" t="n">
        <x:v>3</x:v>
      </x:c>
      <x:c r="Y138" s="53" t="n">
        <x:v>0</x:v>
      </x:c>
      <x:c r="Z138" s="53" t="n">
        <x:v>2</x:v>
      </x:c>
      <x:c r="AA138" s="53" t="n">
        <x:v>1</x:v>
      </x:c>
      <x:c r="AB138" s="53" t="str">
        <x:v>CANDIDATE</x:v>
      </x:c>
      <x:c r="AC138" s="53" t="str">
        <x:v>NOT_DOWNLOADED</x:v>
      </x:c>
      <x:c r="AD138" s="53" t="str">
        <x:v>REQUIRES_ITEM_REVIEW</x:v>
      </x:c>
      <x:c r="AE138" s="53" t="str">
        <x:v>NOT_REVIEWED</x:v>
      </x:c>
      <x:c r="AF138" s="53" t="str">
        <x:v>NOT_TESTED</x:v>
      </x:c>
      <x:c r="AG138" s="53" t="str"/>
      <x:c r="AH138" s="53" t="str"/>
      <x:c r="AI138" s="53" t="str"/>
      <x:c r="AJ138" s="53" t="str"/>
      <x:c r="AK138" s="57" t="n">
        <x:f>MAX(0,MIN(100,ROUND(((Q138*'Overview'!$B$18)+(R138*'Overview'!$B$19)+(S138*'Overview'!$B$20)+(T138*'Overview'!$B$21)+(U138*'Overview'!$B$22)+(V138*'Overview'!$B$23)+(W138*'Overview'!$B$24)+(X138*'Overview'!$B$25)-(Y138*'Overview'!$B$26)-(Z138*'Overview'!$B$27)-(AA138*'Overview'!$B$28))/5*100,0)))</x:f>
        <x:v>67</x:v>
      </x:c>
      <x:c r="AL138" s="53" t="str">
        <x:v>[SUPPLEMENTAL_RESEARCH] MIT OCW material is generally CC BY-NC-SA 4.0 but third-party components are excluded; videos increase preservation cost; practicals require low-energy review</x:v>
      </x:c>
    </x:row>
    <x:row r="139">
      <x:c r="A139" s="26" t="str">
        <x:v>SUP-PHY-016</x:v>
      </x:c>
      <x:c r="B139" s="26" t="str">
        <x:v>PHYS</x:v>
      </x:c>
      <x:c r="C139" s="26" t="str">
        <x:v>8.02 Physics II: Electricity and Magnetism</x:v>
      </x:c>
      <x:c r="D139" s="26" t="str">
        <x:v>MIT OpenCourseWare</x:v>
      </x:c>
      <x:c r="E139" s="26" t="str">
        <x:v>Практический источник для групп PHYS</x:v>
      </x:c>
      <x:c r="F139" s="26" t="str">
        <x:v>https://ocw.mit.edu/courses/8-02-physics-ii-electricity-and-magnetism-spring-2007/</x:v>
      </x:c>
      <x:c r="G139" s="26" t="str">
        <x:v>https://ocw.mit.edu/courses/8-02-physics-ii-electricity-and-magnetism-spring-2007/</x:v>
      </x:c>
      <x:c r="H139" s="26" t="str">
        <x:v>https://ocw.mit.edu/pages/privacy-and-terms-of-use/</x:v>
      </x:c>
      <x:c r="I139" s="26" t="str">
        <x:v>Theory and problems are suitable; enable only extra-low-voltage current-limited demonstrations; mains high voltage and charged high-energy capacitors are denied</x:v>
      </x:c>
      <x:c r="J139" s="26" t="str">
        <x:v>EN</x:v>
      </x:c>
      <x:c r="K139" s="26" t="str">
        <x:v>International/reference</x:v>
      </x:c>
      <x:c r="L139" s="26" t="str">
        <x:v>Course ZIP;HTML;PDF;video</x:v>
      </x:c>
      <x:c r="M139" s="26" t="str">
        <x:v>Use official Download Course ZIP and keep third-party audit</x:v>
      </x:c>
      <x:c r="N139" s="26" t="str">
        <x:v>L2</x:v>
      </x:c>
      <x:c r="O139" s="26" t="str">
        <x:v>S3_LICENSED_PROFESSIONAL</x:v>
      </x:c>
      <x:c r="P139" s="26" t="str">
        <x:v>ANNUAL_OR_EDITION</x:v>
      </x:c>
      <x:c r="Q139" s="26" t="n">
        <x:v>4</x:v>
      </x:c>
      <x:c r="R139" s="26" t="n">
        <x:v>4</x:v>
      </x:c>
      <x:c r="S139" s="26" t="n">
        <x:v>3</x:v>
      </x:c>
      <x:c r="T139" s="26" t="n">
        <x:v>4</x:v>
      </x:c>
      <x:c r="U139" s="26" t="n">
        <x:v>4</x:v>
      </x:c>
      <x:c r="V139" s="26" t="n">
        <x:v>3</x:v>
      </x:c>
      <x:c r="W139" s="26" t="n">
        <x:v>2</x:v>
      </x:c>
      <x:c r="X139" s="26" t="n">
        <x:v>3</x:v>
      </x:c>
      <x:c r="Y139" s="26" t="n">
        <x:v>4</x:v>
      </x:c>
      <x:c r="Z139" s="26" t="n">
        <x:v>2</x:v>
      </x:c>
      <x:c r="AA139" s="26" t="n">
        <x:v>1</x:v>
      </x:c>
      <x:c r="AB139" s="26" t="str">
        <x:v>CANDIDATE</x:v>
      </x:c>
      <x:c r="AC139" s="26" t="str">
        <x:v>NOT_DOWNLOADED</x:v>
      </x:c>
      <x:c r="AD139" s="26" t="str">
        <x:v>REQUIRES_ITEM_REVIEW</x:v>
      </x:c>
      <x:c r="AE139" s="26" t="str">
        <x:v>NOT_REVIEWED</x:v>
      </x:c>
      <x:c r="AF139" s="26" t="str">
        <x:v>NOT_TESTED</x:v>
      </x:c>
      <x:c r="AG139" s="26" t="str"/>
      <x:c r="AH139" s="26" t="str"/>
      <x:c r="AI139" s="26" t="str"/>
      <x:c r="AJ139" s="26" t="str"/>
      <x:c r="AK139" s="57" t="n">
        <x:f>MAX(0,MIN(100,ROUND(((Q139*'Overview'!$B$18)+(R139*'Overview'!$B$19)+(S139*'Overview'!$B$20)+(T139*'Overview'!$B$21)+(U139*'Overview'!$B$22)+(V139*'Overview'!$B$23)+(W139*'Overview'!$B$24)+(X139*'Overview'!$B$25)-(Y139*'Overview'!$B$26)-(Z139*'Overview'!$B$27)-(AA139*'Overview'!$B$28))/5*100,0)))</x:f>
        <x:v>55</x:v>
      </x:c>
      <x:c r="AL139" s="26" t="str">
        <x:v>[SUPPLEMENTAL_RESEARCH] Theory and problems are suitable; enable only extra-low-voltage current-limited demonstrations; mains high voltage and charged high-energy capacitors are denied</x:v>
      </x:c>
    </x:row>
    <x:row r="140">
      <x:c r="A140" s="53" t="str">
        <x:v>SUP-PHY-017</x:v>
      </x:c>
      <x:c r="B140" s="53" t="str">
        <x:v>CHEM</x:v>
      </x:c>
      <x:c r="C140" s="53" t="str">
        <x:v>5.111SC Principles of Chemical Science</x:v>
      </x:c>
      <x:c r="D140" s="53" t="str">
        <x:v>MIT OpenCourseWare</x:v>
      </x:c>
      <x:c r="E140" s="53" t="str">
        <x:v>Практический источник для групп CHEM</x:v>
      </x:c>
      <x:c r="F140" s="53" t="str">
        <x:v>https://ocw.mit.edu/courses/5-111sc-principles-of-chemical-science-fall-2014/</x:v>
      </x:c>
      <x:c r="G140" s="53" t="str">
        <x:v>https://ocw.mit.edu/courses/5-111sc-principles-of-chemical-science-fall-2014/</x:v>
      </x:c>
      <x:c r="H140" s="53" t="str">
        <x:v>https://ocw.mit.edu/pages/privacy-and-terms-of-use/</x:v>
      </x:c>
      <x:c r="I140" s="53" t="str">
        <x:v>Retain lectures and problem sets; do not activate wet-lab synthesis heating pressure toxic gas energetic or unknown-reagent procedures outside an accredited laboratory</x:v>
      </x:c>
      <x:c r="J140" s="53" t="str">
        <x:v>EN</x:v>
      </x:c>
      <x:c r="K140" s="53" t="str">
        <x:v>International/reference</x:v>
      </x:c>
      <x:c r="L140" s="53" t="str">
        <x:v>Course ZIP;HTML;PDF;video</x:v>
      </x:c>
      <x:c r="M140" s="53" t="str">
        <x:v>Use official Download Course ZIP; preserve license exceptions and safety quarantine tags</x:v>
      </x:c>
      <x:c r="N140" s="53" t="str">
        <x:v>L2</x:v>
      </x:c>
      <x:c r="O140" s="53" t="str">
        <x:v>S4_REFERENCE_ONLY_PROHIBITED_HOUSEHOLD</x:v>
      </x:c>
      <x:c r="P140" s="53" t="str">
        <x:v>ANNUAL_OR_EDITION</x:v>
      </x:c>
      <x:c r="Q140" s="53" t="n">
        <x:v>4</x:v>
      </x:c>
      <x:c r="R140" s="53" t="n">
        <x:v>4</x:v>
      </x:c>
      <x:c r="S140" s="53" t="n">
        <x:v>3</x:v>
      </x:c>
      <x:c r="T140" s="53" t="n">
        <x:v>4</x:v>
      </x:c>
      <x:c r="U140" s="53" t="n">
        <x:v>4</x:v>
      </x:c>
      <x:c r="V140" s="53" t="n">
        <x:v>3</x:v>
      </x:c>
      <x:c r="W140" s="53" t="n">
        <x:v>2</x:v>
      </x:c>
      <x:c r="X140" s="53" t="n">
        <x:v>3</x:v>
      </x:c>
      <x:c r="Y140" s="53" t="n">
        <x:v>5</x:v>
      </x:c>
      <x:c r="Z140" s="53" t="n">
        <x:v>2</x:v>
      </x:c>
      <x:c r="AA140" s="53" t="n">
        <x:v>1</x:v>
      </x:c>
      <x:c r="AB140" s="53" t="str">
        <x:v>CANDIDATE</x:v>
      </x:c>
      <x:c r="AC140" s="53" t="str">
        <x:v>NOT_DOWNLOADED</x:v>
      </x:c>
      <x:c r="AD140" s="53" t="str">
        <x:v>REQUIRES_ITEM_REVIEW</x:v>
      </x:c>
      <x:c r="AE140" s="53" t="str">
        <x:v>NOT_REVIEWED</x:v>
      </x:c>
      <x:c r="AF140" s="53" t="str">
        <x:v>NOT_TESTED</x:v>
      </x:c>
      <x:c r="AG140" s="53" t="str"/>
      <x:c r="AH140" s="53" t="str"/>
      <x:c r="AI140" s="53" t="str"/>
      <x:c r="AJ140" s="53" t="str"/>
      <x:c r="AK140" s="57" t="n">
        <x:f>MAX(0,MIN(100,ROUND(((Q140*'Overview'!$B$18)+(R140*'Overview'!$B$19)+(S140*'Overview'!$B$20)+(T140*'Overview'!$B$21)+(U140*'Overview'!$B$22)+(V140*'Overview'!$B$23)+(W140*'Overview'!$B$24)+(X140*'Overview'!$B$25)-(Y140*'Overview'!$B$26)-(Z140*'Overview'!$B$27)-(AA140*'Overview'!$B$28))/5*100,0)))</x:f>
        <x:v>52</x:v>
      </x:c>
      <x:c r="AL140" s="53" t="str">
        <x:v>[SUPPLEMENTAL_RESEARCH] Retain lectures and problem sets; do not activate wet-lab synthesis heating pressure toxic gas energetic or unknown-reagent procedures outside an accredited laboratory</x:v>
      </x:c>
    </x:row>
    <x:row r="141">
      <x:c r="A141" s="26" t="str">
        <x:v>SUP-PHY-018</x:v>
      </x:c>
      <x:c r="B141" s="26" t="str">
        <x:v>CHEM</x:v>
      </x:c>
      <x:c r="C141" s="26" t="str">
        <x:v>3.091SC Introduction to Solid-State Chemistry</x:v>
      </x:c>
      <x:c r="D141" s="26" t="str">
        <x:v>MIT OpenCourseWare</x:v>
      </x:c>
      <x:c r="E141" s="26" t="str">
        <x:v>Практический источник для групп CHEM</x:v>
      </x:c>
      <x:c r="F141" s="26" t="str">
        <x:v>https://ocw.mit.edu/courses/3-091sc-introduction-to-solid-state-chemistry-fall-2010/</x:v>
      </x:c>
      <x:c r="G141" s="26" t="str">
        <x:v>https://ocw.mit.edu/courses/3-091sc-introduction-to-solid-state-chemistry-fall-2010/</x:v>
      </x:c>
      <x:c r="H141" s="26" t="str">
        <x:v>https://ocw.mit.edu/pages/privacy-and-terms-of-use/</x:v>
      </x:c>
      <x:c r="I141" s="26" t="str">
        <x:v>Useful for material structure bonding phase behavior and corrosion context; theory package only unless a separate safe practical is approved</x:v>
      </x:c>
      <x:c r="J141" s="26" t="str">
        <x:v>EN</x:v>
      </x:c>
      <x:c r="K141" s="26" t="str">
        <x:v>International/reference</x:v>
      </x:c>
      <x:c r="L141" s="26" t="str">
        <x:v>Course ZIP;HTML;PDF;video</x:v>
      </x:c>
      <x:c r="M141" s="26" t="str">
        <x:v>Use official Download Course ZIP with license and third-party inventory</x:v>
      </x:c>
      <x:c r="N141" s="26" t="str">
        <x:v>L2</x:v>
      </x:c>
      <x:c r="O141" s="26" t="str">
        <x:v>S0_OBSERVE_READ</x:v>
      </x:c>
      <x:c r="P141" s="26" t="str">
        <x:v>ANNUAL_OR_EDITION</x:v>
      </x:c>
      <x:c r="Q141" s="26" t="n">
        <x:v>4</x:v>
      </x:c>
      <x:c r="R141" s="26" t="n">
        <x:v>4</x:v>
      </x:c>
      <x:c r="S141" s="26" t="n">
        <x:v>3</x:v>
      </x:c>
      <x:c r="T141" s="26" t="n">
        <x:v>4</x:v>
      </x:c>
      <x:c r="U141" s="26" t="n">
        <x:v>4</x:v>
      </x:c>
      <x:c r="V141" s="26" t="n">
        <x:v>3</x:v>
      </x:c>
      <x:c r="W141" s="26" t="n">
        <x:v>2</x:v>
      </x:c>
      <x:c r="X141" s="26" t="n">
        <x:v>3</x:v>
      </x:c>
      <x:c r="Y141" s="26" t="n">
        <x:v>0</x:v>
      </x:c>
      <x:c r="Z141" s="26" t="n">
        <x:v>2</x:v>
      </x:c>
      <x:c r="AA141" s="26" t="n">
        <x:v>1</x:v>
      </x:c>
      <x:c r="AB141" s="26" t="str">
        <x:v>CANDIDATE</x:v>
      </x:c>
      <x:c r="AC141" s="26" t="str">
        <x:v>NOT_DOWNLOADED</x:v>
      </x:c>
      <x:c r="AD141" s="26" t="str">
        <x:v>REQUIRES_ITEM_REVIEW</x:v>
      </x:c>
      <x:c r="AE141" s="26" t="str">
        <x:v>NOT_REVIEWED</x:v>
      </x:c>
      <x:c r="AF141" s="26" t="str">
        <x:v>NOT_TESTED</x:v>
      </x:c>
      <x:c r="AG141" s="26" t="str"/>
      <x:c r="AH141" s="26" t="str"/>
      <x:c r="AI141" s="26" t="str"/>
      <x:c r="AJ141" s="26" t="str"/>
      <x:c r="AK141" s="57" t="n">
        <x:f>MAX(0,MIN(100,ROUND(((Q141*'Overview'!$B$18)+(R141*'Overview'!$B$19)+(S141*'Overview'!$B$20)+(T141*'Overview'!$B$21)+(U141*'Overview'!$B$22)+(V141*'Overview'!$B$23)+(W141*'Overview'!$B$24)+(X141*'Overview'!$B$25)-(Y141*'Overview'!$B$26)-(Z141*'Overview'!$B$27)-(AA141*'Overview'!$B$28))/5*100,0)))</x:f>
        <x:v>67</x:v>
      </x:c>
      <x:c r="AL141" s="26" t="str">
        <x:v>[SUPPLEMENTAL_RESEARCH] Useful for material structure bonding phase behavior and corrosion context; theory package only unless a separate safe practical is approved</x:v>
      </x:c>
    </x:row>
    <x:row r="142">
      <x:c r="A142" s="53" t="str">
        <x:v>SUP-PHY-019</x:v>
      </x:c>
      <x:c r="B142" s="53" t="str">
        <x:v>PHYS</x:v>
      </x:c>
      <x:c r="C142" s="53" t="str">
        <x:v>3.012 Fundamentals of Materials Science</x:v>
      </x:c>
      <x:c r="D142" s="53" t="str">
        <x:v>MIT OpenCourseWare</x:v>
      </x:c>
      <x:c r="E142" s="53" t="str">
        <x:v>Практический источник для групп PHYS</x:v>
      </x:c>
      <x:c r="F142" s="53" t="str">
        <x:v>https://ocw.mit.edu/courses/3-012-fundamentals-of-materials-science-fall-2005/</x:v>
      </x:c>
      <x:c r="G142" s="53" t="str">
        <x:v>https://ocw.mit.edu/courses/3-012-fundamentals-of-materials-science-fall-2005/</x:v>
      </x:c>
      <x:c r="H142" s="53" t="str">
        <x:v>https://ocw.mit.edu/pages/privacy-and-terms-of-use/</x:v>
      </x:c>
      <x:c r="I142" s="53" t="str">
        <x:v>Connects thermodynamics kinetics structure and properties; no unsupervised furnaces metallography chemicals or mechanical failure tests</x:v>
      </x:c>
      <x:c r="J142" s="53" t="str">
        <x:v>EN</x:v>
      </x:c>
      <x:c r="K142" s="53" t="str">
        <x:v>International/reference</x:v>
      </x:c>
      <x:c r="L142" s="53" t="str">
        <x:v>Course ZIP;HTML;PDF</x:v>
      </x:c>
      <x:c r="M142" s="53" t="str">
        <x:v>Use official Download Course ZIP; retain attribution and excluded-content list</x:v>
      </x:c>
      <x:c r="N142" s="53" t="str">
        <x:v>L2</x:v>
      </x:c>
      <x:c r="O142" s="53" t="str">
        <x:v>S0_OBSERVE_READ</x:v>
      </x:c>
      <x:c r="P142" s="53" t="str">
        <x:v>ANNUAL_OR_EDITION</x:v>
      </x:c>
      <x:c r="Q142" s="53" t="n">
        <x:v>4</x:v>
      </x:c>
      <x:c r="R142" s="53" t="n">
        <x:v>4</x:v>
      </x:c>
      <x:c r="S142" s="53" t="n">
        <x:v>3</x:v>
      </x:c>
      <x:c r="T142" s="53" t="n">
        <x:v>4</x:v>
      </x:c>
      <x:c r="U142" s="53" t="n">
        <x:v>4</x:v>
      </x:c>
      <x:c r="V142" s="53" t="n">
        <x:v>3</x:v>
      </x:c>
      <x:c r="W142" s="53" t="n">
        <x:v>2</x:v>
      </x:c>
      <x:c r="X142" s="53" t="n">
        <x:v>3</x:v>
      </x:c>
      <x:c r="Y142" s="53" t="n">
        <x:v>0</x:v>
      </x:c>
      <x:c r="Z142" s="53" t="n">
        <x:v>2</x:v>
      </x:c>
      <x:c r="AA142" s="53" t="n">
        <x:v>1</x:v>
      </x:c>
      <x:c r="AB142" s="53" t="str">
        <x:v>CANDIDATE</x:v>
      </x:c>
      <x:c r="AC142" s="53" t="str">
        <x:v>NOT_DOWNLOADED</x:v>
      </x:c>
      <x:c r="AD142" s="53" t="str">
        <x:v>REQUIRES_ITEM_REVIEW</x:v>
      </x:c>
      <x:c r="AE142" s="53" t="str">
        <x:v>NOT_REVIEWED</x:v>
      </x:c>
      <x:c r="AF142" s="53" t="str">
        <x:v>NOT_TESTED</x:v>
      </x:c>
      <x:c r="AG142" s="53" t="str"/>
      <x:c r="AH142" s="53" t="str"/>
      <x:c r="AI142" s="53" t="str"/>
      <x:c r="AJ142" s="53" t="str"/>
      <x:c r="AK142" s="57" t="n">
        <x:f>MAX(0,MIN(100,ROUND(((Q142*'Overview'!$B$18)+(R142*'Overview'!$B$19)+(S142*'Overview'!$B$20)+(T142*'Overview'!$B$21)+(U142*'Overview'!$B$22)+(V142*'Overview'!$B$23)+(W142*'Overview'!$B$24)+(X142*'Overview'!$B$25)-(Y142*'Overview'!$B$26)-(Z142*'Overview'!$B$27)-(AA142*'Overview'!$B$28))/5*100,0)))</x:f>
        <x:v>67</x:v>
      </x:c>
      <x:c r="AL142" s="53" t="str">
        <x:v>[SUPPLEMENTAL_RESEARCH] Connects thermodynamics kinetics structure and properties; no unsupervised furnaces metallography chemicals or mechanical failure tests</x:v>
      </x:c>
    </x:row>
    <x:row r="143">
      <x:c r="A143" s="26" t="str">
        <x:v>SUP-PHY-020</x:v>
      </x:c>
      <x:c r="B143" s="26" t="str">
        <x:v>PHYS</x:v>
      </x:c>
      <x:c r="C143" s="26" t="str">
        <x:v>2.001 Mechanics and Materials I</x:v>
      </x:c>
      <x:c r="D143" s="26" t="str">
        <x:v>MIT OpenCourseWare</x:v>
      </x:c>
      <x:c r="E143" s="26" t="str">
        <x:v>Практический источник для групп PHYS</x:v>
      </x:c>
      <x:c r="F143" s="26" t="str">
        <x:v>https://ocw.mit.edu/courses/2-001-mechanics-materials-i-fall-2006/</x:v>
      </x:c>
      <x:c r="G143" s="26" t="str">
        <x:v>https://ocw.mit.edu/courses/2-001-mechanics-materials-i-fall-2006/</x:v>
      </x:c>
      <x:c r="H143" s="26" t="str">
        <x:v>https://ocw.mit.edu/pages/privacy-and-terms-of-use/</x:v>
      </x:c>
      <x:c r="I143" s="26" t="str">
        <x:v>Useful for stress strain beams and failure concepts; never use archived coursework to authorize structural modifications lifting pressure systems or safety-critical parts</x:v>
      </x:c>
      <x:c r="J143" s="26" t="str">
        <x:v>EN</x:v>
      </x:c>
      <x:c r="K143" s="26" t="str">
        <x:v>International/reference</x:v>
      </x:c>
      <x:c r="L143" s="26" t="str">
        <x:v>Course ZIP;HTML;PDF</x:v>
      </x:c>
      <x:c r="M143" s="26" t="str">
        <x:v>Use official Download Course ZIP; record course date and rights exceptions</x:v>
      </x:c>
      <x:c r="N143" s="26" t="str">
        <x:v>L2</x:v>
      </x:c>
      <x:c r="O143" s="26" t="str">
        <x:v>S3_LICENSED_PROFESSIONAL</x:v>
      </x:c>
      <x:c r="P143" s="26" t="str">
        <x:v>ANNUAL_OR_EDITION</x:v>
      </x:c>
      <x:c r="Q143" s="26" t="n">
        <x:v>4</x:v>
      </x:c>
      <x:c r="R143" s="26" t="n">
        <x:v>4</x:v>
      </x:c>
      <x:c r="S143" s="26" t="n">
        <x:v>3</x:v>
      </x:c>
      <x:c r="T143" s="26" t="n">
        <x:v>4</x:v>
      </x:c>
      <x:c r="U143" s="26" t="n">
        <x:v>4</x:v>
      </x:c>
      <x:c r="V143" s="26" t="n">
        <x:v>3</x:v>
      </x:c>
      <x:c r="W143" s="26" t="n">
        <x:v>2</x:v>
      </x:c>
      <x:c r="X143" s="26" t="n">
        <x:v>3</x:v>
      </x:c>
      <x:c r="Y143" s="26" t="n">
        <x:v>4</x:v>
      </x:c>
      <x:c r="Z143" s="26" t="n">
        <x:v>2</x:v>
      </x:c>
      <x:c r="AA143" s="26" t="n">
        <x:v>1</x:v>
      </x:c>
      <x:c r="AB143" s="26" t="str">
        <x:v>CANDIDATE</x:v>
      </x:c>
      <x:c r="AC143" s="26" t="str">
        <x:v>NOT_DOWNLOADED</x:v>
      </x:c>
      <x:c r="AD143" s="26" t="str">
        <x:v>REQUIRES_ITEM_REVIEW</x:v>
      </x:c>
      <x:c r="AE143" s="26" t="str">
        <x:v>NOT_REVIEWED</x:v>
      </x:c>
      <x:c r="AF143" s="26" t="str">
        <x:v>NOT_TESTED</x:v>
      </x:c>
      <x:c r="AG143" s="26" t="str"/>
      <x:c r="AH143" s="26" t="str"/>
      <x:c r="AI143" s="26" t="str"/>
      <x:c r="AJ143" s="26" t="str"/>
      <x:c r="AK143" s="57" t="n">
        <x:f>MAX(0,MIN(100,ROUND(((Q143*'Overview'!$B$18)+(R143*'Overview'!$B$19)+(S143*'Overview'!$B$20)+(T143*'Overview'!$B$21)+(U143*'Overview'!$B$22)+(V143*'Overview'!$B$23)+(W143*'Overview'!$B$24)+(X143*'Overview'!$B$25)-(Y143*'Overview'!$B$26)-(Z143*'Overview'!$B$27)-(AA143*'Overview'!$B$28))/5*100,0)))</x:f>
        <x:v>55</x:v>
      </x:c>
      <x:c r="AL143" s="26" t="str">
        <x:v>[SUPPLEMENTAL_RESEARCH] Useful for stress strain beams and failure concepts; never use archived coursework to authorize structural modifications lifting pressure systems or safety-critical parts</x:v>
      </x:c>
    </x:row>
    <x:row r="144">
      <x:c r="A144" s="53" t="str">
        <x:v>SUP-PHY-021</x:v>
      </x:c>
      <x:c r="B144" s="53" t="str">
        <x:v>ELEC</x:v>
      </x:c>
      <x:c r="C144" s="53" t="str">
        <x:v>6.002 Circuits and Electronics</x:v>
      </x:c>
      <x:c r="D144" s="53" t="str">
        <x:v>MIT OpenCourseWare</x:v>
      </x:c>
      <x:c r="E144" s="53" t="str">
        <x:v>Практический источник для групп ELEC</x:v>
      </x:c>
      <x:c r="F144" s="53" t="str">
        <x:v>https://ocw.mit.edu/courses/6-002-circuits-and-electronics-spring-2007/</x:v>
      </x:c>
      <x:c r="G144" s="53" t="str">
        <x:v>https://ocw.mit.edu/courses/6-002-circuits-and-electronics-spring-2007/</x:v>
      </x:c>
      <x:c r="H144" s="53" t="str">
        <x:v>https://ocw.mit.edu/pages/privacy-and-terms-of-use/</x:v>
      </x:c>
      <x:c r="I144" s="53" t="str">
        <x:v>Activate only extra-low-voltage current-limited breadboard work; deny mains transformers high-voltage supplies and high-energy storage</x:v>
      </x:c>
      <x:c r="J144" s="53" t="str">
        <x:v>EN</x:v>
      </x:c>
      <x:c r="K144" s="53" t="str">
        <x:v>International/reference</x:v>
      </x:c>
      <x:c r="L144" s="53" t="str">
        <x:v>Course ZIP;HTML;PDF;video</x:v>
      </x:c>
      <x:c r="M144" s="53" t="str">
        <x:v>Use official Download Course ZIP; locally preserve diagrams transcripts and rights metadata</x:v>
      </x:c>
      <x:c r="N144" s="53" t="str">
        <x:v>L2</x:v>
      </x:c>
      <x:c r="O144" s="53" t="str">
        <x:v>S3_LICENSED_PROFESSIONAL</x:v>
      </x:c>
      <x:c r="P144" s="53" t="str">
        <x:v>ANNUAL_OR_EDITION</x:v>
      </x:c>
      <x:c r="Q144" s="53" t="n">
        <x:v>4</x:v>
      </x:c>
      <x:c r="R144" s="53" t="n">
        <x:v>4</x:v>
      </x:c>
      <x:c r="S144" s="53" t="n">
        <x:v>3</x:v>
      </x:c>
      <x:c r="T144" s="53" t="n">
        <x:v>4</x:v>
      </x:c>
      <x:c r="U144" s="53" t="n">
        <x:v>4</x:v>
      </x:c>
      <x:c r="V144" s="53" t="n">
        <x:v>3</x:v>
      </x:c>
      <x:c r="W144" s="53" t="n">
        <x:v>2</x:v>
      </x:c>
      <x:c r="X144" s="53" t="n">
        <x:v>3</x:v>
      </x:c>
      <x:c r="Y144" s="53" t="n">
        <x:v>4</x:v>
      </x:c>
      <x:c r="Z144" s="53" t="n">
        <x:v>2</x:v>
      </x:c>
      <x:c r="AA144" s="53" t="n">
        <x:v>1</x:v>
      </x:c>
      <x:c r="AB144" s="53" t="str">
        <x:v>CANDIDATE</x:v>
      </x:c>
      <x:c r="AC144" s="53" t="str">
        <x:v>NOT_DOWNLOADED</x:v>
      </x:c>
      <x:c r="AD144" s="53" t="str">
        <x:v>REQUIRES_ITEM_REVIEW</x:v>
      </x:c>
      <x:c r="AE144" s="53" t="str">
        <x:v>NOT_REVIEWED</x:v>
      </x:c>
      <x:c r="AF144" s="53" t="str">
        <x:v>NOT_TESTED</x:v>
      </x:c>
      <x:c r="AG144" s="53" t="str"/>
      <x:c r="AH144" s="53" t="str"/>
      <x:c r="AI144" s="53" t="str"/>
      <x:c r="AJ144" s="53" t="str"/>
      <x:c r="AK144" s="57" t="n">
        <x:f>MAX(0,MIN(100,ROUND(((Q144*'Overview'!$B$18)+(R144*'Overview'!$B$19)+(S144*'Overview'!$B$20)+(T144*'Overview'!$B$21)+(U144*'Overview'!$B$22)+(V144*'Overview'!$B$23)+(W144*'Overview'!$B$24)+(X144*'Overview'!$B$25)-(Y144*'Overview'!$B$26)-(Z144*'Overview'!$B$27)-(AA144*'Overview'!$B$28))/5*100,0)))</x:f>
        <x:v>55</x:v>
      </x:c>
      <x:c r="AL144" s="53" t="str">
        <x:v>[SUPPLEMENTAL_RESEARCH] Activate only extra-low-voltage current-limited breadboard work; deny mains transformers high-voltage supplies and high-energy storage</x:v>
      </x:c>
    </x:row>
    <x:row r="145">
      <x:c r="A145" s="26" t="str">
        <x:v>SUP-PHY-022</x:v>
      </x:c>
      <x:c r="B145" s="26" t="str">
        <x:v>METH</x:v>
      </x:c>
      <x:c r="C145" s="26" t="str">
        <x:v>2.008 Design and Manufacturing II</x:v>
      </x:c>
      <x:c r="D145" s="26" t="str">
        <x:v>MIT OpenCourseWare</x:v>
      </x:c>
      <x:c r="E145" s="26" t="str">
        <x:v>Практический источник для групп METH</x:v>
      </x:c>
      <x:c r="F145" s="26" t="str">
        <x:v>https://ocw.mit.edu/courses/2-008-design-and-manufacturing-ii-spring-2025/</x:v>
      </x:c>
      <x:c r="G145" s="26" t="str">
        <x:v>https://ocw.mit.edu/courses/2-008-design-and-manufacturing-ii-spring-2025/</x:v>
      </x:c>
      <x:c r="H145" s="26" t="str">
        <x:v>https://ocw.mit.edu/pages/privacy-and-terms-of-use/</x:v>
      </x:c>
      <x:c r="I145" s="26" t="str">
        <x:v>Manufacturing theory drawings and process planning are useful; machining joining hot work molding and powered tools require a trained controlled shop</x:v>
      </x:c>
      <x:c r="J145" s="26" t="str">
        <x:v>EN</x:v>
      </x:c>
      <x:c r="K145" s="26" t="str">
        <x:v>International/reference</x:v>
      </x:c>
      <x:c r="L145" s="26" t="str">
        <x:v>Course ZIP;HTML;PDF;video</x:v>
      </x:c>
      <x:c r="M145" s="26" t="str">
        <x:v>Use official Download Course package with license-exception manifest</x:v>
      </x:c>
      <x:c r="N145" s="26" t="str">
        <x:v>L2</x:v>
      </x:c>
      <x:c r="O145" s="26" t="str">
        <x:v>S2_TRAINED_SUPERVISED</x:v>
      </x:c>
      <x:c r="P145" s="26" t="str">
        <x:v>ANNUAL_OR_EDITION</x:v>
      </x:c>
      <x:c r="Q145" s="26" t="n">
        <x:v>4</x:v>
      </x:c>
      <x:c r="R145" s="26" t="n">
        <x:v>4</x:v>
      </x:c>
      <x:c r="S145" s="26" t="n">
        <x:v>3</x:v>
      </x:c>
      <x:c r="T145" s="26" t="n">
        <x:v>4</x:v>
      </x:c>
      <x:c r="U145" s="26" t="n">
        <x:v>4</x:v>
      </x:c>
      <x:c r="V145" s="26" t="n">
        <x:v>3</x:v>
      </x:c>
      <x:c r="W145" s="26" t="n">
        <x:v>2</x:v>
      </x:c>
      <x:c r="X145" s="26" t="n">
        <x:v>3</x:v>
      </x:c>
      <x:c r="Y145" s="26" t="n">
        <x:v>2</x:v>
      </x:c>
      <x:c r="Z145" s="26" t="n">
        <x:v>2</x:v>
      </x:c>
      <x:c r="AA145" s="26" t="n">
        <x:v>1</x:v>
      </x:c>
      <x:c r="AB145" s="26" t="str">
        <x:v>CANDIDATE</x:v>
      </x:c>
      <x:c r="AC145" s="26" t="str">
        <x:v>NOT_DOWNLOADED</x:v>
      </x:c>
      <x:c r="AD145" s="26" t="str">
        <x:v>REQUIRES_ITEM_REVIEW</x:v>
      </x:c>
      <x:c r="AE145" s="26" t="str">
        <x:v>NOT_REVIEWED</x:v>
      </x:c>
      <x:c r="AF145" s="26" t="str">
        <x:v>NOT_TESTED</x:v>
      </x:c>
      <x:c r="AG145" s="26" t="str"/>
      <x:c r="AH145" s="26" t="str"/>
      <x:c r="AI145" s="26" t="str"/>
      <x:c r="AJ145" s="26" t="str"/>
      <x:c r="AK145" s="57" t="n">
        <x:f>MAX(0,MIN(100,ROUND(((Q145*'Overview'!$B$18)+(R145*'Overview'!$B$19)+(S145*'Overview'!$B$20)+(T145*'Overview'!$B$21)+(U145*'Overview'!$B$22)+(V145*'Overview'!$B$23)+(W145*'Overview'!$B$24)+(X145*'Overview'!$B$25)-(Y145*'Overview'!$B$26)-(Z145*'Overview'!$B$27)-(AA145*'Overview'!$B$28))/5*100,0)))</x:f>
        <x:v>61</x:v>
      </x:c>
      <x:c r="AL145" s="26" t="str">
        <x:v>[SUPPLEMENTAL_RESEARCH] Manufacturing theory drawings and process planning are useful; machining joining hot work molding and powered tools require a trained controlled shop</x:v>
      </x:c>
    </x:row>
    <x:row r="146">
      <x:c r="A146" s="53" t="str">
        <x:v>SUP-PHY-023</x:v>
      </x:c>
      <x:c r="B146" s="53" t="str">
        <x:v>CHEM</x:v>
      </x:c>
      <x:c r="C146" s="53" t="str">
        <x:v>IUPAC Compendium of Chemical Terminology: Gold Book</x:v>
      </x:c>
      <x:c r="D146" s="53" t="str">
        <x:v>International Union of Pure and Applied Chemistry</x:v>
      </x:c>
      <x:c r="E146" s="53" t="str">
        <x:v>Практический источник для групп CHEM</x:v>
      </x:c>
      <x:c r="F146" s="53" t="str">
        <x:v>https://goldbook.iupac.org/</x:v>
      </x:c>
      <x:c r="G146" s="53" t="str">
        <x:v>https://goldbook.iupac.org/</x:v>
      </x:c>
      <x:c r="H146" s="53" t="str">
        <x:v>https://goldbook.iupac.org/terms/view/S05739/plain</x:v>
      </x:c>
      <x:c r="I146" s="53" t="str">
        <x:v>Individual terms state CC BY-SA 4.0; do not infer that an unrestricted bulk mirror is allowed; request permission or archive a curated term set with attribution</x:v>
      </x:c>
      <x:c r="J146" s="53" t="str">
        <x:v>EN</x:v>
      </x:c>
      <x:c r="K146" s="53" t="str">
        <x:v>International/reference</x:v>
      </x:c>
      <x:c r="L146" s="53" t="str">
        <x:v>HTML;JSON;XML;PDF;plain text per term</x:v>
      </x:c>
      <x:c r="M146" s="53" t="str">
        <x:v>Use official API/download routes only after clarifying collection-level rights; preserve term IDs versions and license metadata</x:v>
      </x:c>
      <x:c r="N146" s="53" t="str">
        <x:v>L2</x:v>
      </x:c>
      <x:c r="O146" s="53" t="str">
        <x:v>S0_OBSERVE_READ</x:v>
      </x:c>
      <x:c r="P146" s="53" t="str">
        <x:v>ANNUAL_OR_EDITION</x:v>
      </x:c>
      <x:c r="Q146" s="53" t="n">
        <x:v>4</x:v>
      </x:c>
      <x:c r="R146" s="53" t="n">
        <x:v>4</x:v>
      </x:c>
      <x:c r="S146" s="53" t="n">
        <x:v>3</x:v>
      </x:c>
      <x:c r="T146" s="53" t="n">
        <x:v>4</x:v>
      </x:c>
      <x:c r="U146" s="53" t="n">
        <x:v>4</x:v>
      </x:c>
      <x:c r="V146" s="53" t="n">
        <x:v>1</x:v>
      </x:c>
      <x:c r="W146" s="53" t="n">
        <x:v>2</x:v>
      </x:c>
      <x:c r="X146" s="53" t="n">
        <x:v>3</x:v>
      </x:c>
      <x:c r="Y146" s="53" t="n">
        <x:v>0</x:v>
      </x:c>
      <x:c r="Z146" s="53" t="n">
        <x:v>2</x:v>
      </x:c>
      <x:c r="AA146" s="53" t="n">
        <x:v>1</x:v>
      </x:c>
      <x:c r="AB146" s="53" t="str">
        <x:v>CANDIDATE</x:v>
      </x:c>
      <x:c r="AC146" s="53" t="str">
        <x:v>NOT_DOWNLOADED</x:v>
      </x:c>
      <x:c r="AD146" s="53" t="str">
        <x:v>REFERENCE_ONLY_NO_COPY</x:v>
      </x:c>
      <x:c r="AE146" s="53" t="str">
        <x:v>NOT_REVIEWED</x:v>
      </x:c>
      <x:c r="AF146" s="53" t="str">
        <x:v>NOT_TESTED</x:v>
      </x:c>
      <x:c r="AG146" s="53" t="str"/>
      <x:c r="AH146" s="53" t="str"/>
      <x:c r="AI146" s="53" t="str"/>
      <x:c r="AJ146" s="53" t="str"/>
      <x:c r="AK146" s="57" t="n">
        <x:f>MAX(0,MIN(100,ROUND(((Q146*'Overview'!$B$18)+(R146*'Overview'!$B$19)+(S146*'Overview'!$B$20)+(T146*'Overview'!$B$21)+(U146*'Overview'!$B$22)+(V146*'Overview'!$B$23)+(W146*'Overview'!$B$24)+(X146*'Overview'!$B$25)-(Y146*'Overview'!$B$26)-(Z146*'Overview'!$B$27)-(AA146*'Overview'!$B$28))/5*100,0)))</x:f>
        <x:v>63</x:v>
      </x:c>
      <x:c r="AL146" s="53" t="str">
        <x:v>[SUPPLEMENTAL_RESEARCH] Individual terms state CC BY-SA 4.0; do not infer that an unrestricted bulk mirror is allowed; request permission or archive a curated term set with attribution</x:v>
      </x:c>
    </x:row>
    <x:row r="147">
      <x:c r="A147" s="26" t="str">
        <x:v>SUP-PHY-024</x:v>
      </x:c>
      <x:c r="B147" s="26" t="str">
        <x:v>CHEM</x:v>
      </x:c>
      <x:c r="C147" s="26" t="str">
        <x:v>PubChem bulk chemical records and documentation</x:v>
      </x:c>
      <x:c r="D147" s="26" t="str">
        <x:v>National Center for Biotechnology Information</x:v>
      </x:c>
      <x:c r="E147" s="26" t="str">
        <x:v>Практический источник для групп CHEM</x:v>
      </x:c>
      <x:c r="F147" s="26" t="str">
        <x:v>https://pubchem.ncbi.nlm.nih.gov/docs/downloads</x:v>
      </x:c>
      <x:c r="G147" s="26" t="str">
        <x:v>https://pubchem.ncbi.nlm.nih.gov/docs/downloads</x:v>
      </x:c>
      <x:c r="H147" s="26" t="str">
        <x:v>https://pubchem.ncbi.nlm.nih.gov/docs/data-submission-policy</x:v>
      </x:c>
      <x:c r="I147" s="26" t="str">
        <x:v>PubChem is free to use but contributor licenses and bulk exceptions vary; filter by source license and never flatten provenance; database facts do not authorize handling or synthesis</x:v>
      </x:c>
      <x:c r="J147" s="26" t="str">
        <x:v>EN</x:v>
      </x:c>
      <x:c r="K147" s="26" t="str">
        <x:v>International/reference</x:v>
      </x:c>
      <x:c r="L147" s="26" t="str">
        <x:v>SDF;ASN.1;XML;JSON;JSONL;CSV;RDF;GZIP</x:v>
      </x:c>
      <x:c r="M147" s="26" t="str">
        <x:v>Use official HTTPS bulk directories or API exports; retain source-level provenance and license with every datum</x:v>
      </x:c>
      <x:c r="N147" s="26" t="str">
        <x:v>L2</x:v>
      </x:c>
      <x:c r="O147" s="26" t="str">
        <x:v>S4_REFERENCE_ONLY_PROHIBITED_HOUSEHOLD</x:v>
      </x:c>
      <x:c r="P147" s="26" t="str">
        <x:v>ANNUAL_OR_EDITION</x:v>
      </x:c>
      <x:c r="Q147" s="26" t="n">
        <x:v>4</x:v>
      </x:c>
      <x:c r="R147" s="26" t="n">
        <x:v>4</x:v>
      </x:c>
      <x:c r="S147" s="26" t="n">
        <x:v>3</x:v>
      </x:c>
      <x:c r="T147" s="26" t="n">
        <x:v>4</x:v>
      </x:c>
      <x:c r="U147" s="26" t="n">
        <x:v>4</x:v>
      </x:c>
      <x:c r="V147" s="26" t="n">
        <x:v>3</x:v>
      </x:c>
      <x:c r="W147" s="26" t="n">
        <x:v>2</x:v>
      </x:c>
      <x:c r="X147" s="26" t="n">
        <x:v>3</x:v>
      </x:c>
      <x:c r="Y147" s="26" t="n">
        <x:v>5</x:v>
      </x:c>
      <x:c r="Z147" s="26" t="n">
        <x:v>2</x:v>
      </x:c>
      <x:c r="AA147" s="26" t="n">
        <x:v>1</x:v>
      </x:c>
      <x:c r="AB147" s="26" t="str">
        <x:v>CANDIDATE</x:v>
      </x:c>
      <x:c r="AC147" s="26" t="str">
        <x:v>NOT_DOWNLOADED</x:v>
      </x:c>
      <x:c r="AD147" s="26" t="str">
        <x:v>REQUIRES_ITEM_REVIEW</x:v>
      </x:c>
      <x:c r="AE147" s="26" t="str">
        <x:v>NOT_REVIEWED</x:v>
      </x:c>
      <x:c r="AF147" s="26" t="str">
        <x:v>NOT_TESTED</x:v>
      </x:c>
      <x:c r="AG147" s="26" t="str"/>
      <x:c r="AH147" s="26" t="str"/>
      <x:c r="AI147" s="26" t="str"/>
      <x:c r="AJ147" s="26" t="str"/>
      <x:c r="AK147" s="57" t="n">
        <x:f>MAX(0,MIN(100,ROUND(((Q147*'Overview'!$B$18)+(R147*'Overview'!$B$19)+(S147*'Overview'!$B$20)+(T147*'Overview'!$B$21)+(U147*'Overview'!$B$22)+(V147*'Overview'!$B$23)+(W147*'Overview'!$B$24)+(X147*'Overview'!$B$25)-(Y147*'Overview'!$B$26)-(Z147*'Overview'!$B$27)-(AA147*'Overview'!$B$28))/5*100,0)))</x:f>
        <x:v>52</x:v>
      </x:c>
      <x:c r="AL147" s="26" t="str">
        <x:v>[SUPPLEMENTAL_RESEARCH] PubChem is free to use but contributor licenses and bulk exceptions vary; filter by source license and never flatten provenance; database facts do not authorize handling or synthesis</x:v>
      </x:c>
    </x:row>
    <x:row r="148">
      <x:c r="A148" s="53" t="str">
        <x:v>SUP-PHY-025</x:v>
      </x:c>
      <x:c r="B148" s="53" t="str">
        <x:v>CHEM|HEALTH</x:v>
      </x:c>
      <x:c r="C148" s="53" t="str">
        <x:v>NIOSH Pocket Guide to Chemical Hazards</x:v>
      </x:c>
      <x:c r="D148" s="53" t="str">
        <x:v>National Institute for Occupational Safety and Health</x:v>
      </x:c>
      <x:c r="E148" s="53" t="str">
        <x:v>Практический источник для групп CHEM|HEALTH</x:v>
      </x:c>
      <x:c r="F148" s="53" t="str">
        <x:v>https://www.cdc.gov/niosh/npg/default.html</x:v>
      </x:c>
      <x:c r="G148" s="53" t="str">
        <x:v>https://www.cdc.gov/niosh/npg/default.html</x:v>
      </x:c>
      <x:c r="H148" s="53" t="str">
        <x:v>https://www.cdc.gov/other/copyright.html</x:v>
      </x:c>
      <x:c r="I148" s="53" t="str">
        <x:v>Hazard recognition and first-response reference; US occupational limits are not Portuguese legal limits and do not replace SDS local poison-center or professional advice</x:v>
      </x:c>
      <x:c r="J148" s="53" t="str">
        <x:v>EN</x:v>
      </x:c>
      <x:c r="K148" s="53" t="str">
        <x:v>International/reference</x:v>
      </x:c>
      <x:c r="L148" s="53" t="str">
        <x:v>PDF;HTML;mobile web</x:v>
      </x:c>
      <x:c r="M148" s="53" t="str">
        <x:v>Download official PDF and archive landing page version date; keep third-party notice audit</x:v>
      </x:c>
      <x:c r="N148" s="53" t="str">
        <x:v>L1</x:v>
      </x:c>
      <x:c r="O148" s="53" t="str">
        <x:v>S0_OBSERVE_READ</x:v>
      </x:c>
      <x:c r="P148" s="53" t="str">
        <x:v>ANNUAL_OR_EDITION</x:v>
      </x:c>
      <x:c r="Q148" s="53" t="n">
        <x:v>5</x:v>
      </x:c>
      <x:c r="R148" s="53" t="n">
        <x:v>4</x:v>
      </x:c>
      <x:c r="S148" s="53" t="n">
        <x:v>4</x:v>
      </x:c>
      <x:c r="T148" s="53" t="n">
        <x:v>4</x:v>
      </x:c>
      <x:c r="U148" s="53" t="n">
        <x:v>4</x:v>
      </x:c>
      <x:c r="V148" s="53" t="n">
        <x:v>3</x:v>
      </x:c>
      <x:c r="W148" s="53" t="n">
        <x:v>2</x:v>
      </x:c>
      <x:c r="X148" s="53" t="n">
        <x:v>3</x:v>
      </x:c>
      <x:c r="Y148" s="53" t="n">
        <x:v>0</x:v>
      </x:c>
      <x:c r="Z148" s="53" t="n">
        <x:v>2</x:v>
      </x:c>
      <x:c r="AA148" s="53" t="n">
        <x:v>1</x:v>
      </x:c>
      <x:c r="AB148" s="53" t="str">
        <x:v>CANDIDATE</x:v>
      </x:c>
      <x:c r="AC148" s="53" t="str">
        <x:v>NOT_DOWNLOADED</x:v>
      </x:c>
      <x:c r="AD148" s="53" t="str">
        <x:v>REQUIRES_ITEM_REVIEW</x:v>
      </x:c>
      <x:c r="AE148" s="53" t="str">
        <x:v>NOT_REVIEWED</x:v>
      </x:c>
      <x:c r="AF148" s="53" t="str">
        <x:v>NOT_TESTED</x:v>
      </x:c>
      <x:c r="AG148" s="53" t="str"/>
      <x:c r="AH148" s="53" t="str"/>
      <x:c r="AI148" s="53" t="str"/>
      <x:c r="AJ148" s="53" t="str"/>
      <x:c r="AK148" s="57" t="n">
        <x:f>MAX(0,MIN(100,ROUND(((Q148*'Overview'!$B$18)+(R148*'Overview'!$B$19)+(S148*'Overview'!$B$20)+(T148*'Overview'!$B$21)+(U148*'Overview'!$B$22)+(V148*'Overview'!$B$23)+(W148*'Overview'!$B$24)+(X148*'Overview'!$B$25)-(Y148*'Overview'!$B$26)-(Z148*'Overview'!$B$27)-(AA148*'Overview'!$B$28))/5*100,0)))</x:f>
        <x:v>75</x:v>
      </x:c>
      <x:c r="AL148" s="53" t="str">
        <x:v>[SUPPLEMENTAL_RESEARCH] Hazard recognition and first-response reference; US occupational limits are not Portuguese legal limits and do not replace SDS local poison-center or professional advice</x:v>
      </x:c>
    </x:row>
    <x:row r="149">
      <x:c r="A149" s="26" t="str">
        <x:v>SUP-PHY-026</x:v>
      </x:c>
      <x:c r="B149" s="26" t="str">
        <x:v>PORT</x:v>
      </x:c>
      <x:c r="C149" s="26" t="str">
        <x:v>Globally Harmonized System of Classification and Labelling of Chemicals Revision 10</x:v>
      </x:c>
      <x:c r="D149" s="26" t="str">
        <x:v>United Nations Economic Commission for Europe</x:v>
      </x:c>
      <x:c r="E149" s="26" t="str">
        <x:v>Практический источник для групп PORT</x:v>
      </x:c>
      <x:c r="F149" s="26" t="str">
        <x:v>https://unece.org/transport/dangerous-goods/ghs-rev10-2023</x:v>
      </x:c>
      <x:c r="G149" s="26" t="str">
        <x:v>https://unece.org/transport/dangerous-goods/ghs-rev10-2023</x:v>
      </x:c>
      <x:c r="H149" s="26" t="str">
        <x:v>https://unece.org/transport/dangerous-goods/ghs-rev10-2023</x:v>
      </x:c>
      <x:c r="I149" s="26" t="str">
        <x:v>Free consultation does not equal redistribution rights; the official page reserves rights and requires permission for reproduction republishing mirroring or translation</x:v>
      </x:c>
      <x:c r="J149" s="26" t="str">
        <x:v>EN;FR;RU;ES;AR;ZH</x:v>
      </x:c>
      <x:c r="K149" s="26" t="str">
        <x:v>Portugal/EU</x:v>
      </x:c>
      <x:c r="L149" s="26" t="str">
        <x:v>PDF</x:v>
      </x:c>
      <x:c r="M149" s="26" t="str">
        <x:v>Keep an official private reference PDF only if download terms permit; preserve the UN copyright notice; no mirror translation or repackage</x:v>
      </x:c>
      <x:c r="N149" s="26" t="str">
        <x:v>L4</x:v>
      </x:c>
      <x:c r="O149" s="26" t="str">
        <x:v>S0_OBSERVE_READ</x:v>
      </x:c>
      <x:c r="P149" s="26" t="str">
        <x:v>ANNUAL_OR_EDITION</x:v>
      </x:c>
      <x:c r="Q149" s="26" t="n">
        <x:v>3</x:v>
      </x:c>
      <x:c r="R149" s="26" t="n">
        <x:v>4</x:v>
      </x:c>
      <x:c r="S149" s="26" t="n">
        <x:v>3</x:v>
      </x:c>
      <x:c r="T149" s="26" t="n">
        <x:v>4</x:v>
      </x:c>
      <x:c r="U149" s="26" t="n">
        <x:v>2</x:v>
      </x:c>
      <x:c r="V149" s="26" t="n">
        <x:v>1</x:v>
      </x:c>
      <x:c r="W149" s="26" t="n">
        <x:v>4</x:v>
      </x:c>
      <x:c r="X149" s="26" t="n">
        <x:v>3</x:v>
      </x:c>
      <x:c r="Y149" s="26" t="n">
        <x:v>0</x:v>
      </x:c>
      <x:c r="Z149" s="26" t="n">
        <x:v>2</x:v>
      </x:c>
      <x:c r="AA149" s="26" t="n">
        <x:v>5</x:v>
      </x:c>
      <x:c r="AB149" s="26" t="str">
        <x:v>CANDIDATE</x:v>
      </x:c>
      <x:c r="AC149" s="26" t="str">
        <x:v>NOT_DOWNLOADED</x:v>
      </x:c>
      <x:c r="AD149" s="26" t="str">
        <x:v>REFERENCE_ONLY_NO_COPY</x:v>
      </x:c>
      <x:c r="AE149" s="26" t="str">
        <x:v>NOT_REVIEWED</x:v>
      </x:c>
      <x:c r="AF149" s="26" t="str">
        <x:v>NOT_TESTED</x:v>
      </x:c>
      <x:c r="AG149" s="26" t="str"/>
      <x:c r="AH149" s="26" t="str"/>
      <x:c r="AI149" s="26" t="str"/>
      <x:c r="AJ149" s="26" t="str"/>
      <x:c r="AK149" s="57" t="n">
        <x:f>MAX(0,MIN(100,ROUND(((Q149*'Overview'!$B$18)+(R149*'Overview'!$B$19)+(S149*'Overview'!$B$20)+(T149*'Overview'!$B$21)+(U149*'Overview'!$B$22)+(V149*'Overview'!$B$23)+(W149*'Overview'!$B$24)+(X149*'Overview'!$B$25)-(Y149*'Overview'!$B$26)-(Z149*'Overview'!$B$27)-(AA149*'Overview'!$B$28))/5*100,0)))</x:f>
        <x:v>52</x:v>
      </x:c>
      <x:c r="AL149" s="26" t="str">
        <x:v>[SUPPLEMENTAL_RESEARCH] Free consultation does not equal redistribution rights; the official page reserves rights and requires permission for reproduction republishing mirroring or translation</x:v>
      </x:c>
    </x:row>
    <x:row r="150">
      <x:c r="A150" s="53" t="str">
        <x:v>SUP-PHY-027</x:v>
      </x:c>
      <x:c r="B150" s="53" t="str">
        <x:v>METH</x:v>
      </x:c>
      <x:c r="C150" s="53" t="str">
        <x:v>PhET regular HTML simulations and offline access package</x:v>
      </x:c>
      <x:c r="D150" s="53" t="str">
        <x:v>PhET Interactive Simulations at University of Colorado Boulder</x:v>
      </x:c>
      <x:c r="E150" s="53" t="str">
        <x:v>Практический источник для групп METH</x:v>
      </x:c>
      <x:c r="F150" s="53" t="str">
        <x:v>https://phet.colorado.edu/en/offline-access</x:v>
      </x:c>
      <x:c r="G150" s="53" t="str">
        <x:v>https://phet.colorado.edu/en/offline-access</x:v>
      </x:c>
      <x:c r="H150" s="53" t="str">
        <x:v>https://phet.colorado.edu/en/licensing</x:v>
      </x:c>
      <x:c r="I150" s="53" t="str">
        <x:v>Current licensing page says regular HTML simulations are CC BY-NC 4.0 with required attribution and visible logo; older pages show different terms; exclude PhET-iO Studio and prototypes unless separately licensed</x:v>
      </x:c>
      <x:c r="J150" s="53" t="str">
        <x:v>Many languages including EN;PT;RU;UK availability varies by simulation</x:v>
      </x:c>
      <x:c r="K150" s="53" t="str">
        <x:v>International/reference</x:v>
      </x:c>
      <x:c r="L150" s="53" t="str">
        <x:v>Single-file HTML5;desktop app;mobile app</x:v>
      </x:c>
      <x:c r="M150" s="53" t="str">
        <x:v>Download individual regular HTML simulations or official desktop package; freeze exact version license and runtime</x:v>
      </x:c>
      <x:c r="N150" s="53" t="str">
        <x:v>L2</x:v>
      </x:c>
      <x:c r="O150" s="53" t="str">
        <x:v>S1_LOW_RISK_HOUSEHOLD</x:v>
      </x:c>
      <x:c r="P150" s="53" t="str">
        <x:v>ANNUAL_OR_EDITION</x:v>
      </x:c>
      <x:c r="Q150" s="53" t="n">
        <x:v>4</x:v>
      </x:c>
      <x:c r="R150" s="53" t="n">
        <x:v>4</x:v>
      </x:c>
      <x:c r="S150" s="53" t="n">
        <x:v>3</x:v>
      </x:c>
      <x:c r="T150" s="53" t="n">
        <x:v>4</x:v>
      </x:c>
      <x:c r="U150" s="53" t="n">
        <x:v>4</x:v>
      </x:c>
      <x:c r="V150" s="53" t="n">
        <x:v>3</x:v>
      </x:c>
      <x:c r="W150" s="53" t="n">
        <x:v>4</x:v>
      </x:c>
      <x:c r="X150" s="53" t="n">
        <x:v>3</x:v>
      </x:c>
      <x:c r="Y150" s="53" t="n">
        <x:v>0</x:v>
      </x:c>
      <x:c r="Z150" s="53" t="n">
        <x:v>2</x:v>
      </x:c>
      <x:c r="AA150" s="53" t="n">
        <x:v>1</x:v>
      </x:c>
      <x:c r="AB150" s="53" t="str">
        <x:v>CANDIDATE</x:v>
      </x:c>
      <x:c r="AC150" s="53" t="str">
        <x:v>NOT_DOWNLOADED</x:v>
      </x:c>
      <x:c r="AD150" s="53" t="str">
        <x:v>REQUIRES_ITEM_REVIEW</x:v>
      </x:c>
      <x:c r="AE150" s="53" t="str">
        <x:v>NOT_REVIEWED</x:v>
      </x:c>
      <x:c r="AF150" s="53" t="str">
        <x:v>NOT_TESTED</x:v>
      </x:c>
      <x:c r="AG150" s="53" t="str"/>
      <x:c r="AH150" s="53" t="str"/>
      <x:c r="AI150" s="53" t="str"/>
      <x:c r="AJ150" s="53" t="str"/>
      <x:c r="AK150" s="57" t="n">
        <x:f>MAX(0,MIN(100,ROUND(((Q150*'Overview'!$B$18)+(R150*'Overview'!$B$19)+(S150*'Overview'!$B$20)+(T150*'Overview'!$B$21)+(U150*'Overview'!$B$22)+(V150*'Overview'!$B$23)+(W150*'Overview'!$B$24)+(X150*'Overview'!$B$25)-(Y150*'Overview'!$B$26)-(Z150*'Overview'!$B$27)-(AA150*'Overview'!$B$28))/5*100,0)))</x:f>
        <x:v>69</x:v>
      </x:c>
      <x:c r="AL150" s="53" t="str">
        <x:v>[SUPPLEMENTAL_RESEARCH] Current licensing page says regular HTML simulations are CC BY-NC 4.0 with required attribution and visible logo; older pages show different terms; exclude PhET-iO Studio and prototypes unless separately licensed</x:v>
      </x:c>
    </x:row>
    <x:row r="151">
      <x:c r="A151" s="26" t="str">
        <x:v>SUP-PHY-028</x:v>
      </x:c>
      <x:c r="B151" s="26" t="str">
        <x:v>ELEC|OPS</x:v>
      </x:c>
      <x:c r="C151" s="26" t="str">
        <x:v>KiCad program documentation and official libraries</x:v>
      </x:c>
      <x:c r="D151" s="26" t="str">
        <x:v>KiCad project</x:v>
      </x:c>
      <x:c r="E151" s="26" t="str">
        <x:v>Практический источник для групп ELEC|OPS</x:v>
      </x:c>
      <x:c r="F151" s="26" t="str">
        <x:v>https://www.kicad.org/</x:v>
      </x:c>
      <x:c r="G151" s="26" t="str">
        <x:v>https://www.kicad.org/</x:v>
      </x:c>
      <x:c r="H151" s="26" t="str">
        <x:v>https://www.kicad.org/about/licenses/</x:v>
      </x:c>
      <x:c r="I151" s="26" t="str">
        <x:v>Program mainly GPLv3+; documentation dual GPLv3+ or CC BY 3+; libraries CC BY-SA 4.0 with exception; preserve component-level licenses; PCB design does not make fabrication or mains design safe</x:v>
      </x:c>
      <x:c r="J151" s="26" t="str">
        <x:v>Many languages including EN</x:v>
      </x:c>
      <x:c r="K151" s="26" t="str">
        <x:v>International/reference</x:v>
      </x:c>
      <x:c r="L151" s="26" t="str">
        <x:v>Installers;source;PDF;HTML;symbol footprint and 3D libraries</x:v>
      </x:c>
      <x:c r="M151" s="26" t="str">
        <x:v>Archive a stable installer release source tarball official libraries PDF manuals checksums and build dependencies</x:v>
      </x:c>
      <x:c r="N151" s="26" t="str">
        <x:v>L1</x:v>
      </x:c>
      <x:c r="O151" s="26" t="str">
        <x:v>S2_TRAINED_SUPERVISED</x:v>
      </x:c>
      <x:c r="P151" s="26" t="str">
        <x:v>ANNUAL_OR_EDITION</x:v>
      </x:c>
      <x:c r="Q151" s="26" t="n">
        <x:v>5</x:v>
      </x:c>
      <x:c r="R151" s="26" t="n">
        <x:v>4</x:v>
      </x:c>
      <x:c r="S151" s="26" t="n">
        <x:v>4</x:v>
      </x:c>
      <x:c r="T151" s="26" t="n">
        <x:v>4</x:v>
      </x:c>
      <x:c r="U151" s="26" t="n">
        <x:v>4</x:v>
      </x:c>
      <x:c r="V151" s="26" t="n">
        <x:v>3</x:v>
      </x:c>
      <x:c r="W151" s="26" t="n">
        <x:v>2</x:v>
      </x:c>
      <x:c r="X151" s="26" t="n">
        <x:v>3</x:v>
      </x:c>
      <x:c r="Y151" s="26" t="n">
        <x:v>2</x:v>
      </x:c>
      <x:c r="Z151" s="26" t="n">
        <x:v>2</x:v>
      </x:c>
      <x:c r="AA151" s="26" t="n">
        <x:v>1</x:v>
      </x:c>
      <x:c r="AB151" s="26" t="str">
        <x:v>CANDIDATE</x:v>
      </x:c>
      <x:c r="AC151" s="26" t="str">
        <x:v>NOT_DOWNLOADED</x:v>
      </x:c>
      <x:c r="AD151" s="26" t="str">
        <x:v>REQUIRES_ITEM_REVIEW</x:v>
      </x:c>
      <x:c r="AE151" s="26" t="str">
        <x:v>NOT_REVIEWED</x:v>
      </x:c>
      <x:c r="AF151" s="26" t="str">
        <x:v>NOT_TESTED</x:v>
      </x:c>
      <x:c r="AG151" s="26" t="str"/>
      <x:c r="AH151" s="26" t="str"/>
      <x:c r="AI151" s="26" t="str"/>
      <x:c r="AJ151" s="26" t="str"/>
      <x:c r="AK151" s="57" t="n">
        <x:f>MAX(0,MIN(100,ROUND(((Q151*'Overview'!$B$18)+(R151*'Overview'!$B$19)+(S151*'Overview'!$B$20)+(T151*'Overview'!$B$21)+(U151*'Overview'!$B$22)+(V151*'Overview'!$B$23)+(W151*'Overview'!$B$24)+(X151*'Overview'!$B$25)-(Y151*'Overview'!$B$26)-(Z151*'Overview'!$B$27)-(AA151*'Overview'!$B$28))/5*100,0)))</x:f>
        <x:v>69</x:v>
      </x:c>
      <x:c r="AL151" s="26" t="str">
        <x:v>[SUPPLEMENTAL_RESEARCH] Program mainly GPLv3+; documentation dual GPLv3+ or CC BY 3+; libraries CC BY-SA 4.0 with exception; preserve component-level licenses; PCB design does not make fabrication or mains design safe</x:v>
      </x:c>
    </x:row>
    <x:row r="152">
      <x:c r="A152" s="53" t="str">
        <x:v>SUP-PHY-029</x:v>
      </x:c>
      <x:c r="B152" s="53" t="str">
        <x:v>ELEC</x:v>
      </x:c>
      <x:c r="C152" s="53" t="str">
        <x:v>Official Raspberry Pi documentation source</x:v>
      </x:c>
      <x:c r="D152" s="53" t="str">
        <x:v>Raspberry Pi Ltd</x:v>
      </x:c>
      <x:c r="E152" s="53" t="str">
        <x:v>Практический источник для групп ELEC</x:v>
      </x:c>
      <x:c r="F152" s="53" t="str">
        <x:v>https://github.com/raspberrypi/documentation</x:v>
      </x:c>
      <x:c r="G152" s="53" t="str">
        <x:v>https://github.com/raspberrypi/documentation</x:v>
      </x:c>
      <x:c r="H152" s="53" t="str">
        <x:v>https://github.com/raspberrypi/documentation/blob/master/LICENSE.md</x:v>
      </x:c>
      <x:c r="I152" s="53" t="str">
        <x:v>Documentation directory is CC BY-SA 4.0 and tooling BSD-3; preserve submodule and third-party notices; GPIO work remains low-voltage only</x:v>
      </x:c>
      <x:c r="J152" s="53" t="str">
        <x:v>EN</x:v>
      </x:c>
      <x:c r="K152" s="53" t="str">
        <x:v>International/reference</x:v>
      </x:c>
      <x:c r="L152" s="53" t="str">
        <x:v>AsciiDoc;source assets;HTML build;Git history</x:v>
      </x:c>
      <x:c r="M152" s="53" t="str">
        <x:v>Clone an immutable commit or signed release; archive source build toolchain and rendered static copy</x:v>
      </x:c>
      <x:c r="N152" s="53" t="str">
        <x:v>L1</x:v>
      </x:c>
      <x:c r="O152" s="53" t="str">
        <x:v>S3_LICENSED_PROFESSIONAL</x:v>
      </x:c>
      <x:c r="P152" s="53" t="str">
        <x:v>ANNUAL_OR_EDITION</x:v>
      </x:c>
      <x:c r="Q152" s="53" t="n">
        <x:v>5</x:v>
      </x:c>
      <x:c r="R152" s="53" t="n">
        <x:v>4</x:v>
      </x:c>
      <x:c r="S152" s="53" t="n">
        <x:v>4</x:v>
      </x:c>
      <x:c r="T152" s="53" t="n">
        <x:v>4</x:v>
      </x:c>
      <x:c r="U152" s="53" t="n">
        <x:v>4</x:v>
      </x:c>
      <x:c r="V152" s="53" t="n">
        <x:v>3</x:v>
      </x:c>
      <x:c r="W152" s="53" t="n">
        <x:v>2</x:v>
      </x:c>
      <x:c r="X152" s="53" t="n">
        <x:v>3</x:v>
      </x:c>
      <x:c r="Y152" s="53" t="n">
        <x:v>4</x:v>
      </x:c>
      <x:c r="Z152" s="53" t="n">
        <x:v>2</x:v>
      </x:c>
      <x:c r="AA152" s="53" t="n">
        <x:v>1</x:v>
      </x:c>
      <x:c r="AB152" s="53" t="str">
        <x:v>CANDIDATE</x:v>
      </x:c>
      <x:c r="AC152" s="53" t="str">
        <x:v>NOT_DOWNLOADED</x:v>
      </x:c>
      <x:c r="AD152" s="53" t="str">
        <x:v>REQUIRES_ITEM_REVIEW</x:v>
      </x:c>
      <x:c r="AE152" s="53" t="str">
        <x:v>NOT_REVIEWED</x:v>
      </x:c>
      <x:c r="AF152" s="53" t="str">
        <x:v>NOT_TESTED</x:v>
      </x:c>
      <x:c r="AG152" s="53" t="str"/>
      <x:c r="AH152" s="53" t="str"/>
      <x:c r="AI152" s="53" t="str"/>
      <x:c r="AJ152" s="53" t="str"/>
      <x:c r="AK152" s="57" t="n">
        <x:f>MAX(0,MIN(100,ROUND(((Q152*'Overview'!$B$18)+(R152*'Overview'!$B$19)+(S152*'Overview'!$B$20)+(T152*'Overview'!$B$21)+(U152*'Overview'!$B$22)+(V152*'Overview'!$B$23)+(W152*'Overview'!$B$24)+(X152*'Overview'!$B$25)-(Y152*'Overview'!$B$26)-(Z152*'Overview'!$B$27)-(AA152*'Overview'!$B$28))/5*100,0)))</x:f>
        <x:v>63</x:v>
      </x:c>
      <x:c r="AL152" s="53" t="str">
        <x:v>[SUPPLEMENTAL_RESEARCH] Documentation directory is CC BY-SA 4.0 and tooling BSD-3; preserve submodule and third-party notices; GPIO work remains low-voltage only</x:v>
      </x:c>
    </x:row>
    <x:row r="153">
      <x:c r="A153" s="26" t="str">
        <x:v>SUP-PHY-030</x:v>
      </x:c>
      <x:c r="B153" s="26" t="str">
        <x:v>ELEC</x:v>
      </x:c>
      <x:c r="C153" s="26" t="str">
        <x:v>Arduino documentation source</x:v>
      </x:c>
      <x:c r="D153" s="26" t="str">
        <x:v>Arduino</x:v>
      </x:c>
      <x:c r="E153" s="26" t="str">
        <x:v>Практический источник для групп ELEC</x:v>
      </x:c>
      <x:c r="F153" s="26" t="str">
        <x:v>https://github.com/arduino/docs-content</x:v>
      </x:c>
      <x:c r="G153" s="26" t="str">
        <x:v>https://github.com/arduino/docs-content</x:v>
      </x:c>
      <x:c r="H153" s="26" t="str">
        <x:v>https://github.com/arduino/docs-content/blob/main/LICENSE.md</x:v>
      </x:c>
      <x:c r="I153" s="26" t="str">
        <x:v>Official repository license file is CC BY-SA 4.0; preserve media exceptions; board tutorials do not authorize mains motors batteries or high-current loads</x:v>
      </x:c>
      <x:c r="J153" s="26" t="str">
        <x:v>EN;some localized content</x:v>
      </x:c>
      <x:c r="K153" s="26" t="str">
        <x:v>International/reference</x:v>
      </x:c>
      <x:c r="L153" s="26" t="str">
        <x:v>Markdown;YAML;images;Git source</x:v>
      </x:c>
      <x:c r="M153" s="26" t="str">
        <x:v>Clone and pin a commit; archive license source assets and a locally rendered copy</x:v>
      </x:c>
      <x:c r="N153" s="26" t="str">
        <x:v>L1</x:v>
      </x:c>
      <x:c r="O153" s="26" t="str">
        <x:v>S3_LICENSED_PROFESSIONAL</x:v>
      </x:c>
      <x:c r="P153" s="26" t="str">
        <x:v>ANNUAL_OR_EDITION</x:v>
      </x:c>
      <x:c r="Q153" s="26" t="n">
        <x:v>5</x:v>
      </x:c>
      <x:c r="R153" s="26" t="n">
        <x:v>4</x:v>
      </x:c>
      <x:c r="S153" s="26" t="n">
        <x:v>4</x:v>
      </x:c>
      <x:c r="T153" s="26" t="n">
        <x:v>4</x:v>
      </x:c>
      <x:c r="U153" s="26" t="n">
        <x:v>4</x:v>
      </x:c>
      <x:c r="V153" s="26" t="n">
        <x:v>3</x:v>
      </x:c>
      <x:c r="W153" s="26" t="n">
        <x:v>2</x:v>
      </x:c>
      <x:c r="X153" s="26" t="n">
        <x:v>3</x:v>
      </x:c>
      <x:c r="Y153" s="26" t="n">
        <x:v>4</x:v>
      </x:c>
      <x:c r="Z153" s="26" t="n">
        <x:v>2</x:v>
      </x:c>
      <x:c r="AA153" s="26" t="n">
        <x:v>1</x:v>
      </x:c>
      <x:c r="AB153" s="26" t="str">
        <x:v>CANDIDATE</x:v>
      </x:c>
      <x:c r="AC153" s="26" t="str">
        <x:v>NOT_DOWNLOADED</x:v>
      </x:c>
      <x:c r="AD153" s="26" t="str">
        <x:v>REQUIRES_ITEM_REVIEW</x:v>
      </x:c>
      <x:c r="AE153" s="26" t="str">
        <x:v>NOT_REVIEWED</x:v>
      </x:c>
      <x:c r="AF153" s="26" t="str">
        <x:v>NOT_TESTED</x:v>
      </x:c>
      <x:c r="AG153" s="26" t="str"/>
      <x:c r="AH153" s="26" t="str"/>
      <x:c r="AI153" s="26" t="str"/>
      <x:c r="AJ153" s="26" t="str"/>
      <x:c r="AK153" s="57" t="n">
        <x:f>MAX(0,MIN(100,ROUND(((Q153*'Overview'!$B$18)+(R153*'Overview'!$B$19)+(S153*'Overview'!$B$20)+(T153*'Overview'!$B$21)+(U153*'Overview'!$B$22)+(V153*'Overview'!$B$23)+(W153*'Overview'!$B$24)+(X153*'Overview'!$B$25)-(Y153*'Overview'!$B$26)-(Z153*'Overview'!$B$27)-(AA153*'Overview'!$B$28))/5*100,0)))</x:f>
        <x:v>63</x:v>
      </x:c>
      <x:c r="AL153" s="26" t="str">
        <x:v>[SUPPLEMENTAL_RESEARCH] Official repository license file is CC BY-SA 4.0; preserve media exceptions; board tutorials do not authorize mains motors batteries or high-current loads</x:v>
      </x:c>
    </x:row>
    <x:row r="154">
      <x:c r="A154" s="53" t="str">
        <x:v>SUP-PHY-031</x:v>
      </x:c>
      <x:c r="B154" s="53" t="str">
        <x:v>ELEC</x:v>
      </x:c>
      <x:c r="C154" s="53" t="str">
        <x:v>Arduino IDE built-in examples</x:v>
      </x:c>
      <x:c r="D154" s="53" t="str">
        <x:v>Arduino</x:v>
      </x:c>
      <x:c r="E154" s="53" t="str">
        <x:v>Практический источник для групп ELEC</x:v>
      </x:c>
      <x:c r="F154" s="53" t="str">
        <x:v>https://github.com/arduino/arduino-examples</x:v>
      </x:c>
      <x:c r="G154" s="53" t="str">
        <x:v>https://github.com/arduino/arduino-examples</x:v>
      </x:c>
      <x:c r="H154" s="53" t="str">
        <x:v>https://github.com/arduino/arduino-examples/blob/main/LICENSE.txt</x:v>
      </x:c>
      <x:c r="I154" s="53" t="str">
        <x:v>CC0-1.0 examples; safety-filter examples that control heaters motors relays radios or high-current loads; compilation is not hardware safety proof</x:v>
      </x:c>
      <x:c r="J154" s="53" t="str">
        <x:v>EN</x:v>
      </x:c>
      <x:c r="K154" s="53" t="str">
        <x:v>International/reference</x:v>
      </x:c>
      <x:c r="L154" s="53" t="str">
        <x:v>Source sketches;Git repository</x:v>
      </x:c>
      <x:c r="M154" s="53" t="str">
        <x:v>Clone and pin a commit; compile representative low-voltage examples with archived board core and toolchain</x:v>
      </x:c>
      <x:c r="N154" s="53" t="str">
        <x:v>L1</x:v>
      </x:c>
      <x:c r="O154" s="53" t="str">
        <x:v>S1_LOW_RISK_HOUSEHOLD</x:v>
      </x:c>
      <x:c r="P154" s="53" t="str">
        <x:v>ANNUAL_OR_EDITION</x:v>
      </x:c>
      <x:c r="Q154" s="53" t="n">
        <x:v>5</x:v>
      </x:c>
      <x:c r="R154" s="53" t="n">
        <x:v>4</x:v>
      </x:c>
      <x:c r="S154" s="53" t="n">
        <x:v>4</x:v>
      </x:c>
      <x:c r="T154" s="53" t="n">
        <x:v>4</x:v>
      </x:c>
      <x:c r="U154" s="53" t="n">
        <x:v>4</x:v>
      </x:c>
      <x:c r="V154" s="53" t="n">
        <x:v>3</x:v>
      </x:c>
      <x:c r="W154" s="53" t="n">
        <x:v>2</x:v>
      </x:c>
      <x:c r="X154" s="53" t="n">
        <x:v>3</x:v>
      </x:c>
      <x:c r="Y154" s="53" t="n">
        <x:v>0</x:v>
      </x:c>
      <x:c r="Z154" s="53" t="n">
        <x:v>2</x:v>
      </x:c>
      <x:c r="AA154" s="53" t="n">
        <x:v>1</x:v>
      </x:c>
      <x:c r="AB154" s="53" t="str">
        <x:v>CANDIDATE</x:v>
      </x:c>
      <x:c r="AC154" s="53" t="str">
        <x:v>NOT_DOWNLOADED</x:v>
      </x:c>
      <x:c r="AD154" s="53" t="str">
        <x:v>REQUIRES_ITEM_REVIEW</x:v>
      </x:c>
      <x:c r="AE154" s="53" t="str">
        <x:v>NOT_REVIEWED</x:v>
      </x:c>
      <x:c r="AF154" s="53" t="str">
        <x:v>NOT_TESTED</x:v>
      </x:c>
      <x:c r="AG154" s="53" t="str"/>
      <x:c r="AH154" s="53" t="str"/>
      <x:c r="AI154" s="53" t="str"/>
      <x:c r="AJ154" s="53" t="str"/>
      <x:c r="AK154" s="57" t="n">
        <x:f>MAX(0,MIN(100,ROUND(((Q154*'Overview'!$B$18)+(R154*'Overview'!$B$19)+(S154*'Overview'!$B$20)+(T154*'Overview'!$B$21)+(U154*'Overview'!$B$22)+(V154*'Overview'!$B$23)+(W154*'Overview'!$B$24)+(X154*'Overview'!$B$25)-(Y154*'Overview'!$B$26)-(Z154*'Overview'!$B$27)-(AA154*'Overview'!$B$28))/5*100,0)))</x:f>
        <x:v>75</x:v>
      </x:c>
      <x:c r="AL154" s="53" t="str">
        <x:v>[SUPPLEMENTAL_RESEARCH] CC0-1.0 examples; safety-filter examples that control heaters motors relays radios or high-current loads; compilation is not hardware safety proof</x:v>
      </x:c>
    </x:row>
    <x:row r="155">
      <x:c r="A155" s="26" t="str">
        <x:v>SUP-PHY-032</x:v>
      </x:c>
      <x:c r="B155" s="26" t="str">
        <x:v>PHYS|CIVIL</x:v>
      </x:c>
      <x:c r="C155" s="26" t="str">
        <x:v>EnergyPlus whole-building energy simulation</x:v>
      </x:c>
      <x:c r="D155" s="26" t="str">
        <x:v>US Department of Energy and National Laboratory of the Rockies</x:v>
      </x:c>
      <x:c r="E155" s="26" t="str">
        <x:v>Практический источник для групп PHYS|CIVIL</x:v>
      </x:c>
      <x:c r="F155" s="26" t="str">
        <x:v>https://github.com/NatLabRockies/EnergyPlus/releases</x:v>
      </x:c>
      <x:c r="G155" s="26" t="str">
        <x:v>https://github.com/NatLabRockies/EnergyPlus/releases</x:v>
      </x:c>
      <x:c r="H155" s="26" t="str">
        <x:v>https://github.com/NatLabRockies/EnergyPlus/blob/develop/LICENSE.txt</x:v>
      </x:c>
      <x:c r="I155" s="26" t="str">
        <x:v>Open-source BSD-style terms with third-party notices; the first-party repository warns that production use should choose formal public releases; simulation is not current Portuguese code compliance or construction approval</x:v>
      </x:c>
      <x:c r="J155" s="26" t="str">
        <x:v>EN</x:v>
      </x:c>
      <x:c r="K155" s="26" t="str">
        <x:v>International/reference</x:v>
      </x:c>
      <x:c r="L155" s="26" t="str">
        <x:v>Installers;source;PDF documentation;examples;weather files</x:v>
      </x:c>
      <x:c r="M155" s="26" t="str">
        <x:v>Archive a formal stable official release installer source documentation example models weather provenance and supplied checksums; avoid prereleases and test artifacts</x:v>
      </x:c>
      <x:c r="N155" s="26" t="str">
        <x:v>L2</x:v>
      </x:c>
      <x:c r="O155" s="26" t="str">
        <x:v>S0_OBSERVE_READ</x:v>
      </x:c>
      <x:c r="P155" s="26" t="str">
        <x:v>ANNUAL_OR_EDITION</x:v>
      </x:c>
      <x:c r="Q155" s="26" t="n">
        <x:v>4</x:v>
      </x:c>
      <x:c r="R155" s="26" t="n">
        <x:v>4</x:v>
      </x:c>
      <x:c r="S155" s="26" t="n">
        <x:v>3</x:v>
      </x:c>
      <x:c r="T155" s="26" t="n">
        <x:v>4</x:v>
      </x:c>
      <x:c r="U155" s="26" t="n">
        <x:v>4</x:v>
      </x:c>
      <x:c r="V155" s="26" t="n">
        <x:v>3</x:v>
      </x:c>
      <x:c r="W155" s="26" t="n">
        <x:v>2</x:v>
      </x:c>
      <x:c r="X155" s="26" t="n">
        <x:v>3</x:v>
      </x:c>
      <x:c r="Y155" s="26" t="n">
        <x:v>0</x:v>
      </x:c>
      <x:c r="Z155" s="26" t="n">
        <x:v>2</x:v>
      </x:c>
      <x:c r="AA155" s="26" t="n">
        <x:v>1</x:v>
      </x:c>
      <x:c r="AB155" s="26" t="str">
        <x:v>CANDIDATE</x:v>
      </x:c>
      <x:c r="AC155" s="26" t="str">
        <x:v>NOT_DOWNLOADED</x:v>
      </x:c>
      <x:c r="AD155" s="26" t="str">
        <x:v>REQUIRES_ITEM_REVIEW</x:v>
      </x:c>
      <x:c r="AE155" s="26" t="str">
        <x:v>NOT_REVIEWED</x:v>
      </x:c>
      <x:c r="AF155" s="26" t="str">
        <x:v>NOT_TESTED</x:v>
      </x:c>
      <x:c r="AG155" s="26" t="str"/>
      <x:c r="AH155" s="26" t="str"/>
      <x:c r="AI155" s="26" t="str"/>
      <x:c r="AJ155" s="26" t="str"/>
      <x:c r="AK155" s="57" t="n">
        <x:f>MAX(0,MIN(100,ROUND(((Q155*'Overview'!$B$18)+(R155*'Overview'!$B$19)+(S155*'Overview'!$B$20)+(T155*'Overview'!$B$21)+(U155*'Overview'!$B$22)+(V155*'Overview'!$B$23)+(W155*'Overview'!$B$24)+(X155*'Overview'!$B$25)-(Y155*'Overview'!$B$26)-(Z155*'Overview'!$B$27)-(AA155*'Overview'!$B$28))/5*100,0)))</x:f>
        <x:v>67</x:v>
      </x:c>
      <x:c r="AL155" s="26" t="str">
        <x:v>[SUPPLEMENTAL_RESEARCH] Open-source BSD-style terms with third-party notices; the first-party repository warns that production use should choose formal public releases; simulation is not current Portuguese code compliance or construction approval</x:v>
      </x:c>
    </x:row>
    <x:row r="156">
      <x:c r="A156" s="53" t="str">
        <x:v>SUP-PHY-033</x:v>
      </x:c>
      <x:c r="B156" s="53" t="str">
        <x:v>METH</x:v>
      </x:c>
      <x:c r="C156" s="53" t="str">
        <x:v>System Advisor Model: SAM</x:v>
      </x:c>
      <x:c r="D156" s="53" t="str">
        <x:v>National Renewable Energy Laboratory</x:v>
      </x:c>
      <x:c r="E156" s="53" t="str">
        <x:v>Практический источник для групп METH</x:v>
      </x:c>
      <x:c r="F156" s="53" t="str">
        <x:v>https://sam.nrel.gov/download.html</x:v>
      </x:c>
      <x:c r="G156" s="53" t="str">
        <x:v>https://sam.nrel.gov/download.html</x:v>
      </x:c>
      <x:c r="H156" s="53" t="str">
        <x:v>https://sam.nrel.gov/sam-open-source.html</x:v>
      </x:c>
      <x:c r="I156" s="53" t="str">
        <x:v>Source uses BSD-3; desktop builds may require email registration key; never rely on a cloud or activation-dependent executable as the sole century copy</x:v>
      </x:c>
      <x:c r="J156" s="53" t="str">
        <x:v>EN</x:v>
      </x:c>
      <x:c r="K156" s="53" t="str">
        <x:v>International/reference</x:v>
      </x:c>
      <x:c r="L156" s="53" t="str">
        <x:v>Windows macOS Linux installers;source;PDF and HTML help;examples</x:v>
      </x:c>
      <x:c r="M156" s="53" t="str">
        <x:v>Archive versioned installers source help PDF input libraries and license; test activation and clean-device launch while online</x:v>
      </x:c>
      <x:c r="N156" s="53" t="str">
        <x:v>L2</x:v>
      </x:c>
      <x:c r="O156" s="53" t="str">
        <x:v>S0_OBSERVE_READ</x:v>
      </x:c>
      <x:c r="P156" s="53" t="str">
        <x:v>ANNUAL_OR_EDITION</x:v>
      </x:c>
      <x:c r="Q156" s="53" t="n">
        <x:v>4</x:v>
      </x:c>
      <x:c r="R156" s="53" t="n">
        <x:v>4</x:v>
      </x:c>
      <x:c r="S156" s="53" t="n">
        <x:v>3</x:v>
      </x:c>
      <x:c r="T156" s="53" t="n">
        <x:v>4</x:v>
      </x:c>
      <x:c r="U156" s="53" t="n">
        <x:v>4</x:v>
      </x:c>
      <x:c r="V156" s="53" t="n">
        <x:v>3</x:v>
      </x:c>
      <x:c r="W156" s="53" t="n">
        <x:v>2</x:v>
      </x:c>
      <x:c r="X156" s="53" t="n">
        <x:v>3</x:v>
      </x:c>
      <x:c r="Y156" s="53" t="n">
        <x:v>0</x:v>
      </x:c>
      <x:c r="Z156" s="53" t="n">
        <x:v>2</x:v>
      </x:c>
      <x:c r="AA156" s="53" t="n">
        <x:v>1</x:v>
      </x:c>
      <x:c r="AB156" s="53" t="str">
        <x:v>CANDIDATE</x:v>
      </x:c>
      <x:c r="AC156" s="53" t="str">
        <x:v>NOT_DOWNLOADED</x:v>
      </x:c>
      <x:c r="AD156" s="53" t="str">
        <x:v>REQUIRES_ITEM_REVIEW</x:v>
      </x:c>
      <x:c r="AE156" s="53" t="str">
        <x:v>NOT_REVIEWED</x:v>
      </x:c>
      <x:c r="AF156" s="53" t="str">
        <x:v>NOT_TESTED</x:v>
      </x:c>
      <x:c r="AG156" s="53" t="str"/>
      <x:c r="AH156" s="53" t="str"/>
      <x:c r="AI156" s="53" t="str"/>
      <x:c r="AJ156" s="53" t="str"/>
      <x:c r="AK156" s="57" t="n">
        <x:f>MAX(0,MIN(100,ROUND(((Q156*'Overview'!$B$18)+(R156*'Overview'!$B$19)+(S156*'Overview'!$B$20)+(T156*'Overview'!$B$21)+(U156*'Overview'!$B$22)+(V156*'Overview'!$B$23)+(W156*'Overview'!$B$24)+(X156*'Overview'!$B$25)-(Y156*'Overview'!$B$26)-(Z156*'Overview'!$B$27)-(AA156*'Overview'!$B$28))/5*100,0)))</x:f>
        <x:v>67</x:v>
      </x:c>
      <x:c r="AL156" s="53" t="str">
        <x:v>[SUPPLEMENTAL_RESEARCH] Source uses BSD-3; desktop builds may require email registration key; never rely on a cloud or activation-dependent executable as the sole century copy</x:v>
      </x:c>
    </x:row>
    <x:row r="157">
      <x:c r="A157" s="26" t="str">
        <x:v>SUP-PHY-034</x:v>
      </x:c>
      <x:c r="B157" s="26" t="str">
        <x:v>ELEC|PORT</x:v>
      </x:c>
      <x:c r="C157" s="26" t="str">
        <x:v>PVGIS solar radiation and photovoltaic performance data</x:v>
      </x:c>
      <x:c r="D157" s="26" t="str">
        <x:v>European Commission Joint Research Centre</x:v>
      </x:c>
      <x:c r="E157" s="26" t="str">
        <x:v>Практический источник для групп ELEC|PORT</x:v>
      </x:c>
      <x:c r="F157" s="26" t="str">
        <x:v>https://joint-research-centre.ec.europa.eu/photovoltaic-geographical-information-system-pvgis_en</x:v>
      </x:c>
      <x:c r="G157" s="26" t="str">
        <x:v>https://joint-research-centre.ec.europa.eu/photovoltaic-geographical-information-system-pvgis_en</x:v>
      </x:c>
      <x:c r="H157" s="26" t="str">
        <x:v>https://joint-research-centre.ec.europa.eu/photovoltaic-geographical-information-system-pvgis/general-information/usage-conditions-data-protection_en</x:v>
      </x:c>
      <x:c r="I157" s="26" t="str">
        <x:v>PVGIS usage page states information is free with no restrictions and geodata page requires source acknowledgement; still preserve upstream-data provenance and dataset-specific notices</x:v>
      </x:c>
      <x:c r="J157" s="26" t="str">
        <x:v>EN;FR;IT;ES;DE interface coverage varies</x:v>
      </x:c>
      <x:c r="K157" s="26" t="str">
        <x:v>Portugal/EU</x:v>
      </x:c>
      <x:c r="L157" s="26" t="str">
        <x:v>GeoTIFF;CSV;JSON;PDF;PNG;API output;PVMAPS archives</x:v>
      </x:c>
      <x:c r="M157" s="26" t="str">
        <x:v>Download official geospatial datasets and model inputs with dataset citation version time span and checksums; save API schemas and example exports</x:v>
      </x:c>
      <x:c r="N157" s="26" t="str">
        <x:v>L1</x:v>
      </x:c>
      <x:c r="O157" s="26" t="str">
        <x:v>S0_OBSERVE_READ</x:v>
      </x:c>
      <x:c r="P157" s="26" t="str">
        <x:v>ANNUAL_OR_EDITION</x:v>
      </x:c>
      <x:c r="Q157" s="26" t="n">
        <x:v>5</x:v>
      </x:c>
      <x:c r="R157" s="26" t="n">
        <x:v>4</x:v>
      </x:c>
      <x:c r="S157" s="26" t="n">
        <x:v>4</x:v>
      </x:c>
      <x:c r="T157" s="26" t="n">
        <x:v>4</x:v>
      </x:c>
      <x:c r="U157" s="26" t="n">
        <x:v>4</x:v>
      </x:c>
      <x:c r="V157" s="26" t="n">
        <x:v>1</x:v>
      </x:c>
      <x:c r="W157" s="26" t="n">
        <x:v>2</x:v>
      </x:c>
      <x:c r="X157" s="26" t="n">
        <x:v>3</x:v>
      </x:c>
      <x:c r="Y157" s="26" t="n">
        <x:v>0</x:v>
      </x:c>
      <x:c r="Z157" s="26" t="n">
        <x:v>2</x:v>
      </x:c>
      <x:c r="AA157" s="26" t="n">
        <x:v>1</x:v>
      </x:c>
      <x:c r="AB157" s="26" t="str">
        <x:v>CANDIDATE</x:v>
      </x:c>
      <x:c r="AC157" s="26" t="str">
        <x:v>NOT_DOWNLOADED</x:v>
      </x:c>
      <x:c r="AD157" s="26" t="str">
        <x:v>REFERENCE_ONLY_NO_COPY</x:v>
      </x:c>
      <x:c r="AE157" s="26" t="str">
        <x:v>NOT_REVIEWED</x:v>
      </x:c>
      <x:c r="AF157" s="26" t="str">
        <x:v>NOT_TESTED</x:v>
      </x:c>
      <x:c r="AG157" s="26" t="str"/>
      <x:c r="AH157" s="26" t="str"/>
      <x:c r="AI157" s="26" t="str"/>
      <x:c r="AJ157" s="26" t="str"/>
      <x:c r="AK157" s="57" t="n">
        <x:f>MAX(0,MIN(100,ROUND(((Q157*'Overview'!$B$18)+(R157*'Overview'!$B$19)+(S157*'Overview'!$B$20)+(T157*'Overview'!$B$21)+(U157*'Overview'!$B$22)+(V157*'Overview'!$B$23)+(W157*'Overview'!$B$24)+(X157*'Overview'!$B$25)-(Y157*'Overview'!$B$26)-(Z157*'Overview'!$B$27)-(AA157*'Overview'!$B$28))/5*100,0)))</x:f>
        <x:v>71</x:v>
      </x:c>
      <x:c r="AL157" s="26" t="str">
        <x:v>[SUPPLEMENTAL_RESEARCH] PVGIS usage page states information is free with no restrictions and geodata page requires source acknowledgement; still preserve upstream-data provenance and dataset-specific notices</x:v>
      </x:c>
    </x:row>
    <x:row r="158">
      <x:c r="A158" s="53" t="str">
        <x:v>SUP-PHY-035</x:v>
      </x:c>
      <x:c r="B158" s="53" t="str">
        <x:v>MECH|OPS</x:v>
      </x:c>
      <x:c r="C158" s="53" t="str">
        <x:v>Best Practices for Operation and Maintenance of Photovoltaic and Energy Storage Systems third edition</x:v>
      </x:c>
      <x:c r="D158" s="53" t="str">
        <x:v>National Renewable Energy Laboratory</x:v>
      </x:c>
      <x:c r="E158" s="53" t="str">
        <x:v>Практический источник для групп MECH|OPS</x:v>
      </x:c>
      <x:c r="F158" s="53" t="str">
        <x:v>https://docs.nrel.gov/docs/fy19osti/73822.pdf</x:v>
      </x:c>
      <x:c r="G158" s="53" t="str">
        <x:v>https://docs.nrel.gov/docs/fy19osti/73822.pdf</x:v>
      </x:c>
      <x:c r="H158" s="53" t="str">
        <x:v>https://docs.nrel.gov/docs/fy19osti/73822.pdf</x:v>
      </x:c>
      <x:c r="I158" s="53" t="str">
        <x:v>Useful for records monitoring spares and escalation; not DIY instruction for PV strings inverters grid interconnection arc-flash work or battery packs; item notice review required</x:v>
      </x:c>
      <x:c r="J158" s="53" t="str">
        <x:v>EN</x:v>
      </x:c>
      <x:c r="K158" s="53" t="str">
        <x:v>International/reference</x:v>
      </x:c>
      <x:c r="L158" s="53" t="str">
        <x:v>PDF</x:v>
      </x:c>
      <x:c r="M158" s="53" t="str">
        <x:v>Download official report PDF and retain title-page rights notice publication identifier and checksum</x:v>
      </x:c>
      <x:c r="N158" s="53" t="str">
        <x:v>L3</x:v>
      </x:c>
      <x:c r="O158" s="53" t="str">
        <x:v>S3_LICENSED_PROFESSIONAL</x:v>
      </x:c>
      <x:c r="P158" s="53" t="str">
        <x:v>ANNUAL_OR_EDITION</x:v>
      </x:c>
      <x:c r="Q158" s="53" t="n">
        <x:v>3</x:v>
      </x:c>
      <x:c r="R158" s="53" t="n">
        <x:v>4</x:v>
      </x:c>
      <x:c r="S158" s="53" t="n">
        <x:v>3</x:v>
      </x:c>
      <x:c r="T158" s="53" t="n">
        <x:v>4</x:v>
      </x:c>
      <x:c r="U158" s="53" t="n">
        <x:v>3</x:v>
      </x:c>
      <x:c r="V158" s="53" t="n">
        <x:v>3</x:v>
      </x:c>
      <x:c r="W158" s="53" t="n">
        <x:v>2</x:v>
      </x:c>
      <x:c r="X158" s="53" t="n">
        <x:v>3</x:v>
      </x:c>
      <x:c r="Y158" s="53" t="n">
        <x:v>4</x:v>
      </x:c>
      <x:c r="Z158" s="53" t="n">
        <x:v>2</x:v>
      </x:c>
      <x:c r="AA158" s="53" t="n">
        <x:v>3</x:v>
      </x:c>
      <x:c r="AB158" s="53" t="str">
        <x:v>CANDIDATE</x:v>
      </x:c>
      <x:c r="AC158" s="53" t="str">
        <x:v>NOT_DOWNLOADED</x:v>
      </x:c>
      <x:c r="AD158" s="53" t="str">
        <x:v>REQUIRES_ITEM_REVIEW</x:v>
      </x:c>
      <x:c r="AE158" s="53" t="str">
        <x:v>NOT_REVIEWED</x:v>
      </x:c>
      <x:c r="AF158" s="53" t="str">
        <x:v>NOT_TESTED</x:v>
      </x:c>
      <x:c r="AG158" s="53" t="str"/>
      <x:c r="AH158" s="53" t="str"/>
      <x:c r="AI158" s="53" t="str"/>
      <x:c r="AJ158" s="53" t="str"/>
      <x:c r="AK158" s="57" t="n">
        <x:f>MAX(0,MIN(100,ROUND(((Q158*'Overview'!$B$18)+(R158*'Overview'!$B$19)+(S158*'Overview'!$B$20)+(T158*'Overview'!$B$21)+(U158*'Overview'!$B$22)+(V158*'Overview'!$B$23)+(W158*'Overview'!$B$24)+(X158*'Overview'!$B$25)-(Y158*'Overview'!$B$26)-(Z158*'Overview'!$B$27)-(AA158*'Overview'!$B$28))/5*100,0)))</x:f>
        <x:v>46</x:v>
      </x:c>
      <x:c r="AL158" s="53" t="str">
        <x:v>[SUPPLEMENTAL_RESEARCH] Useful for records monitoring spares and escalation; not DIY instruction for PV strings inverters grid interconnection arc-flash work or battery packs; item notice review required</x:v>
      </x:c>
    </x:row>
    <x:row r="159">
      <x:c r="A159" s="26" t="str">
        <x:v>SUP-PHY-036</x:v>
      </x:c>
      <x:c r="B159" s="26" t="str">
        <x:v>HEALTH</x:v>
      </x:c>
      <x:c r="C159" s="26" t="str">
        <x:v>HSG85 Electricity at Work: Safe Working Practices</x:v>
      </x:c>
      <x:c r="D159" s="26" t="str">
        <x:v>UK Health and Safety Executive</x:v>
      </x:c>
      <x:c r="E159" s="26" t="str">
        <x:v>Практический источник для групп HEALTH</x:v>
      </x:c>
      <x:c r="F159" s="26" t="str">
        <x:v>https://www.hse.gov.uk/pubns/books/hsg85.htm</x:v>
      </x:c>
      <x:c r="G159" s="26" t="str">
        <x:v>https://www.hse.gov.uk/pubns/books/hsg85.htm</x:v>
      </x:c>
      <x:c r="H159" s="26" t="str">
        <x:v>https://www.hse.gov.uk/help/copyright.htm</x:v>
      </x:c>
      <x:c r="I159" s="26" t="str">
        <x:v>Crown material generally reusable under OGL 3.0; exclude logos and third-party images; UK guidance is not Portuguese law and is a safety reference not a wiring manual</x:v>
      </x:c>
      <x:c r="J159" s="26" t="str">
        <x:v>EN</x:v>
      </x:c>
      <x:c r="K159" s="26" t="str">
        <x:v>International/reference</x:v>
      </x:c>
      <x:c r="L159" s="26" t="str">
        <x:v>PDF;HTML landing page</x:v>
      </x:c>
      <x:c r="M159" s="26" t="str">
        <x:v>Download official PDF; retain edition landing page OGL attribution and third-party exclusion list</x:v>
      </x:c>
      <x:c r="N159" s="26" t="str">
        <x:v>L3</x:v>
      </x:c>
      <x:c r="O159" s="26" t="str">
        <x:v>S3_LICENSED_PROFESSIONAL</x:v>
      </x:c>
      <x:c r="P159" s="26" t="str">
        <x:v>ANNUAL_OR_EDITION</x:v>
      </x:c>
      <x:c r="Q159" s="26" t="n">
        <x:v>3</x:v>
      </x:c>
      <x:c r="R159" s="26" t="n">
        <x:v>4</x:v>
      </x:c>
      <x:c r="S159" s="26" t="n">
        <x:v>3</x:v>
      </x:c>
      <x:c r="T159" s="26" t="n">
        <x:v>4</x:v>
      </x:c>
      <x:c r="U159" s="26" t="n">
        <x:v>3</x:v>
      </x:c>
      <x:c r="V159" s="26" t="n">
        <x:v>3</x:v>
      </x:c>
      <x:c r="W159" s="26" t="n">
        <x:v>2</x:v>
      </x:c>
      <x:c r="X159" s="26" t="n">
        <x:v>3</x:v>
      </x:c>
      <x:c r="Y159" s="26" t="n">
        <x:v>4</x:v>
      </x:c>
      <x:c r="Z159" s="26" t="n">
        <x:v>2</x:v>
      </x:c>
      <x:c r="AA159" s="26" t="n">
        <x:v>3</x:v>
      </x:c>
      <x:c r="AB159" s="26" t="str">
        <x:v>CANDIDATE</x:v>
      </x:c>
      <x:c r="AC159" s="26" t="str">
        <x:v>NOT_DOWNLOADED</x:v>
      </x:c>
      <x:c r="AD159" s="26" t="str">
        <x:v>REQUIRES_ITEM_REVIEW</x:v>
      </x:c>
      <x:c r="AE159" s="26" t="str">
        <x:v>NOT_REVIEWED</x:v>
      </x:c>
      <x:c r="AF159" s="26" t="str">
        <x:v>NOT_TESTED</x:v>
      </x:c>
      <x:c r="AG159" s="26" t="str"/>
      <x:c r="AH159" s="26" t="str"/>
      <x:c r="AI159" s="26" t="str"/>
      <x:c r="AJ159" s="26" t="str"/>
      <x:c r="AK159" s="57" t="n">
        <x:f>MAX(0,MIN(100,ROUND(((Q159*'Overview'!$B$18)+(R159*'Overview'!$B$19)+(S159*'Overview'!$B$20)+(T159*'Overview'!$B$21)+(U159*'Overview'!$B$22)+(V159*'Overview'!$B$23)+(W159*'Overview'!$B$24)+(X159*'Overview'!$B$25)-(Y159*'Overview'!$B$26)-(Z159*'Overview'!$B$27)-(AA159*'Overview'!$B$28))/5*100,0)))</x:f>
        <x:v>46</x:v>
      </x:c>
      <x:c r="AL159" s="26" t="str">
        <x:v>[SUPPLEMENTAL_RESEARCH] Crown material generally reusable under OGL 3.0; exclude logos and third-party images; UK guidance is not Portuguese law and is a safety reference not a wiring manual</x:v>
      </x:c>
    </x:row>
    <x:row r="160">
      <x:c r="A160" s="53" t="str">
        <x:v>SUP-PHY-037</x:v>
      </x:c>
      <x:c r="B160" s="53" t="str">
        <x:v>HEALTH|MECH</x:v>
      </x:c>
      <x:c r="C160" s="53" t="str">
        <x:v>Maintenance of work equipment guidance</x:v>
      </x:c>
      <x:c r="D160" s="53" t="str">
        <x:v>UK Health and Safety Executive</x:v>
      </x:c>
      <x:c r="E160" s="53" t="str">
        <x:v>Практический источник для групп HEALTH|MECH</x:v>
      </x:c>
      <x:c r="F160" s="53" t="str">
        <x:v>https://www.hse.gov.uk/work-equipment-machinery/maintenance.htm</x:v>
      </x:c>
      <x:c r="G160" s="53" t="str">
        <x:v>https://www.hse.gov.uk/work-equipment-machinery/maintenance.htm</x:v>
      </x:c>
      <x:c r="H160" s="53" t="str">
        <x:v>https://www.hse.gov.uk/help/copyright.htm</x:v>
      </x:c>
      <x:c r="I160" s="53" t="str">
        <x:v>Strong on planning isolation and competent maintenance; current local law OEM instructions and task-specific LOTO remain mandatory</x:v>
      </x:c>
      <x:c r="J160" s="53" t="str">
        <x:v>EN</x:v>
      </x:c>
      <x:c r="K160" s="53" t="str">
        <x:v>International/reference</x:v>
      </x:c>
      <x:c r="L160" s="53" t="str">
        <x:v>HTML;linked PDF</x:v>
      </x:c>
      <x:c r="M160" s="53" t="str">
        <x:v>Create an offline static capture of Crown text and approved linked PDFs with OGL attribution; do not scrape excluded third-party assets</x:v>
      </x:c>
      <x:c r="N160" s="53" t="str">
        <x:v>L1</x:v>
      </x:c>
      <x:c r="O160" s="53" t="str">
        <x:v>S2_TRAINED_SUPERVISED</x:v>
      </x:c>
      <x:c r="P160" s="53" t="str">
        <x:v>ANNUAL_OR_EDITION</x:v>
      </x:c>
      <x:c r="Q160" s="53" t="n">
        <x:v>5</x:v>
      </x:c>
      <x:c r="R160" s="53" t="n">
        <x:v>4</x:v>
      </x:c>
      <x:c r="S160" s="53" t="n">
        <x:v>4</x:v>
      </x:c>
      <x:c r="T160" s="53" t="n">
        <x:v>4</x:v>
      </x:c>
      <x:c r="U160" s="53" t="n">
        <x:v>4</x:v>
      </x:c>
      <x:c r="V160" s="53" t="n">
        <x:v>3</x:v>
      </x:c>
      <x:c r="W160" s="53" t="n">
        <x:v>2</x:v>
      </x:c>
      <x:c r="X160" s="53" t="n">
        <x:v>3</x:v>
      </x:c>
      <x:c r="Y160" s="53" t="n">
        <x:v>2</x:v>
      </x:c>
      <x:c r="Z160" s="53" t="n">
        <x:v>2</x:v>
      </x:c>
      <x:c r="AA160" s="53" t="n">
        <x:v>1</x:v>
      </x:c>
      <x:c r="AB160" s="53" t="str">
        <x:v>CANDIDATE</x:v>
      </x:c>
      <x:c r="AC160" s="53" t="str">
        <x:v>NOT_DOWNLOADED</x:v>
      </x:c>
      <x:c r="AD160" s="53" t="str">
        <x:v>REQUIRES_ITEM_REVIEW</x:v>
      </x:c>
      <x:c r="AE160" s="53" t="str">
        <x:v>NOT_REVIEWED</x:v>
      </x:c>
      <x:c r="AF160" s="53" t="str">
        <x:v>NOT_TESTED</x:v>
      </x:c>
      <x:c r="AG160" s="53" t="str"/>
      <x:c r="AH160" s="53" t="str"/>
      <x:c r="AI160" s="53" t="str"/>
      <x:c r="AJ160" s="53" t="str"/>
      <x:c r="AK160" s="57" t="n">
        <x:f>MAX(0,MIN(100,ROUND(((Q160*'Overview'!$B$18)+(R160*'Overview'!$B$19)+(S160*'Overview'!$B$20)+(T160*'Overview'!$B$21)+(U160*'Overview'!$B$22)+(V160*'Overview'!$B$23)+(W160*'Overview'!$B$24)+(X160*'Overview'!$B$25)-(Y160*'Overview'!$B$26)-(Z160*'Overview'!$B$27)-(AA160*'Overview'!$B$28))/5*100,0)))</x:f>
        <x:v>69</x:v>
      </x:c>
      <x:c r="AL160" s="53" t="str">
        <x:v>[SUPPLEMENTAL_RESEARCH] Strong on planning isolation and competent maintenance; current local law OEM instructions and task-specific LOTO remain mandatory</x:v>
      </x:c>
    </x:row>
    <x:row r="161">
      <x:c r="A161" s="26" t="str">
        <x:v>SUP-PHY-038</x:v>
      </x:c>
      <x:c r="B161" s="26" t="str">
        <x:v>HEALTH</x:v>
      </x:c>
      <x:c r="C161" s="26" t="str">
        <x:v>Woodworking health and safety guidance shelf</x:v>
      </x:c>
      <x:c r="D161" s="26" t="str">
        <x:v>UK Health and Safety Executive</x:v>
      </x:c>
      <x:c r="E161" s="26" t="str">
        <x:v>Практический источник для групп HEALTH</x:v>
      </x:c>
      <x:c r="F161" s="26" t="str">
        <x:v>https://www.hse.gov.uk/woodworking/</x:v>
      </x:c>
      <x:c r="G161" s="26" t="str">
        <x:v>https://www.hse.gov.uk/woodworking/</x:v>
      </x:c>
      <x:c r="H161" s="26" t="str">
        <x:v>https://www.hse.gov.uk/help/copyright.htm</x:v>
      </x:c>
      <x:c r="I161" s="26" t="str">
        <x:v>Dust noise guarding extraction and kickback awareness; powered woodworking is disabled unless trained supervised guarded and locally lawful</x:v>
      </x:c>
      <x:c r="J161" s="26" t="str">
        <x:v>EN</x:v>
      </x:c>
      <x:c r="K161" s="26" t="str">
        <x:v>International/reference</x:v>
      </x:c>
      <x:c r="L161" s="26" t="str">
        <x:v>HTML;PDF</x:v>
      </x:c>
      <x:c r="M161" s="26" t="str">
        <x:v>Curate only official Crown PDFs and HTML; retain OGL attribution and exclude third-party artwork</x:v>
      </x:c>
      <x:c r="N161" s="26" t="str">
        <x:v>L3</x:v>
      </x:c>
      <x:c r="O161" s="26" t="str">
        <x:v>S2_TRAINED_SUPERVISED</x:v>
      </x:c>
      <x:c r="P161" s="26" t="str">
        <x:v>ANNUAL_OR_EDITION</x:v>
      </x:c>
      <x:c r="Q161" s="26" t="n">
        <x:v>3</x:v>
      </x:c>
      <x:c r="R161" s="26" t="n">
        <x:v>4</x:v>
      </x:c>
      <x:c r="S161" s="26" t="n">
        <x:v>3</x:v>
      </x:c>
      <x:c r="T161" s="26" t="n">
        <x:v>4</x:v>
      </x:c>
      <x:c r="U161" s="26" t="n">
        <x:v>3</x:v>
      </x:c>
      <x:c r="V161" s="26" t="n">
        <x:v>3</x:v>
      </x:c>
      <x:c r="W161" s="26" t="n">
        <x:v>2</x:v>
      </x:c>
      <x:c r="X161" s="26" t="n">
        <x:v>3</x:v>
      </x:c>
      <x:c r="Y161" s="26" t="n">
        <x:v>2</x:v>
      </x:c>
      <x:c r="Z161" s="26" t="n">
        <x:v>2</x:v>
      </x:c>
      <x:c r="AA161" s="26" t="n">
        <x:v>3</x:v>
      </x:c>
      <x:c r="AB161" s="26" t="str">
        <x:v>CANDIDATE</x:v>
      </x:c>
      <x:c r="AC161" s="26" t="str">
        <x:v>NOT_DOWNLOADED</x:v>
      </x:c>
      <x:c r="AD161" s="26" t="str">
        <x:v>REQUIRES_ITEM_REVIEW</x:v>
      </x:c>
      <x:c r="AE161" s="26" t="str">
        <x:v>NOT_REVIEWED</x:v>
      </x:c>
      <x:c r="AF161" s="26" t="str">
        <x:v>NOT_TESTED</x:v>
      </x:c>
      <x:c r="AG161" s="26" t="str"/>
      <x:c r="AH161" s="26" t="str"/>
      <x:c r="AI161" s="26" t="str"/>
      <x:c r="AJ161" s="26" t="str"/>
      <x:c r="AK161" s="57" t="n">
        <x:f>MAX(0,MIN(100,ROUND(((Q161*'Overview'!$B$18)+(R161*'Overview'!$B$19)+(S161*'Overview'!$B$20)+(T161*'Overview'!$B$21)+(U161*'Overview'!$B$22)+(V161*'Overview'!$B$23)+(W161*'Overview'!$B$24)+(X161*'Overview'!$B$25)-(Y161*'Overview'!$B$26)-(Z161*'Overview'!$B$27)-(AA161*'Overview'!$B$28))/5*100,0)))</x:f>
        <x:v>52</x:v>
      </x:c>
      <x:c r="AL161" s="26" t="str">
        <x:v>[SUPPLEMENTAL_RESEARCH] Dust noise guarding extraction and kickback awareness; powered woodworking is disabled unless trained supervised guarded and locally lawful</x:v>
      </x:c>
    </x:row>
    <x:row r="162">
      <x:c r="A162" s="53" t="str">
        <x:v>SUP-PHY-039</x:v>
      </x:c>
      <x:c r="B162" s="53" t="str">
        <x:v>HEALTH</x:v>
      </x:c>
      <x:c r="C162" s="53" t="str">
        <x:v>Control of Hazardous Energy: Lockout/Tagout OSHA 3120</x:v>
      </x:c>
      <x:c r="D162" s="53" t="str">
        <x:v>US Occupational Safety and Health Administration</x:v>
      </x:c>
      <x:c r="E162" s="53" t="str">
        <x:v>Практический источник для групп HEALTH</x:v>
      </x:c>
      <x:c r="F162" s="53" t="str">
        <x:v>https://www.osha.gov/Publications/osha3120.pdf</x:v>
      </x:c>
      <x:c r="G162" s="53" t="str">
        <x:v>https://www.osha.gov/Publications/osha3120.pdf</x:v>
      </x:c>
      <x:c r="H162" s="53" t="str">
        <x:v>https://www.dol.gov/general/aboutdol/copyright</x:v>
      </x:c>
      <x:c r="I162" s="53" t="str">
        <x:v>US regulatory context only; use to build conservative isolation habits; task-specific OEM and Portuguese requirements override; no live-energy work</x:v>
      </x:c>
      <x:c r="J162" s="53" t="str">
        <x:v>EN</x:v>
      </x:c>
      <x:c r="K162" s="53" t="str">
        <x:v>International/reference</x:v>
      </x:c>
      <x:c r="L162" s="53" t="str">
        <x:v>PDF</x:v>
      </x:c>
      <x:c r="M162" s="53" t="str">
        <x:v>Download official PDF with publication number date and federal rights notice</x:v>
      </x:c>
      <x:c r="N162" s="53" t="str">
        <x:v>L1</x:v>
      </x:c>
      <x:c r="O162" s="53" t="str">
        <x:v>S2_TRAINED_SUPERVISED</x:v>
      </x:c>
      <x:c r="P162" s="53" t="str">
        <x:v>ANNUAL_OR_EDITION</x:v>
      </x:c>
      <x:c r="Q162" s="53" t="n">
        <x:v>5</x:v>
      </x:c>
      <x:c r="R162" s="53" t="n">
        <x:v>4</x:v>
      </x:c>
      <x:c r="S162" s="53" t="n">
        <x:v>4</x:v>
      </x:c>
      <x:c r="T162" s="53" t="n">
        <x:v>4</x:v>
      </x:c>
      <x:c r="U162" s="53" t="n">
        <x:v>4</x:v>
      </x:c>
      <x:c r="V162" s="53" t="n">
        <x:v>3</x:v>
      </x:c>
      <x:c r="W162" s="53" t="n">
        <x:v>2</x:v>
      </x:c>
      <x:c r="X162" s="53" t="n">
        <x:v>3</x:v>
      </x:c>
      <x:c r="Y162" s="53" t="n">
        <x:v>2</x:v>
      </x:c>
      <x:c r="Z162" s="53" t="n">
        <x:v>2</x:v>
      </x:c>
      <x:c r="AA162" s="53" t="n">
        <x:v>1</x:v>
      </x:c>
      <x:c r="AB162" s="53" t="str">
        <x:v>CANDIDATE</x:v>
      </x:c>
      <x:c r="AC162" s="53" t="str">
        <x:v>NOT_DOWNLOADED</x:v>
      </x:c>
      <x:c r="AD162" s="53" t="str">
        <x:v>REQUIRES_ITEM_REVIEW</x:v>
      </x:c>
      <x:c r="AE162" s="53" t="str">
        <x:v>NOT_REVIEWED</x:v>
      </x:c>
      <x:c r="AF162" s="53" t="str">
        <x:v>NOT_TESTED</x:v>
      </x:c>
      <x:c r="AG162" s="53" t="str"/>
      <x:c r="AH162" s="53" t="str"/>
      <x:c r="AI162" s="53" t="str"/>
      <x:c r="AJ162" s="53" t="str"/>
      <x:c r="AK162" s="57" t="n">
        <x:f>MAX(0,MIN(100,ROUND(((Q162*'Overview'!$B$18)+(R162*'Overview'!$B$19)+(S162*'Overview'!$B$20)+(T162*'Overview'!$B$21)+(U162*'Overview'!$B$22)+(V162*'Overview'!$B$23)+(W162*'Overview'!$B$24)+(X162*'Overview'!$B$25)-(Y162*'Overview'!$B$26)-(Z162*'Overview'!$B$27)-(AA162*'Overview'!$B$28))/5*100,0)))</x:f>
        <x:v>69</x:v>
      </x:c>
      <x:c r="AL162" s="53" t="str">
        <x:v>[SUPPLEMENTAL_RESEARCH] US regulatory context only; use to build conservative isolation habits; task-specific OEM and Portuguese requirements override; no live-energy work</x:v>
      </x:c>
    </x:row>
    <x:row r="163">
      <x:c r="A163" s="26" t="str">
        <x:v>SUP-PHY-040</x:v>
      </x:c>
      <x:c r="B163" s="26" t="str">
        <x:v>HEALTH</x:v>
      </x:c>
      <x:c r="C163" s="26" t="str">
        <x:v>Safeguarding Equipment and Protecting Employees from Amputations OSHA 3170</x:v>
      </x:c>
      <x:c r="D163" s="26" t="str">
        <x:v>US Occupational Safety and Health Administration</x:v>
      </x:c>
      <x:c r="E163" s="26" t="str">
        <x:v>Практический источник для групп HEALTH</x:v>
      </x:c>
      <x:c r="F163" s="26" t="str">
        <x:v>https://www.osha.gov/sites/default/files/publications/osha3170.pdf</x:v>
      </x:c>
      <x:c r="G163" s="26" t="str">
        <x:v>https://www.osha.gov/sites/default/files/publications/osha3170.pdf</x:v>
      </x:c>
      <x:c r="H163" s="26" t="str">
        <x:v>https://www.dol.gov/general/aboutdol/copyright</x:v>
      </x:c>
      <x:c r="I163" s="26" t="str">
        <x:v>Hazard-recognition reference; does not qualify an operator or validate a homemade guard; any missing defeated or damaged guard is a stop condition</x:v>
      </x:c>
      <x:c r="J163" s="26" t="str">
        <x:v>EN</x:v>
      </x:c>
      <x:c r="K163" s="26" t="str">
        <x:v>International/reference</x:v>
      </x:c>
      <x:c r="L163" s="26" t="str">
        <x:v>PDF</x:v>
      </x:c>
      <x:c r="M163" s="26" t="str">
        <x:v>Download official PDF and retain publication metadata and rights notice</x:v>
      </x:c>
      <x:c r="N163" s="26" t="str">
        <x:v>L3</x:v>
      </x:c>
      <x:c r="O163" s="26" t="str">
        <x:v>S2_TRAINED_SUPERVISED</x:v>
      </x:c>
      <x:c r="P163" s="26" t="str">
        <x:v>ANNUAL_OR_EDITION</x:v>
      </x:c>
      <x:c r="Q163" s="26" t="n">
        <x:v>3</x:v>
      </x:c>
      <x:c r="R163" s="26" t="n">
        <x:v>4</x:v>
      </x:c>
      <x:c r="S163" s="26" t="n">
        <x:v>3</x:v>
      </x:c>
      <x:c r="T163" s="26" t="n">
        <x:v>4</x:v>
      </x:c>
      <x:c r="U163" s="26" t="n">
        <x:v>3</x:v>
      </x:c>
      <x:c r="V163" s="26" t="n">
        <x:v>3</x:v>
      </x:c>
      <x:c r="W163" s="26" t="n">
        <x:v>2</x:v>
      </x:c>
      <x:c r="X163" s="26" t="n">
        <x:v>3</x:v>
      </x:c>
      <x:c r="Y163" s="26" t="n">
        <x:v>2</x:v>
      </x:c>
      <x:c r="Z163" s="26" t="n">
        <x:v>2</x:v>
      </x:c>
      <x:c r="AA163" s="26" t="n">
        <x:v>3</x:v>
      </x:c>
      <x:c r="AB163" s="26" t="str">
        <x:v>CANDIDATE</x:v>
      </x:c>
      <x:c r="AC163" s="26" t="str">
        <x:v>NOT_DOWNLOADED</x:v>
      </x:c>
      <x:c r="AD163" s="26" t="str">
        <x:v>REQUIRES_ITEM_REVIEW</x:v>
      </x:c>
      <x:c r="AE163" s="26" t="str">
        <x:v>NOT_REVIEWED</x:v>
      </x:c>
      <x:c r="AF163" s="26" t="str">
        <x:v>NOT_TESTED</x:v>
      </x:c>
      <x:c r="AG163" s="26" t="str"/>
      <x:c r="AH163" s="26" t="str"/>
      <x:c r="AI163" s="26" t="str"/>
      <x:c r="AJ163" s="26" t="str"/>
      <x:c r="AK163" s="57" t="n">
        <x:f>MAX(0,MIN(100,ROUND(((Q163*'Overview'!$B$18)+(R163*'Overview'!$B$19)+(S163*'Overview'!$B$20)+(T163*'Overview'!$B$21)+(U163*'Overview'!$B$22)+(V163*'Overview'!$B$23)+(W163*'Overview'!$B$24)+(X163*'Overview'!$B$25)-(Y163*'Overview'!$B$26)-(Z163*'Overview'!$B$27)-(AA163*'Overview'!$B$28))/5*100,0)))</x:f>
        <x:v>52</x:v>
      </x:c>
      <x:c r="AL163" s="26" t="str">
        <x:v>[SUPPLEMENTAL_RESEARCH] Hazard-recognition reference; does not qualify an operator or validate a homemade guard; any missing defeated or damaged guard is a stop condition</x:v>
      </x:c>
    </x:row>
    <x:row r="164">
      <x:c r="A164" s="53" t="str">
        <x:v>SUP-PHY-041</x:v>
      </x:c>
      <x:c r="B164" s="53" t="str">
        <x:v>PHYS</x:v>
      </x:c>
      <x:c r="C164" s="53" t="str">
        <x:v>Wood Handbook: Wood as an Engineering Material 2021</x:v>
      </x:c>
      <x:c r="D164" s="53" t="str">
        <x:v>USDA Forest Service Forest Products Laboratory</x:v>
      </x:c>
      <x:c r="E164" s="53" t="str">
        <x:v>Практический источник для групп PHYS</x:v>
      </x:c>
      <x:c r="F164" s="53" t="str">
        <x:v>https://www.fpl.fs.usda.gov/documnts/fplgtr/fplgtr282/fpl_gtr282.pdf</x:v>
      </x:c>
      <x:c r="G164" s="53" t="str">
        <x:v>https://www.fpl.fs.usda.gov/documnts/fplgtr/fplgtr282/fpl_gtr282.pdf</x:v>
      </x:c>
      <x:c r="H164" s="53" t="str">
        <x:v>https://research.fs.usda.gov/fpl/faq</x:v>
      </x:c>
      <x:c r="I164" s="53" t="str">
        <x:v>Authoritative wood properties moisture durability and degradation science; US data and archived properties do not authorize load-bearing design grading or fire-rating decisions</x:v>
      </x:c>
      <x:c r="J164" s="53" t="str">
        <x:v>EN</x:v>
      </x:c>
      <x:c r="K164" s="53" t="str">
        <x:v>International/reference</x:v>
      </x:c>
      <x:c r="L164" s="53" t="str">
        <x:v>PDF</x:v>
      </x:c>
      <x:c r="M164" s="53" t="str">
        <x:v>Download full official PDF plus chapter metadata; retain report number rights notices and checksums</x:v>
      </x:c>
      <x:c r="N164" s="53" t="str">
        <x:v>L1</x:v>
      </x:c>
      <x:c r="O164" s="53" t="str">
        <x:v>S3_LICENSED_PROFESSIONAL</x:v>
      </x:c>
      <x:c r="P164" s="53" t="str">
        <x:v>ANNUAL_OR_EDITION</x:v>
      </x:c>
      <x:c r="Q164" s="53" t="n">
        <x:v>5</x:v>
      </x:c>
      <x:c r="R164" s="53" t="n">
        <x:v>4</x:v>
      </x:c>
      <x:c r="S164" s="53" t="n">
        <x:v>4</x:v>
      </x:c>
      <x:c r="T164" s="53" t="n">
        <x:v>4</x:v>
      </x:c>
      <x:c r="U164" s="53" t="n">
        <x:v>4</x:v>
      </x:c>
      <x:c r="V164" s="53" t="n">
        <x:v>3</x:v>
      </x:c>
      <x:c r="W164" s="53" t="n">
        <x:v>2</x:v>
      </x:c>
      <x:c r="X164" s="53" t="n">
        <x:v>3</x:v>
      </x:c>
      <x:c r="Y164" s="53" t="n">
        <x:v>4</x:v>
      </x:c>
      <x:c r="Z164" s="53" t="n">
        <x:v>2</x:v>
      </x:c>
      <x:c r="AA164" s="53" t="n">
        <x:v>1</x:v>
      </x:c>
      <x:c r="AB164" s="53" t="str">
        <x:v>CANDIDATE</x:v>
      </x:c>
      <x:c r="AC164" s="53" t="str">
        <x:v>NOT_DOWNLOADED</x:v>
      </x:c>
      <x:c r="AD164" s="53" t="str">
        <x:v>REQUIRES_ITEM_REVIEW</x:v>
      </x:c>
      <x:c r="AE164" s="53" t="str">
        <x:v>NOT_REVIEWED</x:v>
      </x:c>
      <x:c r="AF164" s="53" t="str">
        <x:v>NOT_TESTED</x:v>
      </x:c>
      <x:c r="AG164" s="53" t="str"/>
      <x:c r="AH164" s="53" t="str"/>
      <x:c r="AI164" s="53" t="str"/>
      <x:c r="AJ164" s="53" t="str"/>
      <x:c r="AK164" s="57" t="n">
        <x:f>MAX(0,MIN(100,ROUND(((Q164*'Overview'!$B$18)+(R164*'Overview'!$B$19)+(S164*'Overview'!$B$20)+(T164*'Overview'!$B$21)+(U164*'Overview'!$B$22)+(V164*'Overview'!$B$23)+(W164*'Overview'!$B$24)+(X164*'Overview'!$B$25)-(Y164*'Overview'!$B$26)-(Z164*'Overview'!$B$27)-(AA164*'Overview'!$B$28))/5*100,0)))</x:f>
        <x:v>63</x:v>
      </x:c>
      <x:c r="AL164" s="53" t="str">
        <x:v>[SUPPLEMENTAL_RESEARCH] Authoritative wood properties moisture durability and degradation science; US data and archived properties do not authorize load-bearing design grading or fire-rating decisions</x:v>
      </x:c>
    </x:row>
    <x:row r="165">
      <x:c r="A165" s="26" t="str">
        <x:v>SUP-PHY-042</x:v>
      </x:c>
      <x:c r="B165" s="26" t="str">
        <x:v>METH</x:v>
      </x:c>
      <x:c r="C165" s="26" t="str">
        <x:v>The Rehab Guide volumes 1-9</x:v>
      </x:c>
      <x:c r="D165" s="26" t="str">
        <x:v>US Department of Housing and Urban Development</x:v>
      </x:c>
      <x:c r="E165" s="26" t="str">
        <x:v>Практический источник для групп METH</x:v>
      </x:c>
      <x:c r="F165" s="26" t="str">
        <x:v>https://www.huduser.gov/portal/publications/destech/rehabgds.html</x:v>
      </x:c>
      <x:c r="G165" s="26" t="str">
        <x:v>https://www.huduser.gov/portal/publications/destech/rehabgds.html</x:v>
      </x:c>
      <x:c r="H165" s="26" t="str">
        <x:v>https://www.huduser.gov/portal/rbc/relevant_publications.html</x:v>
      </x:c>
      <x:c r="I165" s="26" t="str">
        <x:v>Covers foundations walls roofs openings floors kitchens electrical HVAC plumbing and site work but dates mainly 1997-2000; use for diagnosis and historical materials only; current Portuguese code and professionals control work</x:v>
      </x:c>
      <x:c r="J165" s="26" t="str">
        <x:v>EN</x:v>
      </x:c>
      <x:c r="K165" s="26" t="str">
        <x:v>International/reference</x:v>
      </x:c>
      <x:c r="L165" s="26" t="str">
        <x:v>PDF set</x:v>
      </x:c>
      <x:c r="M165" s="26" t="str">
        <x:v>Download each official volume PDF; store a volume manifest dates titles and item-level rights notices</x:v>
      </x:c>
      <x:c r="N165" s="26" t="str">
        <x:v>L2</x:v>
      </x:c>
      <x:c r="O165" s="26" t="str">
        <x:v>S3_LICENSED_PROFESSIONAL</x:v>
      </x:c>
      <x:c r="P165" s="26" t="str">
        <x:v>ANNUAL_OR_EDITION</x:v>
      </x:c>
      <x:c r="Q165" s="26" t="n">
        <x:v>4</x:v>
      </x:c>
      <x:c r="R165" s="26" t="n">
        <x:v>4</x:v>
      </x:c>
      <x:c r="S165" s="26" t="n">
        <x:v>3</x:v>
      </x:c>
      <x:c r="T165" s="26" t="n">
        <x:v>4</x:v>
      </x:c>
      <x:c r="U165" s="26" t="n">
        <x:v>4</x:v>
      </x:c>
      <x:c r="V165" s="26" t="n">
        <x:v>3</x:v>
      </x:c>
      <x:c r="W165" s="26" t="n">
        <x:v>2</x:v>
      </x:c>
      <x:c r="X165" s="26" t="n">
        <x:v>3</x:v>
      </x:c>
      <x:c r="Y165" s="26" t="n">
        <x:v>4</x:v>
      </x:c>
      <x:c r="Z165" s="26" t="n">
        <x:v>2</x:v>
      </x:c>
      <x:c r="AA165" s="26" t="n">
        <x:v>1</x:v>
      </x:c>
      <x:c r="AB165" s="26" t="str">
        <x:v>CANDIDATE</x:v>
      </x:c>
      <x:c r="AC165" s="26" t="str">
        <x:v>NOT_DOWNLOADED</x:v>
      </x:c>
      <x:c r="AD165" s="26" t="str">
        <x:v>REQUIRES_ITEM_REVIEW</x:v>
      </x:c>
      <x:c r="AE165" s="26" t="str">
        <x:v>NOT_REVIEWED</x:v>
      </x:c>
      <x:c r="AF165" s="26" t="str">
        <x:v>NOT_TESTED</x:v>
      </x:c>
      <x:c r="AG165" s="26" t="str"/>
      <x:c r="AH165" s="26" t="str"/>
      <x:c r="AI165" s="26" t="str"/>
      <x:c r="AJ165" s="26" t="str"/>
      <x:c r="AK165" s="57" t="n">
        <x:f>MAX(0,MIN(100,ROUND(((Q165*'Overview'!$B$18)+(R165*'Overview'!$B$19)+(S165*'Overview'!$B$20)+(T165*'Overview'!$B$21)+(U165*'Overview'!$B$22)+(V165*'Overview'!$B$23)+(W165*'Overview'!$B$24)+(X165*'Overview'!$B$25)-(Y165*'Overview'!$B$26)-(Z165*'Overview'!$B$27)-(AA165*'Overview'!$B$28))/5*100,0)))</x:f>
        <x:v>55</x:v>
      </x:c>
      <x:c r="AL165" s="26" t="str">
        <x:v>[SUPPLEMENTAL_RESEARCH] Covers foundations walls roofs openings floors kitchens electrical HVAC plumbing and site work but dates mainly 1997-2000; use for diagnosis and historical materials only; current Portuguese code and professionals control work</x:v>
      </x:c>
    </x:row>
    <x:row r="166">
      <x:c r="A166" s="53" t="str">
        <x:v>SUP-PHY-043</x:v>
      </x:c>
      <x:c r="B166" s="53" t="str">
        <x:v>METH</x:v>
      </x:c>
      <x:c r="C166" s="53" t="str">
        <x:v>Residential Rehabilitation Inspection Guide</x:v>
      </x:c>
      <x:c r="D166" s="53" t="str">
        <x:v>US Department of Housing and Urban Development</x:v>
      </x:c>
      <x:c r="E166" s="53" t="str">
        <x:v>Практический источник для групп METH</x:v>
      </x:c>
      <x:c r="F166" s="53" t="str">
        <x:v>https://www.huduser.gov/portal/publications/destech/inspection.html</x:v>
      </x:c>
      <x:c r="G166" s="53" t="str">
        <x:v>https://www.huduser.gov/portal/publications/destech/inspection.html</x:v>
      </x:c>
      <x:c r="H166" s="53" t="str">
        <x:v>https://www.huduser.gov/portal/rbc/relevant_publications.html</x:v>
      </x:c>
      <x:c r="I166" s="53" t="str">
        <x:v>Useful condition-survey framework but old and US-specific; observation only; structural electrical gas fire hazardous-material and confined-space findings escalate</x:v>
      </x:c>
      <x:c r="J166" s="53" t="str">
        <x:v>EN</x:v>
      </x:c>
      <x:c r="K166" s="53" t="str">
        <x:v>International/reference</x:v>
      </x:c>
      <x:c r="L166" s="53" t="str">
        <x:v>PDF sections</x:v>
      </x:c>
      <x:c r="M166" s="53" t="str">
        <x:v>Download official section PDFs with publication date and rights audit</x:v>
      </x:c>
      <x:c r="N166" s="53" t="str">
        <x:v>L2</x:v>
      </x:c>
      <x:c r="O166" s="53" t="str">
        <x:v>S3_LICENSED_PROFESSIONAL</x:v>
      </x:c>
      <x:c r="P166" s="53" t="str">
        <x:v>ANNUAL_OR_EDITION</x:v>
      </x:c>
      <x:c r="Q166" s="53" t="n">
        <x:v>4</x:v>
      </x:c>
      <x:c r="R166" s="53" t="n">
        <x:v>4</x:v>
      </x:c>
      <x:c r="S166" s="53" t="n">
        <x:v>3</x:v>
      </x:c>
      <x:c r="T166" s="53" t="n">
        <x:v>4</x:v>
      </x:c>
      <x:c r="U166" s="53" t="n">
        <x:v>4</x:v>
      </x:c>
      <x:c r="V166" s="53" t="n">
        <x:v>3</x:v>
      </x:c>
      <x:c r="W166" s="53" t="n">
        <x:v>2</x:v>
      </x:c>
      <x:c r="X166" s="53" t="n">
        <x:v>3</x:v>
      </x:c>
      <x:c r="Y166" s="53" t="n">
        <x:v>4</x:v>
      </x:c>
      <x:c r="Z166" s="53" t="n">
        <x:v>2</x:v>
      </x:c>
      <x:c r="AA166" s="53" t="n">
        <x:v>1</x:v>
      </x:c>
      <x:c r="AB166" s="53" t="str">
        <x:v>CANDIDATE</x:v>
      </x:c>
      <x:c r="AC166" s="53" t="str">
        <x:v>NOT_DOWNLOADED</x:v>
      </x:c>
      <x:c r="AD166" s="53" t="str">
        <x:v>REQUIRES_ITEM_REVIEW</x:v>
      </x:c>
      <x:c r="AE166" s="53" t="str">
        <x:v>NOT_REVIEWED</x:v>
      </x:c>
      <x:c r="AF166" s="53" t="str">
        <x:v>NOT_TESTED</x:v>
      </x:c>
      <x:c r="AG166" s="53" t="str"/>
      <x:c r="AH166" s="53" t="str"/>
      <x:c r="AI166" s="53" t="str"/>
      <x:c r="AJ166" s="53" t="str"/>
      <x:c r="AK166" s="57" t="n">
        <x:f>MAX(0,MIN(100,ROUND(((Q166*'Overview'!$B$18)+(R166*'Overview'!$B$19)+(S166*'Overview'!$B$20)+(T166*'Overview'!$B$21)+(U166*'Overview'!$B$22)+(V166*'Overview'!$B$23)+(W166*'Overview'!$B$24)+(X166*'Overview'!$B$25)-(Y166*'Overview'!$B$26)-(Z166*'Overview'!$B$27)-(AA166*'Overview'!$B$28))/5*100,0)))</x:f>
        <x:v>55</x:v>
      </x:c>
      <x:c r="AL166" s="53" t="str">
        <x:v>[SUPPLEMENTAL_RESEARCH] Useful condition-survey framework but old and US-specific; observation only; structural electrical gas fire hazardous-material and confined-space findings escalate</x:v>
      </x:c>
    </x:row>
    <x:row r="167">
      <x:c r="A167" s="26" t="str">
        <x:v>SUP-PHY-044</x:v>
      </x:c>
      <x:c r="B167" s="26" t="str">
        <x:v>CIVIL</x:v>
      </x:c>
      <x:c r="C167" s="26" t="str">
        <x:v>Building Science Resource Library selected corpus</x:v>
      </x:c>
      <x:c r="D167" s="26" t="str">
        <x:v>US Federal Emergency Management Agency</x:v>
      </x:c>
      <x:c r="E167" s="26" t="str">
        <x:v>Практический источник для групп CIVIL</x:v>
      </x:c>
      <x:c r="F167" s="26" t="str">
        <x:v>https://www.fema.gov/emergency-managers/risk-management/building-science/publications</x:v>
      </x:c>
      <x:c r="G167" s="26" t="str">
        <x:v>https://www.fema.gov/emergency-managers/risk-management/building-science/publications</x:v>
      </x:c>
      <x:c r="H167" s="26" t="str">
        <x:v>https://www.fema.gov/about/website-information</x:v>
      </x:c>
      <x:c r="I167" s="26" t="str">
        <x:v>Large changing library; curate hazard-resistant observation and planning references; do not bulk assume public-domain rights or use US guidance as Portuguese code</x:v>
      </x:c>
      <x:c r="J167" s="26" t="str">
        <x:v>EN;some ES</x:v>
      </x:c>
      <x:c r="K167" s="26" t="str">
        <x:v>International/reference</x:v>
      </x:c>
      <x:c r="L167" s="26" t="str">
        <x:v>PDF;HTML;CSV catalog when offered</x:v>
      </x:c>
      <x:c r="M167" s="26" t="str">
        <x:v>Export the official catalog if available; select item IDs and PDFs individually; preserve item date rights notice and hazard jurisdiction</x:v>
      </x:c>
      <x:c r="N167" s="26" t="str">
        <x:v>L3</x:v>
      </x:c>
      <x:c r="O167" s="26" t="str">
        <x:v>S3_LICENSED_PROFESSIONAL</x:v>
      </x:c>
      <x:c r="P167" s="26" t="str">
        <x:v>ANNUAL_OR_EDITION</x:v>
      </x:c>
      <x:c r="Q167" s="26" t="n">
        <x:v>3</x:v>
      </x:c>
      <x:c r="R167" s="26" t="n">
        <x:v>4</x:v>
      </x:c>
      <x:c r="S167" s="26" t="n">
        <x:v>3</x:v>
      </x:c>
      <x:c r="T167" s="26" t="n">
        <x:v>4</x:v>
      </x:c>
      <x:c r="U167" s="26" t="n">
        <x:v>3</x:v>
      </x:c>
      <x:c r="V167" s="26" t="n">
        <x:v>3</x:v>
      </x:c>
      <x:c r="W167" s="26" t="n">
        <x:v>2</x:v>
      </x:c>
      <x:c r="X167" s="26" t="n">
        <x:v>3</x:v>
      </x:c>
      <x:c r="Y167" s="26" t="n">
        <x:v>4</x:v>
      </x:c>
      <x:c r="Z167" s="26" t="n">
        <x:v>2</x:v>
      </x:c>
      <x:c r="AA167" s="26" t="n">
        <x:v>3</x:v>
      </x:c>
      <x:c r="AB167" s="26" t="str">
        <x:v>CANDIDATE</x:v>
      </x:c>
      <x:c r="AC167" s="26" t="str">
        <x:v>NOT_DOWNLOADED</x:v>
      </x:c>
      <x:c r="AD167" s="26" t="str">
        <x:v>REQUIRES_ITEM_REVIEW</x:v>
      </x:c>
      <x:c r="AE167" s="26" t="str">
        <x:v>NOT_REVIEWED</x:v>
      </x:c>
      <x:c r="AF167" s="26" t="str">
        <x:v>NOT_TESTED</x:v>
      </x:c>
      <x:c r="AG167" s="26" t="str"/>
      <x:c r="AH167" s="26" t="str"/>
      <x:c r="AI167" s="26" t="str"/>
      <x:c r="AJ167" s="26" t="str"/>
      <x:c r="AK167" s="57" t="n">
        <x:f>MAX(0,MIN(100,ROUND(((Q167*'Overview'!$B$18)+(R167*'Overview'!$B$19)+(S167*'Overview'!$B$20)+(T167*'Overview'!$B$21)+(U167*'Overview'!$B$22)+(V167*'Overview'!$B$23)+(W167*'Overview'!$B$24)+(X167*'Overview'!$B$25)-(Y167*'Overview'!$B$26)-(Z167*'Overview'!$B$27)-(AA167*'Overview'!$B$28))/5*100,0)))</x:f>
        <x:v>46</x:v>
      </x:c>
      <x:c r="AL167" s="26" t="str">
        <x:v>[SUPPLEMENTAL_RESEARCH] Large changing library; curate hazard-resistant observation and planning references; do not bulk assume public-domain rights or use US guidance as Portuguese code</x:v>
      </x:c>
    </x:row>
    <x:row r="168">
      <x:c r="A168" s="53" t="str">
        <x:v>SUP-PHY-045</x:v>
      </x:c>
      <x:c r="B168" s="53" t="str">
        <x:v>PORT</x:v>
      </x:c>
      <x:c r="C168" s="53" t="str">
        <x:v>Portuguese standards licensed shelf</x:v>
      </x:c>
      <x:c r="D168" s="53" t="str">
        <x:v>Instituto Português da Qualidade</x:v>
      </x:c>
      <x:c r="E168" s="53" t="str">
        <x:v>Практический источник для групп PORT</x:v>
      </x:c>
      <x:c r="F168" s="53" t="str">
        <x:v>https://www.ipq.pt/servicos-ipq/comprar-normas-publicacoes/</x:v>
      </x:c>
      <x:c r="G168" s="53" t="str">
        <x:v>https://www.ipq.pt/servicos-ipq/comprar-normas-publicacoes/</x:v>
      </x:c>
      <x:c r="H168" s="53" t="str">
        <x:v>https://www.ipq.pt/normalizacao/normas/direitos-de-propriedade-intelectual/</x:v>
      </x:c>
      <x:c r="I168" s="53" t="str">
        <x:v>IPQ prohibits reproduction use distribution and public disclosure of standards without prior written permission; standards are periodically reviewed; select only from actual Portuguese tasks and professional advice</x:v>
      </x:c>
      <x:c r="J168" s="53" t="str">
        <x:v>PT;language varies by standard</x:v>
      </x:c>
      <x:c r="K168" s="53" t="str">
        <x:v>Portugal/EU</x:v>
      </x:c>
      <x:c r="L168" s="53" t="str">
        <x:v>Licensed PDF or account-delivered format per purchase</x:v>
      </x:c>
      <x:c r="M168" s="53" t="str">
        <x:v>Purchase exact current standards into a separate access-controlled license vault; keep invoice license seat watermark and review dates; never general-index or redistribute unless licensed</x:v>
      </x:c>
      <x:c r="N168" s="53" t="str">
        <x:v>L4</x:v>
      </x:c>
      <x:c r="O168" s="53" t="str">
        <x:v>S3_LICENSED_PROFESSIONAL</x:v>
      </x:c>
      <x:c r="P168" s="53" t="str">
        <x:v>ANNUAL_OR_EDITION</x:v>
      </x:c>
      <x:c r="Q168" s="53" t="n">
        <x:v>3</x:v>
      </x:c>
      <x:c r="R168" s="53" t="n">
        <x:v>4</x:v>
      </x:c>
      <x:c r="S168" s="53" t="n">
        <x:v>3</x:v>
      </x:c>
      <x:c r="T168" s="53" t="n">
        <x:v>4</x:v>
      </x:c>
      <x:c r="U168" s="53" t="n">
        <x:v>2</x:v>
      </x:c>
      <x:c r="V168" s="53" t="n">
        <x:v>1</x:v>
      </x:c>
      <x:c r="W168" s="53" t="n">
        <x:v>4</x:v>
      </x:c>
      <x:c r="X168" s="53" t="n">
        <x:v>3</x:v>
      </x:c>
      <x:c r="Y168" s="53" t="n">
        <x:v>4</x:v>
      </x:c>
      <x:c r="Z168" s="53" t="n">
        <x:v>2</x:v>
      </x:c>
      <x:c r="AA168" s="53" t="n">
        <x:v>5</x:v>
      </x:c>
      <x:c r="AB168" s="53" t="str">
        <x:v>CANDIDATE</x:v>
      </x:c>
      <x:c r="AC168" s="53" t="str">
        <x:v>NOT_DOWNLOADED</x:v>
      </x:c>
      <x:c r="AD168" s="53" t="str">
        <x:v>REFERENCE_ONLY_NO_COPY</x:v>
      </x:c>
      <x:c r="AE168" s="53" t="str">
        <x:v>NOT_REVIEWED</x:v>
      </x:c>
      <x:c r="AF168" s="53" t="str">
        <x:v>NOT_TESTED</x:v>
      </x:c>
      <x:c r="AG168" s="53" t="str"/>
      <x:c r="AH168" s="53" t="str"/>
      <x:c r="AI168" s="53" t="str"/>
      <x:c r="AJ168" s="53" t="str"/>
      <x:c r="AK168" s="57" t="n">
        <x:f>MAX(0,MIN(100,ROUND(((Q168*'Overview'!$B$18)+(R168*'Overview'!$B$19)+(S168*'Overview'!$B$20)+(T168*'Overview'!$B$21)+(U168*'Overview'!$B$22)+(V168*'Overview'!$B$23)+(W168*'Overview'!$B$24)+(X168*'Overview'!$B$25)-(Y168*'Overview'!$B$26)-(Z168*'Overview'!$B$27)-(AA168*'Overview'!$B$28))/5*100,0)))</x:f>
        <x:v>40</x:v>
      </x:c>
      <x:c r="AL168" s="53" t="str">
        <x:v>[SUPPLEMENTAL_RESEARCH] IPQ prohibits reproduction use distribution and public disclosure of standards without prior written permission; standards are periodically reviewed; select only from actual Portuguese tasks and professional advice</x:v>
      </x:c>
    </x:row>
    <x:row r="169">
      <x:c r="A169" s="26" t="str">
        <x:v>SUP-PHY-046</x:v>
      </x:c>
      <x:c r="B169" s="26" t="str">
        <x:v>METH</x:v>
      </x:c>
      <x:c r="C169" s="26" t="str">
        <x:v>ISO standards licensed shelf</x:v>
      </x:c>
      <x:c r="D169" s="26" t="str">
        <x:v>International Organization for Standardization</x:v>
      </x:c>
      <x:c r="E169" s="26" t="str">
        <x:v>Практический источник для групп METH</x:v>
      </x:c>
      <x:c r="F169" s="26" t="str">
        <x:v>https://www.iso.org/store.html</x:v>
      </x:c>
      <x:c r="G169" s="26" t="str">
        <x:v>https://www.iso.org/store.html</x:v>
      </x:c>
      <x:c r="H169" s="26" t="str">
        <x:v>https://www.iso.org/terms-conditions-licence-agreement.html</x:v>
      </x:c>
      <x:c r="I169" s="26" t="str">
        <x:v>ISO permits storage and access only according to purchased license type; personal copies are not a group corpus; prefer IPQ adoption where Portuguese applicability is required</x:v>
      </x:c>
      <x:c r="J169" s="26" t="str">
        <x:v>EN;FR;language varies</x:v>
      </x:c>
      <x:c r="K169" s="26" t="str">
        <x:v>International/reference</x:v>
      </x:c>
      <x:c r="L169" s="26" t="str">
        <x:v>Licensed PDF;XML or platform access depending product</x:v>
      </x:c>
      <x:c r="M169" s="26" t="str">
        <x:v>Acquire exact standards under a named license; preserve purchase evidence watermark device and user limits; do not migrate share train AI or expose outside license scope</x:v>
      </x:c>
      <x:c r="N169" s="26" t="str">
        <x:v>L4</x:v>
      </x:c>
      <x:c r="O169" s="26" t="str">
        <x:v>S3_LICENSED_PROFESSIONAL</x:v>
      </x:c>
      <x:c r="P169" s="26" t="str">
        <x:v>ANNUAL_OR_EDITION</x:v>
      </x:c>
      <x:c r="Q169" s="26" t="n">
        <x:v>3</x:v>
      </x:c>
      <x:c r="R169" s="26" t="n">
        <x:v>4</x:v>
      </x:c>
      <x:c r="S169" s="26" t="n">
        <x:v>3</x:v>
      </x:c>
      <x:c r="T169" s="26" t="n">
        <x:v>4</x:v>
      </x:c>
      <x:c r="U169" s="26" t="n">
        <x:v>2</x:v>
      </x:c>
      <x:c r="V169" s="26" t="n">
        <x:v>1</x:v>
      </x:c>
      <x:c r="W169" s="26" t="n">
        <x:v>2</x:v>
      </x:c>
      <x:c r="X169" s="26" t="n">
        <x:v>3</x:v>
      </x:c>
      <x:c r="Y169" s="26" t="n">
        <x:v>4</x:v>
      </x:c>
      <x:c r="Z169" s="26" t="n">
        <x:v>2</x:v>
      </x:c>
      <x:c r="AA169" s="26" t="n">
        <x:v>5</x:v>
      </x:c>
      <x:c r="AB169" s="26" t="str">
        <x:v>CANDIDATE</x:v>
      </x:c>
      <x:c r="AC169" s="26" t="str">
        <x:v>NOT_DOWNLOADED</x:v>
      </x:c>
      <x:c r="AD169" s="26" t="str">
        <x:v>REFERENCE_ONLY_NO_COPY</x:v>
      </x:c>
      <x:c r="AE169" s="26" t="str">
        <x:v>NOT_REVIEWED</x:v>
      </x:c>
      <x:c r="AF169" s="26" t="str">
        <x:v>NOT_TESTED</x:v>
      </x:c>
      <x:c r="AG169" s="26" t="str"/>
      <x:c r="AH169" s="26" t="str"/>
      <x:c r="AI169" s="26" t="str"/>
      <x:c r="AJ169" s="26" t="str"/>
      <x:c r="AK169" s="57" t="n">
        <x:f>MAX(0,MIN(100,ROUND(((Q169*'Overview'!$B$18)+(R169*'Overview'!$B$19)+(S169*'Overview'!$B$20)+(T169*'Overview'!$B$21)+(U169*'Overview'!$B$22)+(V169*'Overview'!$B$23)+(W169*'Overview'!$B$24)+(X169*'Overview'!$B$25)-(Y169*'Overview'!$B$26)-(Z169*'Overview'!$B$27)-(AA169*'Overview'!$B$28))/5*100,0)))</x:f>
        <x:v>38</x:v>
      </x:c>
      <x:c r="AL169" s="26" t="str">
        <x:v>[SUPPLEMENTAL_RESEARCH] ISO permits storage and access only according to purchased license type; personal copies are not a group corpus; prefer IPQ adoption where Portuguese applicability is required</x:v>
      </x:c>
    </x:row>
    <x:row r="170">
      <x:c r="A170" s="53" t="str">
        <x:v>SUP-PHY-047</x:v>
      </x:c>
      <x:c r="B170" s="53" t="str">
        <x:v>METH</x:v>
      </x:c>
      <x:c r="C170" s="53" t="str">
        <x:v>ASTM standards licensed shelf</x:v>
      </x:c>
      <x:c r="D170" s="53" t="str">
        <x:v>ASTM International</x:v>
      </x:c>
      <x:c r="E170" s="53" t="str">
        <x:v>Практический источник для групп METH</x:v>
      </x:c>
      <x:c r="F170" s="53" t="str">
        <x:v>https://www.astm.org/</x:v>
      </x:c>
      <x:c r="G170" s="53" t="str">
        <x:v>https://www.astm.org/</x:v>
      </x:c>
      <x:c r="H170" s="53" t="str">
        <x:v>https://www.astm.org/astm-license-agreement-publication</x:v>
      </x:c>
      <x:c r="I170" s="53" t="str">
        <x:v>ASTM standards are copyrighted and license terms can restrict storage printing transfer and multi-user access; a freely viewable page is not an archival right</x:v>
      </x:c>
      <x:c r="J170" s="53" t="str">
        <x:v>EN</x:v>
      </x:c>
      <x:c r="K170" s="53" t="str">
        <x:v>International/reference</x:v>
      </x:c>
      <x:c r="L170" s="53" t="str">
        <x:v>Licensed PDF or online subscription</x:v>
      </x:c>
      <x:c r="M170" s="53" t="str">
        <x:v>Do not ingest into the general corpus; acquire only exact methods under an access-controlled agreement after confirming whether permanent offline storage backup and indexing are allowed</x:v>
      </x:c>
      <x:c r="N170" s="53" t="str">
        <x:v>L4</x:v>
      </x:c>
      <x:c r="O170" s="53" t="str">
        <x:v>S3_LICENSED_PROFESSIONAL</x:v>
      </x:c>
      <x:c r="P170" s="53" t="str">
        <x:v>ANNUAL_OR_EDITION</x:v>
      </x:c>
      <x:c r="Q170" s="53" t="n">
        <x:v>3</x:v>
      </x:c>
      <x:c r="R170" s="53" t="n">
        <x:v>4</x:v>
      </x:c>
      <x:c r="S170" s="53" t="n">
        <x:v>3</x:v>
      </x:c>
      <x:c r="T170" s="53" t="n">
        <x:v>4</x:v>
      </x:c>
      <x:c r="U170" s="53" t="n">
        <x:v>2</x:v>
      </x:c>
      <x:c r="V170" s="53" t="n">
        <x:v>1</x:v>
      </x:c>
      <x:c r="W170" s="53" t="n">
        <x:v>2</x:v>
      </x:c>
      <x:c r="X170" s="53" t="n">
        <x:v>3</x:v>
      </x:c>
      <x:c r="Y170" s="53" t="n">
        <x:v>4</x:v>
      </x:c>
      <x:c r="Z170" s="53" t="n">
        <x:v>2</x:v>
      </x:c>
      <x:c r="AA170" s="53" t="n">
        <x:v>5</x:v>
      </x:c>
      <x:c r="AB170" s="53" t="str">
        <x:v>CANDIDATE</x:v>
      </x:c>
      <x:c r="AC170" s="53" t="str">
        <x:v>NOT_DOWNLOADED</x:v>
      </x:c>
      <x:c r="AD170" s="53" t="str">
        <x:v>REFERENCE_ONLY_NO_COPY</x:v>
      </x:c>
      <x:c r="AE170" s="53" t="str">
        <x:v>NOT_REVIEWED</x:v>
      </x:c>
      <x:c r="AF170" s="53" t="str">
        <x:v>NOT_TESTED</x:v>
      </x:c>
      <x:c r="AG170" s="53" t="str"/>
      <x:c r="AH170" s="53" t="str"/>
      <x:c r="AI170" s="53" t="str"/>
      <x:c r="AJ170" s="53" t="str"/>
      <x:c r="AK170" s="57" t="n">
        <x:f>MAX(0,MIN(100,ROUND(((Q170*'Overview'!$B$18)+(R170*'Overview'!$B$19)+(S170*'Overview'!$B$20)+(T170*'Overview'!$B$21)+(U170*'Overview'!$B$22)+(V170*'Overview'!$B$23)+(W170*'Overview'!$B$24)+(X170*'Overview'!$B$25)-(Y170*'Overview'!$B$26)-(Z170*'Overview'!$B$27)-(AA170*'Overview'!$B$28))/5*100,0)))</x:f>
        <x:v>38</x:v>
      </x:c>
      <x:c r="AL170" s="53" t="str">
        <x:v>[SUPPLEMENTAL_RESEARCH] ASTM standards are copyrighted and license terms can restrict storage printing transfer and multi-user access; a freely viewable page is not an archival right</x:v>
      </x:c>
    </x:row>
    <x:row r="171">
      <x:c r="A171" s="26" t="str">
        <x:v>SUP-PHY-048</x:v>
      </x:c>
      <x:c r="B171" s="26" t="str">
        <x:v>MECH</x:v>
      </x:c>
      <x:c r="C171" s="26" t="str">
        <x:v>Fairphone model-specific repair guides</x:v>
      </x:c>
      <x:c r="D171" s="26" t="str">
        <x:v>Fairphone</x:v>
      </x:c>
      <x:c r="E171" s="26" t="str">
        <x:v>Практический источник для групп MECH</x:v>
      </x:c>
      <x:c r="F171" s="26" t="str">
        <x:v>https://www.fairphone.com/repairs/</x:v>
      </x:c>
      <x:c r="G171" s="26" t="str">
        <x:v>https://www.fairphone.com/repairs/</x:v>
      </x:c>
      <x:c r="H171" s="26" t="str">
        <x:v>https://www.fairphone.com/repairs/</x:v>
      </x:c>
      <x:c r="I171" s="26" t="str">
        <x:v>No open redistribution license confirmed; keep private and model-specific; follow user-replaceable boundary; swollen batteries core modules and damage beyond the manual stop and escalate</x:v>
      </x:c>
      <x:c r="J171" s="26" t="str">
        <x:v>EN;some EU languages</x:v>
      </x:c>
      <x:c r="K171" s="26" t="str">
        <x:v>International/reference</x:v>
      </x:c>
      <x:c r="L171" s="26" t="str">
        <x:v>HTML;PDF;video availability varies by model</x:v>
      </x:c>
      <x:c r="M171" s="26" t="str">
        <x:v>After inventorying an owned device save only its exact official manual PDF or permitted HTML for private use; record model revision and terms snapshot</x:v>
      </x:c>
      <x:c r="N171" s="26" t="str">
        <x:v>L4</x:v>
      </x:c>
      <x:c r="O171" s="26" t="str">
        <x:v>S1_LOW_RISK_HOUSEHOLD</x:v>
      </x:c>
      <x:c r="P171" s="26" t="str">
        <x:v>ANNUAL_OR_EDITION</x:v>
      </x:c>
      <x:c r="Q171" s="26" t="n">
        <x:v>3</x:v>
      </x:c>
      <x:c r="R171" s="26" t="n">
        <x:v>4</x:v>
      </x:c>
      <x:c r="S171" s="26" t="n">
        <x:v>3</x:v>
      </x:c>
      <x:c r="T171" s="26" t="n">
        <x:v>4</x:v>
      </x:c>
      <x:c r="U171" s="26" t="n">
        <x:v>2</x:v>
      </x:c>
      <x:c r="V171" s="26" t="n">
        <x:v>1</x:v>
      </x:c>
      <x:c r="W171" s="26" t="n">
        <x:v>2</x:v>
      </x:c>
      <x:c r="X171" s="26" t="n">
        <x:v>3</x:v>
      </x:c>
      <x:c r="Y171" s="26" t="n">
        <x:v>0</x:v>
      </x:c>
      <x:c r="Z171" s="26" t="n">
        <x:v>2</x:v>
      </x:c>
      <x:c r="AA171" s="26" t="n">
        <x:v>5</x:v>
      </x:c>
      <x:c r="AB171" s="26" t="str">
        <x:v>CANDIDATE</x:v>
      </x:c>
      <x:c r="AC171" s="26" t="str">
        <x:v>NOT_DOWNLOADED</x:v>
      </x:c>
      <x:c r="AD171" s="26" t="str">
        <x:v>REFERENCE_ONLY_NO_COPY</x:v>
      </x:c>
      <x:c r="AE171" s="26" t="str">
        <x:v>NOT_REVIEWED</x:v>
      </x:c>
      <x:c r="AF171" s="26" t="str">
        <x:v>NOT_TESTED</x:v>
      </x:c>
      <x:c r="AG171" s="26" t="str"/>
      <x:c r="AH171" s="26" t="str"/>
      <x:c r="AI171" s="26" t="str"/>
      <x:c r="AJ171" s="26" t="str"/>
      <x:c r="AK171" s="57" t="n">
        <x:f>MAX(0,MIN(100,ROUND(((Q171*'Overview'!$B$18)+(R171*'Overview'!$B$19)+(S171*'Overview'!$B$20)+(T171*'Overview'!$B$21)+(U171*'Overview'!$B$22)+(V171*'Overview'!$B$23)+(W171*'Overview'!$B$24)+(X171*'Overview'!$B$25)-(Y171*'Overview'!$B$26)-(Z171*'Overview'!$B$27)-(AA171*'Overview'!$B$28))/5*100,0)))</x:f>
        <x:v>50</x:v>
      </x:c>
      <x:c r="AL171" s="26" t="str">
        <x:v>[SUPPLEMENTAL_RESEARCH] No open redistribution license confirmed; keep private and model-specific; follow user-replaceable boundary; swollen batteries core modules and damage beyond the manual stop and escalate</x:v>
      </x:c>
    </x:row>
    <x:row r="172">
      <x:c r="A172" s="53" t="str">
        <x:v>SUP-PHY-049</x:v>
      </x:c>
      <x:c r="B172" s="53" t="str">
        <x:v>MECH|COMP</x:v>
      </x:c>
      <x:c r="C172" s="53" t="str">
        <x:v>Framework Laptop model-specific guides and user manual</x:v>
      </x:c>
      <x:c r="D172" s="53" t="str">
        <x:v>Framework Computer</x:v>
      </x:c>
      <x:c r="E172" s="53" t="str">
        <x:v>Практический источник для групп MECH|COMP</x:v>
      </x:c>
      <x:c r="F172" s="53" t="str">
        <x:v>https://frame.work/support</x:v>
      </x:c>
      <x:c r="G172" s="53" t="str">
        <x:v>https://frame.work/support</x:v>
      </x:c>
      <x:c r="H172" s="53" t="str">
        <x:v>https://frame.work/support</x:v>
      </x:c>
      <x:c r="I172" s="53" t="str">
        <x:v>No broad open-content license confirmed; do not mirror; disconnect power and follow OEM ESD and battery steps; damage liquid heat or unavailable safety test is a stop condition</x:v>
      </x:c>
      <x:c r="J172" s="53" t="str">
        <x:v>EN</x:v>
      </x:c>
      <x:c r="K172" s="53" t="str">
        <x:v>International/reference</x:v>
      </x:c>
      <x:c r="L172" s="53" t="str">
        <x:v>HTML;PDF;video</x:v>
      </x:c>
      <x:c r="M172" s="53" t="str">
        <x:v>Save exact model-generation official guide and manual for privately owned hardware only after terms review; retain serial generation revision and parts mapping</x:v>
      </x:c>
      <x:c r="N172" s="53" t="str">
        <x:v>L4</x:v>
      </x:c>
      <x:c r="O172" s="53" t="str">
        <x:v>S1_LOW_RISK_HOUSEHOLD</x:v>
      </x:c>
      <x:c r="P172" s="53" t="str">
        <x:v>ANNUAL_OR_EDITION</x:v>
      </x:c>
      <x:c r="Q172" s="53" t="n">
        <x:v>3</x:v>
      </x:c>
      <x:c r="R172" s="53" t="n">
        <x:v>4</x:v>
      </x:c>
      <x:c r="S172" s="53" t="n">
        <x:v>3</x:v>
      </x:c>
      <x:c r="T172" s="53" t="n">
        <x:v>4</x:v>
      </x:c>
      <x:c r="U172" s="53" t="n">
        <x:v>2</x:v>
      </x:c>
      <x:c r="V172" s="53" t="n">
        <x:v>1</x:v>
      </x:c>
      <x:c r="W172" s="53" t="n">
        <x:v>2</x:v>
      </x:c>
      <x:c r="X172" s="53" t="n">
        <x:v>3</x:v>
      </x:c>
      <x:c r="Y172" s="53" t="n">
        <x:v>0</x:v>
      </x:c>
      <x:c r="Z172" s="53" t="n">
        <x:v>2</x:v>
      </x:c>
      <x:c r="AA172" s="53" t="n">
        <x:v>5</x:v>
      </x:c>
      <x:c r="AB172" s="53" t="str">
        <x:v>CANDIDATE</x:v>
      </x:c>
      <x:c r="AC172" s="53" t="str">
        <x:v>NOT_DOWNLOADED</x:v>
      </x:c>
      <x:c r="AD172" s="53" t="str">
        <x:v>REFERENCE_ONLY_NO_COPY</x:v>
      </x:c>
      <x:c r="AE172" s="53" t="str">
        <x:v>NOT_REVIEWED</x:v>
      </x:c>
      <x:c r="AF172" s="53" t="str">
        <x:v>NOT_TESTED</x:v>
      </x:c>
      <x:c r="AG172" s="53" t="str"/>
      <x:c r="AH172" s="53" t="str"/>
      <x:c r="AI172" s="53" t="str"/>
      <x:c r="AJ172" s="53" t="str"/>
      <x:c r="AK172" s="57" t="n">
        <x:f>MAX(0,MIN(100,ROUND(((Q172*'Overview'!$B$18)+(R172*'Overview'!$B$19)+(S172*'Overview'!$B$20)+(T172*'Overview'!$B$21)+(U172*'Overview'!$B$22)+(V172*'Overview'!$B$23)+(W172*'Overview'!$B$24)+(X172*'Overview'!$B$25)-(Y172*'Overview'!$B$26)-(Z172*'Overview'!$B$27)-(AA172*'Overview'!$B$28))/5*100,0)))</x:f>
        <x:v>50</x:v>
      </x:c>
      <x:c r="AL172" s="53" t="str">
        <x:v>[SUPPLEMENTAL_RESEARCH] No broad open-content license confirmed; do not mirror; disconnect power and follow OEM ESD and battery steps; damage liquid heat or unavailable safety test is a stop condition</x:v>
      </x:c>
    </x:row>
    <x:row r="173">
      <x:c r="A173" s="26" t="str">
        <x:v>SUP-PHY-050</x:v>
      </x:c>
      <x:c r="B173" s="26" t="str">
        <x:v>MECH</x:v>
      </x:c>
      <x:c r="C173" s="26" t="str">
        <x:v>Dell model-specific service manuals</x:v>
      </x:c>
      <x:c r="D173" s="26" t="str">
        <x:v>Dell Technologies</x:v>
      </x:c>
      <x:c r="E173" s="26" t="str">
        <x:v>Практический источник для групп MECH</x:v>
      </x:c>
      <x:c r="F173" s="26" t="str">
        <x:v>https://www.dell.com/support/home/en-us?app=manuals</x:v>
      </x:c>
      <x:c r="G173" s="26" t="str">
        <x:v>https://www.dell.com/support/home/en-us?app=manuals</x:v>
      </x:c>
      <x:c r="H173" s="26" t="str">
        <x:v>https://www.dell.com/learn/us/en/uscorp1/terms-of-use-copyright</x:v>
      </x:c>
      <x:c r="I173" s="26" t="str">
        <x:v>No generic scraping or redistribution; only exact owned assets; service-only power battery display hinge thermal or high-voltage assemblies remain professional; require post-repair OEM tests</x:v>
      </x:c>
      <x:c r="J173" s="26" t="str">
        <x:v>Many languages by product and region</x:v>
      </x:c>
      <x:c r="K173" s="26" t="str">
        <x:v>International/reference</x:v>
      </x:c>
      <x:c r="L173" s="26" t="str">
        <x:v>HTML;PDF</x:v>
      </x:c>
      <x:c r="M173" s="26" t="str">
        <x:v>Resolve exact service tag and model; download official PDF for private asset use if terms permit; preserve revision date and CRU or FRU classification</x:v>
      </x:c>
      <x:c r="N173" s="26" t="str">
        <x:v>L4</x:v>
      </x:c>
      <x:c r="O173" s="26" t="str">
        <x:v>S3_LICENSED_PROFESSIONAL</x:v>
      </x:c>
      <x:c r="P173" s="26" t="str">
        <x:v>ANNUAL_OR_EDITION</x:v>
      </x:c>
      <x:c r="Q173" s="26" t="n">
        <x:v>3</x:v>
      </x:c>
      <x:c r="R173" s="26" t="n">
        <x:v>4</x:v>
      </x:c>
      <x:c r="S173" s="26" t="n">
        <x:v>3</x:v>
      </x:c>
      <x:c r="T173" s="26" t="n">
        <x:v>4</x:v>
      </x:c>
      <x:c r="U173" s="26" t="n">
        <x:v>2</x:v>
      </x:c>
      <x:c r="V173" s="26" t="n">
        <x:v>1</x:v>
      </x:c>
      <x:c r="W173" s="26" t="n">
        <x:v>2</x:v>
      </x:c>
      <x:c r="X173" s="26" t="n">
        <x:v>3</x:v>
      </x:c>
      <x:c r="Y173" s="26" t="n">
        <x:v>4</x:v>
      </x:c>
      <x:c r="Z173" s="26" t="n">
        <x:v>2</x:v>
      </x:c>
      <x:c r="AA173" s="26" t="n">
        <x:v>5</x:v>
      </x:c>
      <x:c r="AB173" s="26" t="str">
        <x:v>CANDIDATE</x:v>
      </x:c>
      <x:c r="AC173" s="26" t="str">
        <x:v>NOT_DOWNLOADED</x:v>
      </x:c>
      <x:c r="AD173" s="26" t="str">
        <x:v>REFERENCE_ONLY_NO_COPY</x:v>
      </x:c>
      <x:c r="AE173" s="26" t="str">
        <x:v>NOT_REVIEWED</x:v>
      </x:c>
      <x:c r="AF173" s="26" t="str">
        <x:v>NOT_TESTED</x:v>
      </x:c>
      <x:c r="AG173" s="26" t="str"/>
      <x:c r="AH173" s="26" t="str"/>
      <x:c r="AI173" s="26" t="str"/>
      <x:c r="AJ173" s="26" t="str"/>
      <x:c r="AK173" s="57" t="n">
        <x:f>MAX(0,MIN(100,ROUND(((Q173*'Overview'!$B$18)+(R173*'Overview'!$B$19)+(S173*'Overview'!$B$20)+(T173*'Overview'!$B$21)+(U173*'Overview'!$B$22)+(V173*'Overview'!$B$23)+(W173*'Overview'!$B$24)+(X173*'Overview'!$B$25)-(Y173*'Overview'!$B$26)-(Z173*'Overview'!$B$27)-(AA173*'Overview'!$B$28))/5*100,0)))</x:f>
        <x:v>38</x:v>
      </x:c>
      <x:c r="AL173" s="26" t="str">
        <x:v>[SUPPLEMENTAL_RESEARCH] No generic scraping or redistribution; only exact owned assets; service-only power battery display hinge thermal or high-voltage assemblies remain professional; require post-repair OEM tests</x:v>
      </x:c>
    </x:row>
    <x:row r="174">
      <x:c r="A174" s="53" t="str">
        <x:v>SUP-LEA-001</x:v>
      </x:c>
      <x:c r="B174" s="53" t="str">
        <x:v>METH</x:v>
      </x:c>
      <x:c r="C174" s="53" t="str">
        <x:v>Catalogue of Life Annual Checklist</x:v>
      </x:c>
      <x:c r="D174" s="53" t="str">
        <x:v>Catalogue of Life</x:v>
      </x:c>
      <x:c r="E174" s="53" t="str">
        <x:v>Практический источник для групп METH</x:v>
      </x:c>
      <x:c r="F174" s="53" t="str">
        <x:v>https://www.catalogueoflife.org/data/download</x:v>
      </x:c>
      <x:c r="G174" s="53" t="str">
        <x:v>https://www.catalogueoflife.org/data/download</x:v>
      </x:c>
      <x:c r="H174" s="53" t="str">
        <x:v>https://www.catalogueoflife.org/about</x:v>
      </x:c>
      <x:c r="I174" s="53" t="str">
        <x:v>COL site/content states CC BY 4.0 unless indicated; preserve each source dataset notice; taxonomy is incomplete and not an edibility guide</x:v>
      </x:c>
      <x:c r="J174" s="53" t="str">
        <x:v>EN; scientific names global</x:v>
      </x:c>
      <x:c r="K174" s="53" t="str">
        <x:v>International/reference</x:v>
      </x:c>
      <x:c r="L174" s="53" t="str">
        <x:v>ColDP ZIP; DwC-A ZIP; TextTree</x:v>
      </x:c>
      <x:c r="M174" s="53" t="str">
        <x:v>Download permanent annual release; keep release metadata and contributing-dataset citations</x:v>
      </x:c>
      <x:c r="N174" s="53" t="str">
        <x:v>L1</x:v>
      </x:c>
      <x:c r="O174" s="53" t="str">
        <x:v>S2_TRAINED_SUPERVISED</x:v>
      </x:c>
      <x:c r="P174" s="53" t="str">
        <x:v>ANNUAL_OR_EDITION</x:v>
      </x:c>
      <x:c r="Q174" s="53" t="n">
        <x:v>5</x:v>
      </x:c>
      <x:c r="R174" s="53" t="n">
        <x:v>4</x:v>
      </x:c>
      <x:c r="S174" s="53" t="n">
        <x:v>4</x:v>
      </x:c>
      <x:c r="T174" s="53" t="n">
        <x:v>4</x:v>
      </x:c>
      <x:c r="U174" s="53" t="n">
        <x:v>4</x:v>
      </x:c>
      <x:c r="V174" s="53" t="n">
        <x:v>3</x:v>
      </x:c>
      <x:c r="W174" s="53" t="n">
        <x:v>2</x:v>
      </x:c>
      <x:c r="X174" s="53" t="n">
        <x:v>3</x:v>
      </x:c>
      <x:c r="Y174" s="53" t="n">
        <x:v>2</x:v>
      </x:c>
      <x:c r="Z174" s="53" t="n">
        <x:v>2</x:v>
      </x:c>
      <x:c r="AA174" s="53" t="n">
        <x:v>1</x:v>
      </x:c>
      <x:c r="AB174" s="53" t="str">
        <x:v>CANDIDATE</x:v>
      </x:c>
      <x:c r="AC174" s="53" t="str">
        <x:v>NOT_DOWNLOADED</x:v>
      </x:c>
      <x:c r="AD174" s="53" t="str">
        <x:v>REQUIRES_ITEM_REVIEW</x:v>
      </x:c>
      <x:c r="AE174" s="53" t="str">
        <x:v>NOT_REVIEWED</x:v>
      </x:c>
      <x:c r="AF174" s="53" t="str">
        <x:v>NOT_TESTED</x:v>
      </x:c>
      <x:c r="AG174" s="53" t="str"/>
      <x:c r="AH174" s="53" t="str"/>
      <x:c r="AI174" s="53" t="str"/>
      <x:c r="AJ174" s="53" t="str"/>
      <x:c r="AK174" s="57" t="n">
        <x:f>MAX(0,MIN(100,ROUND(((Q174*'Overview'!$B$18)+(R174*'Overview'!$B$19)+(S174*'Overview'!$B$20)+(T174*'Overview'!$B$21)+(U174*'Overview'!$B$22)+(V174*'Overview'!$B$23)+(W174*'Overview'!$B$24)+(X174*'Overview'!$B$25)-(Y174*'Overview'!$B$26)-(Z174*'Overview'!$B$27)-(AA174*'Overview'!$B$28))/5*100,0)))</x:f>
        <x:v>69</x:v>
      </x:c>
      <x:c r="AL174" s="53" t="str">
        <x:v>[SUPPLEMENTAL_RESEARCH] COL site/content states CC BY 4.0 unless indicated; preserve each source dataset notice; taxonomy is incomplete and not an edibility guide</x:v>
      </x:c>
    </x:row>
    <x:row r="175">
      <x:c r="A175" s="26" t="str">
        <x:v>SUP-LEA-002</x:v>
      </x:c>
      <x:c r="B175" s="26" t="str">
        <x:v>METH</x:v>
      </x:c>
      <x:c r="C175" s="26" t="str">
        <x:v>ITIS complete database</x:v>
      </x:c>
      <x:c r="D175" s="26" t="str">
        <x:v>Integrated Taxonomic Information System</x:v>
      </x:c>
      <x:c r="E175" s="26" t="str">
        <x:v>Практический источник для групп METH</x:v>
      </x:c>
      <x:c r="F175" s="26" t="str">
        <x:v>https://www.itis.gov/downloads/index.html</x:v>
      </x:c>
      <x:c r="G175" s="26" t="str">
        <x:v>https://www.itis.gov/downloads/index.html</x:v>
      </x:c>
      <x:c r="H175" s="26" t="str">
        <x:v>https://itis.gov/privacy.html</x:v>
      </x:c>
      <x:c r="I175" s="26" t="str">
        <x:v>ITIS-produced data are offered as CC0/public domain; third-party page elements remain exceptions</x:v>
      </x:c>
      <x:c r="J175" s="26" t="str">
        <x:v>EN; scientific names global</x:v>
      </x:c>
      <x:c r="K175" s="26" t="str">
        <x:v>International/reference</x:v>
      </x:c>
      <x:c r="L175" s="26" t="str">
        <x:v>SQLite; PostgreSQL; MySQL; text; checksums</x:v>
      </x:c>
      <x:c r="M175" s="26" t="str">
        <x:v>Download dated complete database and MD5SUMS from official server</x:v>
      </x:c>
      <x:c r="N175" s="26" t="str">
        <x:v>L1</x:v>
      </x:c>
      <x:c r="O175" s="26" t="str">
        <x:v>S2_TRAINED_SUPERVISED</x:v>
      </x:c>
      <x:c r="P175" s="26" t="str">
        <x:v>ANNUAL_OR_EDITION</x:v>
      </x:c>
      <x:c r="Q175" s="26" t="n">
        <x:v>5</x:v>
      </x:c>
      <x:c r="R175" s="26" t="n">
        <x:v>4</x:v>
      </x:c>
      <x:c r="S175" s="26" t="n">
        <x:v>4</x:v>
      </x:c>
      <x:c r="T175" s="26" t="n">
        <x:v>4</x:v>
      </x:c>
      <x:c r="U175" s="26" t="n">
        <x:v>4</x:v>
      </x:c>
      <x:c r="V175" s="26" t="n">
        <x:v>3</x:v>
      </x:c>
      <x:c r="W175" s="26" t="n">
        <x:v>2</x:v>
      </x:c>
      <x:c r="X175" s="26" t="n">
        <x:v>3</x:v>
      </x:c>
      <x:c r="Y175" s="26" t="n">
        <x:v>2</x:v>
      </x:c>
      <x:c r="Z175" s="26" t="n">
        <x:v>2</x:v>
      </x:c>
      <x:c r="AA175" s="26" t="n">
        <x:v>1</x:v>
      </x:c>
      <x:c r="AB175" s="26" t="str">
        <x:v>CANDIDATE</x:v>
      </x:c>
      <x:c r="AC175" s="26" t="str">
        <x:v>NOT_DOWNLOADED</x:v>
      </x:c>
      <x:c r="AD175" s="26" t="str">
        <x:v>REQUIRES_ITEM_REVIEW</x:v>
      </x:c>
      <x:c r="AE175" s="26" t="str">
        <x:v>NOT_REVIEWED</x:v>
      </x:c>
      <x:c r="AF175" s="26" t="str">
        <x:v>NOT_TESTED</x:v>
      </x:c>
      <x:c r="AG175" s="26" t="str"/>
      <x:c r="AH175" s="26" t="str"/>
      <x:c r="AI175" s="26" t="str"/>
      <x:c r="AJ175" s="26" t="str"/>
      <x:c r="AK175" s="57" t="n">
        <x:f>MAX(0,MIN(100,ROUND(((Q175*'Overview'!$B$18)+(R175*'Overview'!$B$19)+(S175*'Overview'!$B$20)+(T175*'Overview'!$B$21)+(U175*'Overview'!$B$22)+(V175*'Overview'!$B$23)+(W175*'Overview'!$B$24)+(X175*'Overview'!$B$25)-(Y175*'Overview'!$B$26)-(Z175*'Overview'!$B$27)-(AA175*'Overview'!$B$28))/5*100,0)))</x:f>
        <x:v>69</x:v>
      </x:c>
      <x:c r="AL175" s="26" t="str">
        <x:v>[SUPPLEMENTAL_RESEARCH] ITIS-produced data are offered as CC0/public domain; third-party page elements remain exceptions</x:v>
      </x:c>
    </x:row>
    <x:row r="176">
      <x:c r="A176" s="53" t="str">
        <x:v>SUP-LEA-003</x:v>
      </x:c>
      <x:c r="B176" s="53" t="str">
        <x:v>LIFE</x:v>
      </x:c>
      <x:c r="C176" s="53" t="str">
        <x:v>NCBI Taxonomy taxdump</x:v>
      </x:c>
      <x:c r="D176" s="53" t="str">
        <x:v>National Center for Biotechnology Information</x:v>
      </x:c>
      <x:c r="E176" s="53" t="str">
        <x:v>Практический источник для групп LIFE</x:v>
      </x:c>
      <x:c r="F176" s="53" t="str">
        <x:v>https://www.ncbi.nlm.nih.gov/datasets/docs/v2/data-processing/taxonomy-processing/taxonomy/</x:v>
      </x:c>
      <x:c r="G176" s="53" t="str">
        <x:v>https://www.ncbi.nlm.nih.gov/datasets/docs/v2/data-processing/taxonomy-processing/taxonomy/</x:v>
      </x:c>
      <x:c r="H176" s="53" t="str">
        <x:v>https://www.ncbi.nlm.nih.gov/home/about/policies/</x:v>
      </x:c>
      <x:c r="I176" s="53" t="str">
        <x:v>US government database; preserve NCBI notices; taxonomy follows sequence submissions and is neither full species catalogue nor phylogeny</x:v>
      </x:c>
      <x:c r="J176" s="53" t="str">
        <x:v>EN; scientific names global</x:v>
      </x:c>
      <x:c r="K176" s="53" t="str">
        <x:v>International/reference</x:v>
      </x:c>
      <x:c r="L176" s="53" t="str">
        <x:v>TAR.GZ text taxdump; monthly archive</x:v>
      </x:c>
      <x:c r="M176" s="53" t="str">
        <x:v>Mirror current new_taxdump plus one dated monthly archive from official FTP</x:v>
      </x:c>
      <x:c r="N176" s="53" t="str">
        <x:v>L1</x:v>
      </x:c>
      <x:c r="O176" s="53" t="str">
        <x:v>S2_TRAINED_SUPERVISED</x:v>
      </x:c>
      <x:c r="P176" s="53" t="str">
        <x:v>ANNUAL_OR_EDITION</x:v>
      </x:c>
      <x:c r="Q176" s="53" t="n">
        <x:v>5</x:v>
      </x:c>
      <x:c r="R176" s="53" t="n">
        <x:v>4</x:v>
      </x:c>
      <x:c r="S176" s="53" t="n">
        <x:v>4</x:v>
      </x:c>
      <x:c r="T176" s="53" t="n">
        <x:v>4</x:v>
      </x:c>
      <x:c r="U176" s="53" t="n">
        <x:v>4</x:v>
      </x:c>
      <x:c r="V176" s="53" t="n">
        <x:v>3</x:v>
      </x:c>
      <x:c r="W176" s="53" t="n">
        <x:v>2</x:v>
      </x:c>
      <x:c r="X176" s="53" t="n">
        <x:v>3</x:v>
      </x:c>
      <x:c r="Y176" s="53" t="n">
        <x:v>2</x:v>
      </x:c>
      <x:c r="Z176" s="53" t="n">
        <x:v>2</x:v>
      </x:c>
      <x:c r="AA176" s="53" t="n">
        <x:v>1</x:v>
      </x:c>
      <x:c r="AB176" s="53" t="str">
        <x:v>CANDIDATE</x:v>
      </x:c>
      <x:c r="AC176" s="53" t="str">
        <x:v>NOT_DOWNLOADED</x:v>
      </x:c>
      <x:c r="AD176" s="53" t="str">
        <x:v>REQUIRES_ITEM_REVIEW</x:v>
      </x:c>
      <x:c r="AE176" s="53" t="str">
        <x:v>NOT_REVIEWED</x:v>
      </x:c>
      <x:c r="AF176" s="53" t="str">
        <x:v>NOT_TESTED</x:v>
      </x:c>
      <x:c r="AG176" s="53" t="str"/>
      <x:c r="AH176" s="53" t="str"/>
      <x:c r="AI176" s="53" t="str"/>
      <x:c r="AJ176" s="53" t="str"/>
      <x:c r="AK176" s="57" t="n">
        <x:f>MAX(0,MIN(100,ROUND(((Q176*'Overview'!$B$18)+(R176*'Overview'!$B$19)+(S176*'Overview'!$B$20)+(T176*'Overview'!$B$21)+(U176*'Overview'!$B$22)+(V176*'Overview'!$B$23)+(W176*'Overview'!$B$24)+(X176*'Overview'!$B$25)-(Y176*'Overview'!$B$26)-(Z176*'Overview'!$B$27)-(AA176*'Overview'!$B$28))/5*100,0)))</x:f>
        <x:v>69</x:v>
      </x:c>
      <x:c r="AL176" s="53" t="str">
        <x:v>[SUPPLEMENTAL_RESEARCH] US government database; preserve NCBI notices; taxonomy follows sequence submissions and is neither full species catalogue nor phylogeny</x:v>
      </x:c>
    </x:row>
    <x:row r="177">
      <x:c r="A177" s="26" t="str">
        <x:v>SUP-LEA-004</x:v>
      </x:c>
      <x:c r="B177" s="26" t="str">
        <x:v>LIFE|PORT</x:v>
      </x:c>
      <x:c r="C177" s="26" t="str">
        <x:v>GBIF occurrence subset for Portugal</x:v>
      </x:c>
      <x:c r="D177" s="26" t="str">
        <x:v>Global Biodiversity Information Facility</x:v>
      </x:c>
      <x:c r="E177" s="26" t="str">
        <x:v>Практический источник для групп LIFE|PORT</x:v>
      </x:c>
      <x:c r="F177" s="26" t="str">
        <x:v>https://techdocs.gbif.org/en/data-use/download-formats</x:v>
      </x:c>
      <x:c r="G177" s="26" t="str">
        <x:v>https://techdocs.gbif.org/en/data-use/download-formats</x:v>
      </x:c>
      <x:c r="H177" s="26" t="str">
        <x:v>https://www.gbif.org/terms</x:v>
      </x:c>
      <x:c r="I177" s="26" t="str">
        <x:v>Records carry dataset-level CC0; CC BY or CC BY-NC; account required; sensitive coordinates and uncertain identifications must remain flagged</x:v>
      </x:c>
      <x:c r="J177" s="26" t="str">
        <x:v>Multilingual fields; scientific names global</x:v>
      </x:c>
      <x:c r="K177" s="26" t="str">
        <x:v>Portugal/EU</x:v>
      </x:c>
      <x:c r="L177" s="26" t="str">
        <x:v>DwC-A ZIP; simple CSV ZIP; DOI metadata</x:v>
      </x:c>
      <x:c r="M177" s="26" t="str">
        <x:v>Request a bounded country download through official GBIF API/account; archive rights.txt and citations.txt</x:v>
      </x:c>
      <x:c r="N177" s="26" t="str">
        <x:v>L2</x:v>
      </x:c>
      <x:c r="O177" s="26" t="str">
        <x:v>S2_TRAINED_SUPERVISED</x:v>
      </x:c>
      <x:c r="P177" s="26" t="str">
        <x:v>ANNUAL_OR_EDITION</x:v>
      </x:c>
      <x:c r="Q177" s="26" t="n">
        <x:v>4</x:v>
      </x:c>
      <x:c r="R177" s="26" t="n">
        <x:v>4</x:v>
      </x:c>
      <x:c r="S177" s="26" t="n">
        <x:v>3</x:v>
      </x:c>
      <x:c r="T177" s="26" t="n">
        <x:v>4</x:v>
      </x:c>
      <x:c r="U177" s="26" t="n">
        <x:v>4</x:v>
      </x:c>
      <x:c r="V177" s="26" t="n">
        <x:v>3</x:v>
      </x:c>
      <x:c r="W177" s="26" t="n">
        <x:v>4</x:v>
      </x:c>
      <x:c r="X177" s="26" t="n">
        <x:v>3</x:v>
      </x:c>
      <x:c r="Y177" s="26" t="n">
        <x:v>2</x:v>
      </x:c>
      <x:c r="Z177" s="26" t="n">
        <x:v>2</x:v>
      </x:c>
      <x:c r="AA177" s="26" t="n">
        <x:v>1</x:v>
      </x:c>
      <x:c r="AB177" s="26" t="str">
        <x:v>CANDIDATE</x:v>
      </x:c>
      <x:c r="AC177" s="26" t="str">
        <x:v>NOT_DOWNLOADED</x:v>
      </x:c>
      <x:c r="AD177" s="26" t="str">
        <x:v>REQUIRES_ITEM_REVIEW</x:v>
      </x:c>
      <x:c r="AE177" s="26" t="str">
        <x:v>NOT_REVIEWED</x:v>
      </x:c>
      <x:c r="AF177" s="26" t="str">
        <x:v>NOT_TESTED</x:v>
      </x:c>
      <x:c r="AG177" s="26" t="str"/>
      <x:c r="AH177" s="26" t="str"/>
      <x:c r="AI177" s="26" t="str"/>
      <x:c r="AJ177" s="26" t="str"/>
      <x:c r="AK177" s="57" t="n">
        <x:f>MAX(0,MIN(100,ROUND(((Q177*'Overview'!$B$18)+(R177*'Overview'!$B$19)+(S177*'Overview'!$B$20)+(T177*'Overview'!$B$21)+(U177*'Overview'!$B$22)+(V177*'Overview'!$B$23)+(W177*'Overview'!$B$24)+(X177*'Overview'!$B$25)-(Y177*'Overview'!$B$26)-(Z177*'Overview'!$B$27)-(AA177*'Overview'!$B$28))/5*100,0)))</x:f>
        <x:v>63</x:v>
      </x:c>
      <x:c r="AL177" s="26" t="str">
        <x:v>[SUPPLEMENTAL_RESEARCH] Records carry dataset-level CC0; CC BY or CC BY-NC; account required; sensitive coordinates and uncertain identifications must remain flagged</x:v>
      </x:c>
    </x:row>
    <x:row r="178">
      <x:c r="A178" s="53" t="str">
        <x:v>SUP-LEA-005</x:v>
      </x:c>
      <x:c r="B178" s="53" t="str">
        <x:v>PORT</x:v>
      </x:c>
      <x:c r="C178" s="53" t="str">
        <x:v>geoCATALOGO conservation and forest layers</x:v>
      </x:c>
      <x:c r="D178" s="53" t="str">
        <x:v>Instituto da Conservação da Natureza e das Florestas Portugal</x:v>
      </x:c>
      <x:c r="E178" s="53" t="str">
        <x:v>Практический источник для групп PORT</x:v>
      </x:c>
      <x:c r="F178" s="53" t="str">
        <x:v>https://geocatalogo.icnf.pt/catalogo.html</x:v>
      </x:c>
      <x:c r="G178" s="53" t="str">
        <x:v>https://geocatalogo.icnf.pt/catalogo.html</x:v>
      </x:c>
      <x:c r="H178" s="53" t="str">
        <x:v>https://geocatalogo.icnf.pt/contacte-nos.html</x:v>
      </x:c>
      <x:c r="I178" s="53" t="str">
        <x:v>ICNF permits use with specified attribution; operational protected-area or species decisions still require current Portuguese law</x:v>
      </x:c>
      <x:c r="J178" s="53" t="str">
        <x:v>PT; geospatial attributes</x:v>
      </x:c>
      <x:c r="K178" s="53" t="str">
        <x:v>Portugal/EU</x:v>
      </x:c>
      <x:c r="L178" s="53" t="str">
        <x:v>Shapefile; KML; WMS; WFS</x:v>
      </x:c>
      <x:c r="M178" s="53" t="str">
        <x:v>Download selected official layers and record layer title; URL and acquisition date</x:v>
      </x:c>
      <x:c r="N178" s="53" t="str">
        <x:v>L1</x:v>
      </x:c>
      <x:c r="O178" s="53" t="str">
        <x:v>S2_TRAINED_SUPERVISED</x:v>
      </x:c>
      <x:c r="P178" s="53" t="str">
        <x:v>ANNUAL_OR_EDITION</x:v>
      </x:c>
      <x:c r="Q178" s="53" t="n">
        <x:v>5</x:v>
      </x:c>
      <x:c r="R178" s="53" t="n">
        <x:v>4</x:v>
      </x:c>
      <x:c r="S178" s="53" t="n">
        <x:v>4</x:v>
      </x:c>
      <x:c r="T178" s="53" t="n">
        <x:v>4</x:v>
      </x:c>
      <x:c r="U178" s="53" t="n">
        <x:v>4</x:v>
      </x:c>
      <x:c r="V178" s="53" t="n">
        <x:v>3</x:v>
      </x:c>
      <x:c r="W178" s="53" t="n">
        <x:v>4</x:v>
      </x:c>
      <x:c r="X178" s="53" t="n">
        <x:v>3</x:v>
      </x:c>
      <x:c r="Y178" s="53" t="n">
        <x:v>2</x:v>
      </x:c>
      <x:c r="Z178" s="53" t="n">
        <x:v>2</x:v>
      </x:c>
      <x:c r="AA178" s="53" t="n">
        <x:v>1</x:v>
      </x:c>
      <x:c r="AB178" s="53" t="str">
        <x:v>CANDIDATE</x:v>
      </x:c>
      <x:c r="AC178" s="53" t="str">
        <x:v>NOT_DOWNLOADED</x:v>
      </x:c>
      <x:c r="AD178" s="53" t="str">
        <x:v>REQUIRES_ITEM_REVIEW</x:v>
      </x:c>
      <x:c r="AE178" s="53" t="str">
        <x:v>NOT_REVIEWED</x:v>
      </x:c>
      <x:c r="AF178" s="53" t="str">
        <x:v>NOT_TESTED</x:v>
      </x:c>
      <x:c r="AG178" s="53" t="str"/>
      <x:c r="AH178" s="53" t="str"/>
      <x:c r="AI178" s="53" t="str"/>
      <x:c r="AJ178" s="53" t="str"/>
      <x:c r="AK178" s="57" t="n">
        <x:f>MAX(0,MIN(100,ROUND(((Q178*'Overview'!$B$18)+(R178*'Overview'!$B$19)+(S178*'Overview'!$B$20)+(T178*'Overview'!$B$21)+(U178*'Overview'!$B$22)+(V178*'Overview'!$B$23)+(W178*'Overview'!$B$24)+(X178*'Overview'!$B$25)-(Y178*'Overview'!$B$26)-(Z178*'Overview'!$B$27)-(AA178*'Overview'!$B$28))/5*100,0)))</x:f>
        <x:v>71</x:v>
      </x:c>
      <x:c r="AL178" s="53" t="str">
        <x:v>[SUPPLEMENTAL_RESEARCH] ICNF permits use with specified attribution; operational protected-area or species decisions still require current Portuguese law</x:v>
      </x:c>
    </x:row>
    <x:row r="179">
      <x:c r="A179" s="26" t="str">
        <x:v>SUP-LEA-006</x:v>
      </x:c>
      <x:c r="B179" s="26" t="str">
        <x:v>LIFE|PORT</x:v>
      </x:c>
      <x:c r="C179" s="26" t="str">
        <x:v>EEA Waterbase Biology</x:v>
      </x:c>
      <x:c r="D179" s="26" t="str">
        <x:v>European Environment Agency</x:v>
      </x:c>
      <x:c r="E179" s="26" t="str">
        <x:v>Практический источник для групп LIFE|PORT</x:v>
      </x:c>
      <x:c r="F179" s="26" t="str">
        <x:v>https://www.eea.europa.eu/en/datahub/datahubitem-view/7bd881f0-59ca-4f0a-a43c-7e0cd0c66d6c</x:v>
      </x:c>
      <x:c r="G179" s="26" t="str">
        <x:v>https://www.eea.europa.eu/en/datahub/datahubitem-view/7bd881f0-59ca-4f0a-a43c-7e0cd0c66d6c</x:v>
      </x:c>
      <x:c r="H179" s="26" t="str">
        <x:v>https://www.eea.europa.eu/en/datahub/eea-data-policy</x:v>
      </x:c>
      <x:c r="I179" s="26" t="str">
        <x:v>EEA data commonly ODC-By unless item metadata differs; ecology monitoring data do not certify drinking water</x:v>
      </x:c>
      <x:c r="J179" s="26" t="str">
        <x:v>EN; coded European data</x:v>
      </x:c>
      <x:c r="K179" s="26" t="str">
        <x:v>Portugal/EU</x:v>
      </x:c>
      <x:c r="L179" s="26" t="str">
        <x:v>SQLite; CSV; geospatial metadata</x:v>
      </x:c>
      <x:c r="M179" s="26" t="str">
        <x:v>Download dated Datahub release with metadata and quality flags</x:v>
      </x:c>
      <x:c r="N179" s="26" t="str">
        <x:v>L1</x:v>
      </x:c>
      <x:c r="O179" s="26" t="str">
        <x:v>S2_TRAINED_SUPERVISED</x:v>
      </x:c>
      <x:c r="P179" s="26" t="str">
        <x:v>ANNUAL_OR_EDITION</x:v>
      </x:c>
      <x:c r="Q179" s="26" t="n">
        <x:v>5</x:v>
      </x:c>
      <x:c r="R179" s="26" t="n">
        <x:v>4</x:v>
      </x:c>
      <x:c r="S179" s="26" t="n">
        <x:v>4</x:v>
      </x:c>
      <x:c r="T179" s="26" t="n">
        <x:v>4</x:v>
      </x:c>
      <x:c r="U179" s="26" t="n">
        <x:v>4</x:v>
      </x:c>
      <x:c r="V179" s="26" t="n">
        <x:v>3</x:v>
      </x:c>
      <x:c r="W179" s="26" t="n">
        <x:v>2</x:v>
      </x:c>
      <x:c r="X179" s="26" t="n">
        <x:v>3</x:v>
      </x:c>
      <x:c r="Y179" s="26" t="n">
        <x:v>2</x:v>
      </x:c>
      <x:c r="Z179" s="26" t="n">
        <x:v>2</x:v>
      </x:c>
      <x:c r="AA179" s="26" t="n">
        <x:v>1</x:v>
      </x:c>
      <x:c r="AB179" s="26" t="str">
        <x:v>CANDIDATE</x:v>
      </x:c>
      <x:c r="AC179" s="26" t="str">
        <x:v>NOT_DOWNLOADED</x:v>
      </x:c>
      <x:c r="AD179" s="26" t="str">
        <x:v>REQUIRES_ITEM_REVIEW</x:v>
      </x:c>
      <x:c r="AE179" s="26" t="str">
        <x:v>NOT_REVIEWED</x:v>
      </x:c>
      <x:c r="AF179" s="26" t="str">
        <x:v>NOT_TESTED</x:v>
      </x:c>
      <x:c r="AG179" s="26" t="str"/>
      <x:c r="AH179" s="26" t="str"/>
      <x:c r="AI179" s="26" t="str"/>
      <x:c r="AJ179" s="26" t="str"/>
      <x:c r="AK179" s="57" t="n">
        <x:f>MAX(0,MIN(100,ROUND(((Q179*'Overview'!$B$18)+(R179*'Overview'!$B$19)+(S179*'Overview'!$B$20)+(T179*'Overview'!$B$21)+(U179*'Overview'!$B$22)+(V179*'Overview'!$B$23)+(W179*'Overview'!$B$24)+(X179*'Overview'!$B$25)-(Y179*'Overview'!$B$26)-(Z179*'Overview'!$B$27)-(AA179*'Overview'!$B$28))/5*100,0)))</x:f>
        <x:v>69</x:v>
      </x:c>
      <x:c r="AL179" s="26" t="str">
        <x:v>[SUPPLEMENTAL_RESEARCH] EEA data commonly ODC-By unless item metadata differs; ecology monitoring data do not certify drinking water</x:v>
      </x:c>
    </x:row>
    <x:row r="180">
      <x:c r="A180" s="53" t="str">
        <x:v>SUP-LEA-007</x:v>
      </x:c>
      <x:c r="B180" s="53" t="str">
        <x:v>EARTH|PORT</x:v>
      </x:c>
      <x:c r="C180" s="53" t="str">
        <x:v>CORINE Land Cover and CLMS Portugal subset</x:v>
      </x:c>
      <x:c r="D180" s="53" t="str">
        <x:v>Copernicus Land Monitoring Service</x:v>
      </x:c>
      <x:c r="E180" s="53" t="str">
        <x:v>Практический источник для групп EARTH|PORT</x:v>
      </x:c>
      <x:c r="F180" s="53" t="str">
        <x:v>https://land.copernicus.eu/en/products/corine-land-cover</x:v>
      </x:c>
      <x:c r="G180" s="53" t="str">
        <x:v>https://land.copernicus.eu/en/products/corine-land-cover</x:v>
      </x:c>
      <x:c r="H180" s="53" t="str">
        <x:v>https://land.copernicus.eu/en/data-policy</x:v>
      </x:c>
      <x:c r="I180" s="53" t="str">
        <x:v>Copernicus land data are free; full and open under stated attribution conditions; map resolution limits site-level decisions</x:v>
      </x:c>
      <x:c r="J180" s="53" t="str">
        <x:v>EN; European legend</x:v>
      </x:c>
      <x:c r="K180" s="53" t="str">
        <x:v>Portugal/EU</x:v>
      </x:c>
      <x:c r="L180" s="53" t="str">
        <x:v>GeoTIFF; vector; metadata; APIs</x:v>
      </x:c>
      <x:c r="M180" s="53" t="str">
        <x:v>Download bounded national tiles and legend; retain source attribution and modification statement</x:v>
      </x:c>
      <x:c r="N180" s="53" t="str">
        <x:v>L1</x:v>
      </x:c>
      <x:c r="O180" s="53" t="str">
        <x:v>S2_TRAINED_SUPERVISED</x:v>
      </x:c>
      <x:c r="P180" s="53" t="str">
        <x:v>ANNUAL_OR_EDITION</x:v>
      </x:c>
      <x:c r="Q180" s="53" t="n">
        <x:v>5</x:v>
      </x:c>
      <x:c r="R180" s="53" t="n">
        <x:v>4</x:v>
      </x:c>
      <x:c r="S180" s="53" t="n">
        <x:v>4</x:v>
      </x:c>
      <x:c r="T180" s="53" t="n">
        <x:v>4</x:v>
      </x:c>
      <x:c r="U180" s="53" t="n">
        <x:v>4</x:v>
      </x:c>
      <x:c r="V180" s="53" t="n">
        <x:v>3</x:v>
      </x:c>
      <x:c r="W180" s="53" t="n">
        <x:v>2</x:v>
      </x:c>
      <x:c r="X180" s="53" t="n">
        <x:v>3</x:v>
      </x:c>
      <x:c r="Y180" s="53" t="n">
        <x:v>2</x:v>
      </x:c>
      <x:c r="Z180" s="53" t="n">
        <x:v>2</x:v>
      </x:c>
      <x:c r="AA180" s="53" t="n">
        <x:v>1</x:v>
      </x:c>
      <x:c r="AB180" s="53" t="str">
        <x:v>CANDIDATE</x:v>
      </x:c>
      <x:c r="AC180" s="53" t="str">
        <x:v>NOT_DOWNLOADED</x:v>
      </x:c>
      <x:c r="AD180" s="53" t="str">
        <x:v>REQUIRES_ITEM_REVIEW</x:v>
      </x:c>
      <x:c r="AE180" s="53" t="str">
        <x:v>NOT_REVIEWED</x:v>
      </x:c>
      <x:c r="AF180" s="53" t="str">
        <x:v>NOT_TESTED</x:v>
      </x:c>
      <x:c r="AG180" s="53" t="str"/>
      <x:c r="AH180" s="53" t="str"/>
      <x:c r="AI180" s="53" t="str"/>
      <x:c r="AJ180" s="53" t="str"/>
      <x:c r="AK180" s="57" t="n">
        <x:f>MAX(0,MIN(100,ROUND(((Q180*'Overview'!$B$18)+(R180*'Overview'!$B$19)+(S180*'Overview'!$B$20)+(T180*'Overview'!$B$21)+(U180*'Overview'!$B$22)+(V180*'Overview'!$B$23)+(W180*'Overview'!$B$24)+(X180*'Overview'!$B$25)-(Y180*'Overview'!$B$26)-(Z180*'Overview'!$B$27)-(AA180*'Overview'!$B$28))/5*100,0)))</x:f>
        <x:v>69</x:v>
      </x:c>
      <x:c r="AL180" s="53" t="str">
        <x:v>[SUPPLEMENTAL_RESEARCH] Copernicus land data are free; full and open under stated attribution conditions; map resolution limits site-level decisions</x:v>
      </x:c>
    </x:row>
    <x:row r="181">
      <x:c r="A181" s="26" t="str">
        <x:v>SUP-LEA-008</x:v>
      </x:c>
      <x:c r="B181" s="26" t="str">
        <x:v>LIFE</x:v>
      </x:c>
      <x:c r="C181" s="26" t="str">
        <x:v>Selected approved IPBES assessments and data deposits</x:v>
      </x:c>
      <x:c r="D181" s="26" t="str">
        <x:v>Intergovernmental Science-Policy Platform on Biodiversity and Ecosystem Services</x:v>
      </x:c>
      <x:c r="E181" s="26" t="str">
        <x:v>Практический источник для групп LIFE</x:v>
      </x:c>
      <x:c r="F181" s="26" t="str">
        <x:v>https://www.ipbes.net/assessing-knowledge</x:v>
      </x:c>
      <x:c r="G181" s="26" t="str">
        <x:v>https://www.ipbes.net/assessing-knowledge</x:v>
      </x:c>
      <x:c r="H181" s="26" t="str">
        <x:v>https://files.ipbes.net/ipbes-web-prod-public-files/2021-05/K2101269%20-%20IPBES-8-INF-12_unedited%20advance%20version.pdf</x:v>
      </x:c>
      <x:c r="I181" s="26" t="str">
        <x:v>IPBES policy allows CC0 or CC BY for products but borrowed figures; Indigenous knowledge; confidential or restricted components require item review</x:v>
      </x:c>
      <x:c r="J181" s="26" t="str">
        <x:v>EN; selected summaries in other UN languages</x:v>
      </x:c>
      <x:c r="K181" s="26" t="str">
        <x:v>International/reference</x:v>
      </x:c>
      <x:c r="L181" s="26" t="str">
        <x:v>PDF; DOI deposits; CSV and figures per assessment</x:v>
      </x:c>
      <x:c r="M181" s="26" t="str">
        <x:v>Resolve each approved assessment to its official DOI deposit; download only files with explicit CC0 or CC BY metadata</x:v>
      </x:c>
      <x:c r="N181" s="26" t="str">
        <x:v>L2</x:v>
      </x:c>
      <x:c r="O181" s="26" t="str">
        <x:v>S4_REFERENCE_ONLY_PROHIBITED_HOUSEHOLD</x:v>
      </x:c>
      <x:c r="P181" s="26" t="str">
        <x:v>ANNUAL_OR_EDITION</x:v>
      </x:c>
      <x:c r="Q181" s="26" t="n">
        <x:v>4</x:v>
      </x:c>
      <x:c r="R181" s="26" t="n">
        <x:v>4</x:v>
      </x:c>
      <x:c r="S181" s="26" t="n">
        <x:v>3</x:v>
      </x:c>
      <x:c r="T181" s="26" t="n">
        <x:v>4</x:v>
      </x:c>
      <x:c r="U181" s="26" t="n">
        <x:v>4</x:v>
      </x:c>
      <x:c r="V181" s="26" t="n">
        <x:v>1</x:v>
      </x:c>
      <x:c r="W181" s="26" t="n">
        <x:v>2</x:v>
      </x:c>
      <x:c r="X181" s="26" t="n">
        <x:v>3</x:v>
      </x:c>
      <x:c r="Y181" s="26" t="n">
        <x:v>5</x:v>
      </x:c>
      <x:c r="Z181" s="26" t="n">
        <x:v>2</x:v>
      </x:c>
      <x:c r="AA181" s="26" t="n">
        <x:v>1</x:v>
      </x:c>
      <x:c r="AB181" s="26" t="str">
        <x:v>CANDIDATE</x:v>
      </x:c>
      <x:c r="AC181" s="26" t="str">
        <x:v>NOT_DOWNLOADED</x:v>
      </x:c>
      <x:c r="AD181" s="26" t="str">
        <x:v>REFERENCE_ONLY_NO_COPY</x:v>
      </x:c>
      <x:c r="AE181" s="26" t="str">
        <x:v>NOT_REVIEWED</x:v>
      </x:c>
      <x:c r="AF181" s="26" t="str">
        <x:v>NOT_TESTED</x:v>
      </x:c>
      <x:c r="AG181" s="26" t="str"/>
      <x:c r="AH181" s="26" t="str"/>
      <x:c r="AI181" s="26" t="str"/>
      <x:c r="AJ181" s="26" t="str"/>
      <x:c r="AK181" s="57" t="n">
        <x:f>MAX(0,MIN(100,ROUND(((Q181*'Overview'!$B$18)+(R181*'Overview'!$B$19)+(S181*'Overview'!$B$20)+(T181*'Overview'!$B$21)+(U181*'Overview'!$B$22)+(V181*'Overview'!$B$23)+(W181*'Overview'!$B$24)+(X181*'Overview'!$B$25)-(Y181*'Overview'!$B$26)-(Z181*'Overview'!$B$27)-(AA181*'Overview'!$B$28))/5*100,0)))</x:f>
        <x:v>48</x:v>
      </x:c>
      <x:c r="AL181" s="26" t="str">
        <x:v>[SUPPLEMENTAL_RESEARCH] IPBES policy allows CC0 or CC BY for products but borrowed figures; Indigenous knowledge; confidential or restricted components require item review</x:v>
      </x:c>
    </x:row>
    <x:row r="182">
      <x:c r="A182" s="53" t="str">
        <x:v>SUP-LEA-009</x:v>
      </x:c>
      <x:c r="B182" s="53" t="str">
        <x:v>EARTH|PORT</x:v>
      </x:c>
      <x:c r="C182" s="53" t="str">
        <x:v>SoilGrids bounded Portugal subset</x:v>
      </x:c>
      <x:c r="D182" s="53" t="str">
        <x:v>ISRIC World Soil Information</x:v>
      </x:c>
      <x:c r="E182" s="53" t="str">
        <x:v>Практический источник для групп EARTH|PORT</x:v>
      </x:c>
      <x:c r="F182" s="53" t="str">
        <x:v>https://isric.org/explore/soilgrids/</x:v>
      </x:c>
      <x:c r="G182" s="53" t="str">
        <x:v>https://isric.org/explore/soilgrids/</x:v>
      </x:c>
      <x:c r="H182" s="53" t="str">
        <x:v>https://docs.isric.org/globaldata/soilgrids/SoilGrids_faqs_02.html</x:v>
      </x:c>
      <x:c r="I182" s="53" t="str">
        <x:v>CC BY 4.0; global predictions are not advised as a local or farm-specific decision substitute</x:v>
      </x:c>
      <x:c r="J182" s="53" t="str">
        <x:v>EN; global raster values</x:v>
      </x:c>
      <x:c r="K182" s="53" t="str">
        <x:v>Portugal/EU</x:v>
      </x:c>
      <x:c r="L182" s="53" t="str">
        <x:v>VRT; GeoTIFF tiles; WCS subsets</x:v>
      </x:c>
      <x:c r="M182" s="53" t="str">
        <x:v>Use official WebDAV or WCS to acquire bounded layers; preserve quantile and uncertainty maps</x:v>
      </x:c>
      <x:c r="N182" s="53" t="str">
        <x:v>L1</x:v>
      </x:c>
      <x:c r="O182" s="53" t="str">
        <x:v>S2_TRAINED_SUPERVISED</x:v>
      </x:c>
      <x:c r="P182" s="53" t="str">
        <x:v>ANNUAL_OR_EDITION</x:v>
      </x:c>
      <x:c r="Q182" s="53" t="n">
        <x:v>5</x:v>
      </x:c>
      <x:c r="R182" s="53" t="n">
        <x:v>4</x:v>
      </x:c>
      <x:c r="S182" s="53" t="n">
        <x:v>4</x:v>
      </x:c>
      <x:c r="T182" s="53" t="n">
        <x:v>4</x:v>
      </x:c>
      <x:c r="U182" s="53" t="n">
        <x:v>4</x:v>
      </x:c>
      <x:c r="V182" s="53" t="n">
        <x:v>3</x:v>
      </x:c>
      <x:c r="W182" s="53" t="n">
        <x:v>2</x:v>
      </x:c>
      <x:c r="X182" s="53" t="n">
        <x:v>3</x:v>
      </x:c>
      <x:c r="Y182" s="53" t="n">
        <x:v>2</x:v>
      </x:c>
      <x:c r="Z182" s="53" t="n">
        <x:v>2</x:v>
      </x:c>
      <x:c r="AA182" s="53" t="n">
        <x:v>1</x:v>
      </x:c>
      <x:c r="AB182" s="53" t="str">
        <x:v>CANDIDATE</x:v>
      </x:c>
      <x:c r="AC182" s="53" t="str">
        <x:v>NOT_DOWNLOADED</x:v>
      </x:c>
      <x:c r="AD182" s="53" t="str">
        <x:v>REQUIRES_ITEM_REVIEW</x:v>
      </x:c>
      <x:c r="AE182" s="53" t="str">
        <x:v>NOT_REVIEWED</x:v>
      </x:c>
      <x:c r="AF182" s="53" t="str">
        <x:v>NOT_TESTED</x:v>
      </x:c>
      <x:c r="AG182" s="53" t="str"/>
      <x:c r="AH182" s="53" t="str"/>
      <x:c r="AI182" s="53" t="str"/>
      <x:c r="AJ182" s="53" t="str"/>
      <x:c r="AK182" s="57" t="n">
        <x:f>MAX(0,MIN(100,ROUND(((Q182*'Overview'!$B$18)+(R182*'Overview'!$B$19)+(S182*'Overview'!$B$20)+(T182*'Overview'!$B$21)+(U182*'Overview'!$B$22)+(V182*'Overview'!$B$23)+(W182*'Overview'!$B$24)+(X182*'Overview'!$B$25)-(Y182*'Overview'!$B$26)-(Z182*'Overview'!$B$27)-(AA182*'Overview'!$B$28))/5*100,0)))</x:f>
        <x:v>69</x:v>
      </x:c>
      <x:c r="AL182" s="53" t="str">
        <x:v>[SUPPLEMENTAL_RESEARCH] CC BY 4.0; global predictions are not advised as a local or farm-specific decision substitute</x:v>
      </x:c>
    </x:row>
    <x:row r="183">
      <x:c r="A183" s="26" t="str">
        <x:v>SUP-LEA-010</x:v>
      </x:c>
      <x:c r="B183" s="26" t="str">
        <x:v>EARTH</x:v>
      </x:c>
      <x:c r="C183" s="26" t="str">
        <x:v>WoSIS static snapshot</x:v>
      </x:c>
      <x:c r="D183" s="26" t="str">
        <x:v>ISRIC World Soil Information</x:v>
      </x:c>
      <x:c r="E183" s="26" t="str">
        <x:v>Практический источник для групп EARTH</x:v>
      </x:c>
      <x:c r="F183" s="26" t="str">
        <x:v>https://docs.isric.org/globaldata/wosis/faq-wosis.html</x:v>
      </x:c>
      <x:c r="G183" s="26" t="str">
        <x:v>https://docs.isric.org/globaldata/wosis/faq-wosis.html</x:v>
      </x:c>
      <x:c r="H183" s="26" t="str">
        <x:v>https://docs.isric.org/globaldata/wosis/faq-wosis.html</x:v>
      </x:c>
      <x:c r="I183" s="26" t="str">
        <x:v>Source profiles can mix CC BY and CC BY-NC; redistribution must retain the rights of each contributing dataset</x:v>
      </x:c>
      <x:c r="J183" s="26" t="str">
        <x:v>EN; global profiles</x:v>
      </x:c>
      <x:c r="K183" s="26" t="str">
        <x:v>International/reference</x:v>
      </x:c>
      <x:c r="L183" s="26" t="str">
        <x:v>TSV snapshot; WFS; GraphQL; DOI</x:v>
      </x:c>
      <x:c r="M183" s="26" t="str">
        <x:v>Download a DOI-bound static TSV snapshot and its source/licence metadata</x:v>
      </x:c>
      <x:c r="N183" s="26" t="str">
        <x:v>L2</x:v>
      </x:c>
      <x:c r="O183" s="26" t="str">
        <x:v>S4_REFERENCE_ONLY_PROHIBITED_HOUSEHOLD</x:v>
      </x:c>
      <x:c r="P183" s="26" t="str">
        <x:v>ANNUAL_OR_EDITION</x:v>
      </x:c>
      <x:c r="Q183" s="26" t="n">
        <x:v>4</x:v>
      </x:c>
      <x:c r="R183" s="26" t="n">
        <x:v>4</x:v>
      </x:c>
      <x:c r="S183" s="26" t="n">
        <x:v>3</x:v>
      </x:c>
      <x:c r="T183" s="26" t="n">
        <x:v>4</x:v>
      </x:c>
      <x:c r="U183" s="26" t="n">
        <x:v>4</x:v>
      </x:c>
      <x:c r="V183" s="26" t="n">
        <x:v>3</x:v>
      </x:c>
      <x:c r="W183" s="26" t="n">
        <x:v>2</x:v>
      </x:c>
      <x:c r="X183" s="26" t="n">
        <x:v>3</x:v>
      </x:c>
      <x:c r="Y183" s="26" t="n">
        <x:v>5</x:v>
      </x:c>
      <x:c r="Z183" s="26" t="n">
        <x:v>2</x:v>
      </x:c>
      <x:c r="AA183" s="26" t="n">
        <x:v>1</x:v>
      </x:c>
      <x:c r="AB183" s="26" t="str">
        <x:v>CANDIDATE</x:v>
      </x:c>
      <x:c r="AC183" s="26" t="str">
        <x:v>NOT_DOWNLOADED</x:v>
      </x:c>
      <x:c r="AD183" s="26" t="str">
        <x:v>REQUIRES_ITEM_REVIEW</x:v>
      </x:c>
      <x:c r="AE183" s="26" t="str">
        <x:v>NOT_REVIEWED</x:v>
      </x:c>
      <x:c r="AF183" s="26" t="str">
        <x:v>NOT_TESTED</x:v>
      </x:c>
      <x:c r="AG183" s="26" t="str"/>
      <x:c r="AH183" s="26" t="str"/>
      <x:c r="AI183" s="26" t="str"/>
      <x:c r="AJ183" s="26" t="str"/>
      <x:c r="AK183" s="57" t="n">
        <x:f>MAX(0,MIN(100,ROUND(((Q183*'Overview'!$B$18)+(R183*'Overview'!$B$19)+(S183*'Overview'!$B$20)+(T183*'Overview'!$B$21)+(U183*'Overview'!$B$22)+(V183*'Overview'!$B$23)+(W183*'Overview'!$B$24)+(X183*'Overview'!$B$25)-(Y183*'Overview'!$B$26)-(Z183*'Overview'!$B$27)-(AA183*'Overview'!$B$28))/5*100,0)))</x:f>
        <x:v>52</x:v>
      </x:c>
      <x:c r="AL183" s="26" t="str">
        <x:v>[SUPPLEMENTAL_RESEARCH] Source profiles can mix CC BY and CC BY-NC; redistribution must retain the rights of each contributing dataset</x:v>
      </x:c>
    </x:row>
    <x:row r="184">
      <x:c r="A184" s="53" t="str">
        <x:v>SUP-LEA-011</x:v>
      </x:c>
      <x:c r="B184" s="53" t="str">
        <x:v>EARTH|AGRI</x:v>
      </x:c>
      <x:c r="C184" s="53" t="str">
        <x:v>Harmonized World Soil Database v2</x:v>
      </x:c>
      <x:c r="D184" s="53" t="str">
        <x:v>FAO and IIASA</x:v>
      </x:c>
      <x:c r="E184" s="53" t="str">
        <x:v>Практический источник для групп EARTH|AGRI</x:v>
      </x:c>
      <x:c r="F184" s="53" t="str">
        <x:v>https://www.fao.org/land-water/resources/tools/databases/hwsd/en</x:v>
      </x:c>
      <x:c r="G184" s="53" t="str">
        <x:v>https://www.fao.org/land-water/resources/tools/databases/hwsd/en</x:v>
      </x:c>
      <x:c r="H184" s="53" t="str">
        <x:v>https://www.fao.org/contact-us/terms/en/</x:v>
      </x:c>
      <x:c r="I184" s="53" t="str">
        <x:v>Confirm the licence embedded in the exact HWSD release; 1 km global product cannot diagnose a field</x:v>
      </x:c>
      <x:c r="J184" s="53" t="str">
        <x:v>EN</x:v>
      </x:c>
      <x:c r="K184" s="53" t="str">
        <x:v>International/reference</x:v>
      </x:c>
      <x:c r="L184" s="53" t="str">
        <x:v>Raster; Microsoft Access database; viewer; documentation</x:v>
      </x:c>
      <x:c r="M184" s="53" t="str">
        <x:v>Download exact official release and documentation; convert only after preserving original</x:v>
      </x:c>
      <x:c r="N184" s="53" t="str">
        <x:v>L2</x:v>
      </x:c>
      <x:c r="O184" s="53" t="str">
        <x:v>S4_REFERENCE_ONLY_PROHIBITED_HOUSEHOLD</x:v>
      </x:c>
      <x:c r="P184" s="53" t="str">
        <x:v>ANNUAL_OR_EDITION</x:v>
      </x:c>
      <x:c r="Q184" s="53" t="n">
        <x:v>4</x:v>
      </x:c>
      <x:c r="R184" s="53" t="n">
        <x:v>4</x:v>
      </x:c>
      <x:c r="S184" s="53" t="n">
        <x:v>3</x:v>
      </x:c>
      <x:c r="T184" s="53" t="n">
        <x:v>4</x:v>
      </x:c>
      <x:c r="U184" s="53" t="n">
        <x:v>4</x:v>
      </x:c>
      <x:c r="V184" s="53" t="n">
        <x:v>3</x:v>
      </x:c>
      <x:c r="W184" s="53" t="n">
        <x:v>2</x:v>
      </x:c>
      <x:c r="X184" s="53" t="n">
        <x:v>3</x:v>
      </x:c>
      <x:c r="Y184" s="53" t="n">
        <x:v>5</x:v>
      </x:c>
      <x:c r="Z184" s="53" t="n">
        <x:v>2</x:v>
      </x:c>
      <x:c r="AA184" s="53" t="n">
        <x:v>1</x:v>
      </x:c>
      <x:c r="AB184" s="53" t="str">
        <x:v>CANDIDATE</x:v>
      </x:c>
      <x:c r="AC184" s="53" t="str">
        <x:v>NOT_DOWNLOADED</x:v>
      </x:c>
      <x:c r="AD184" s="53" t="str">
        <x:v>REQUIRES_ITEM_REVIEW</x:v>
      </x:c>
      <x:c r="AE184" s="53" t="str">
        <x:v>NOT_REVIEWED</x:v>
      </x:c>
      <x:c r="AF184" s="53" t="str">
        <x:v>NOT_TESTED</x:v>
      </x:c>
      <x:c r="AG184" s="53" t="str"/>
      <x:c r="AH184" s="53" t="str"/>
      <x:c r="AI184" s="53" t="str"/>
      <x:c r="AJ184" s="53" t="str"/>
      <x:c r="AK184" s="57" t="n">
        <x:f>MAX(0,MIN(100,ROUND(((Q184*'Overview'!$B$18)+(R184*'Overview'!$B$19)+(S184*'Overview'!$B$20)+(T184*'Overview'!$B$21)+(U184*'Overview'!$B$22)+(V184*'Overview'!$B$23)+(W184*'Overview'!$B$24)+(X184*'Overview'!$B$25)-(Y184*'Overview'!$B$26)-(Z184*'Overview'!$B$27)-(AA184*'Overview'!$B$28))/5*100,0)))</x:f>
        <x:v>52</x:v>
      </x:c>
      <x:c r="AL184" s="53" t="str">
        <x:v>[SUPPLEMENTAL_RESEARCH] Confirm the licence embedded in the exact HWSD release; 1 km global product cannot diagnose a field</x:v>
      </x:c>
    </x:row>
    <x:row r="185">
      <x:c r="A185" s="26" t="str">
        <x:v>SUP-LEA-012</x:v>
      </x:c>
      <x:c r="B185" s="26" t="str">
        <x:v>EARTH</x:v>
      </x:c>
      <x:c r="C185" s="26" t="str">
        <x:v>Soil Survey Manual</x:v>
      </x:c>
      <x:c r="D185" s="26" t="str">
        <x:v>USDA Natural Resources Conservation Service</x:v>
      </x:c>
      <x:c r="E185" s="26" t="str">
        <x:v>Практический источник для групп EARTH</x:v>
      </x:c>
      <x:c r="F185" s="26" t="str">
        <x:v>https://www.nrcs.usda.gov/resources/guides-and-instructions/soil-survey-manual</x:v>
      </x:c>
      <x:c r="G185" s="26" t="str">
        <x:v>https://www.nrcs.usda.gov/resources/guides-and-instructions/soil-survey-manual</x:v>
      </x:c>
      <x:c r="H185" s="26" t="str">
        <x:v>https://www.usda.gov/about-usda/general-information/policies-and-links/digital/copyright-policy</x:v>
      </x:c>
      <x:c r="I185" s="26" t="str">
        <x:v>US federal work generally public domain in the US; check third-party material and foreign-jurisdiction treatment</x:v>
      </x:c>
      <x:c r="J185" s="26" t="str">
        <x:v>EN</x:v>
      </x:c>
      <x:c r="K185" s="26" t="str">
        <x:v>International/reference</x:v>
      </x:c>
      <x:c r="L185" s="26" t="str">
        <x:v>PDF by chapter and complete manual</x:v>
      </x:c>
      <x:c r="M185" s="26" t="str">
        <x:v>Download official chapter PDFs and publication metadata</x:v>
      </x:c>
      <x:c r="N185" s="26" t="str">
        <x:v>L1</x:v>
      </x:c>
      <x:c r="O185" s="26" t="str">
        <x:v>S2_TRAINED_SUPERVISED</x:v>
      </x:c>
      <x:c r="P185" s="26" t="str">
        <x:v>ANNUAL_OR_EDITION</x:v>
      </x:c>
      <x:c r="Q185" s="26" t="n">
        <x:v>5</x:v>
      </x:c>
      <x:c r="R185" s="26" t="n">
        <x:v>4</x:v>
      </x:c>
      <x:c r="S185" s="26" t="n">
        <x:v>4</x:v>
      </x:c>
      <x:c r="T185" s="26" t="n">
        <x:v>4</x:v>
      </x:c>
      <x:c r="U185" s="26" t="n">
        <x:v>4</x:v>
      </x:c>
      <x:c r="V185" s="26" t="n">
        <x:v>3</x:v>
      </x:c>
      <x:c r="W185" s="26" t="n">
        <x:v>2</x:v>
      </x:c>
      <x:c r="X185" s="26" t="n">
        <x:v>3</x:v>
      </x:c>
      <x:c r="Y185" s="26" t="n">
        <x:v>2</x:v>
      </x:c>
      <x:c r="Z185" s="26" t="n">
        <x:v>2</x:v>
      </x:c>
      <x:c r="AA185" s="26" t="n">
        <x:v>1</x:v>
      </x:c>
      <x:c r="AB185" s="26" t="str">
        <x:v>CANDIDATE</x:v>
      </x:c>
      <x:c r="AC185" s="26" t="str">
        <x:v>NOT_DOWNLOADED</x:v>
      </x:c>
      <x:c r="AD185" s="26" t="str">
        <x:v>REQUIRES_ITEM_REVIEW</x:v>
      </x:c>
      <x:c r="AE185" s="26" t="str">
        <x:v>NOT_REVIEWED</x:v>
      </x:c>
      <x:c r="AF185" s="26" t="str">
        <x:v>NOT_TESTED</x:v>
      </x:c>
      <x:c r="AG185" s="26" t="str"/>
      <x:c r="AH185" s="26" t="str"/>
      <x:c r="AI185" s="26" t="str"/>
      <x:c r="AJ185" s="26" t="str"/>
      <x:c r="AK185" s="57" t="n">
        <x:f>MAX(0,MIN(100,ROUND(((Q185*'Overview'!$B$18)+(R185*'Overview'!$B$19)+(S185*'Overview'!$B$20)+(T185*'Overview'!$B$21)+(U185*'Overview'!$B$22)+(V185*'Overview'!$B$23)+(W185*'Overview'!$B$24)+(X185*'Overview'!$B$25)-(Y185*'Overview'!$B$26)-(Z185*'Overview'!$B$27)-(AA185*'Overview'!$B$28))/5*100,0)))</x:f>
        <x:v>69</x:v>
      </x:c>
      <x:c r="AL185" s="26" t="str">
        <x:v>[SUPPLEMENTAL_RESEARCH] US federal work generally public domain in the US; check third-party material and foreign-jurisdiction treatment</x:v>
      </x:c>
    </x:row>
    <x:row r="186">
      <x:c r="A186" s="53" t="str">
        <x:v>SUP-LEA-013</x:v>
      </x:c>
      <x:c r="B186" s="53" t="str">
        <x:v>METH</x:v>
      </x:c>
      <x:c r="C186" s="53" t="str">
        <x:v>Field Book for Describing and Sampling Soils v4.0</x:v>
      </x:c>
      <x:c r="D186" s="53" t="str">
        <x:v>USDA Natural Resources Conservation Service</x:v>
      </x:c>
      <x:c r="E186" s="53" t="str">
        <x:v>Практический источник для групп METH</x:v>
      </x:c>
      <x:c r="F186" s="53" t="str">
        <x:v>https://www.nrcs.usda.gov/sites/default/files/2022-09/field-book.pdf</x:v>
      </x:c>
      <x:c r="G186" s="53" t="str">
        <x:v>https://www.nrcs.usda.gov/sites/default/files/2022-09/field-book.pdf</x:v>
      </x:c>
      <x:c r="H186" s="53" t="str">
        <x:v>https://www.usda.gov/about-usda/general-information/policies-and-links/digital/copyright-policy</x:v>
      </x:c>
      <x:c r="I186" s="53" t="str">
        <x:v>Field description and sampling reference; deep excavation; contaminated soil and laboratory analysis remain professional gates</x:v>
      </x:c>
      <x:c r="J186" s="53" t="str">
        <x:v>EN</x:v>
      </x:c>
      <x:c r="K186" s="53" t="str">
        <x:v>International/reference</x:v>
      </x:c>
      <x:c r="L186" s="53" t="str">
        <x:v>PDF</x:v>
      </x:c>
      <x:c r="M186" s="53" t="str">
        <x:v>Download official PDF; record edition and publication date</x:v>
      </x:c>
      <x:c r="N186" s="53" t="str">
        <x:v>L1</x:v>
      </x:c>
      <x:c r="O186" s="53" t="str">
        <x:v>S2_TRAINED_SUPERVISED</x:v>
      </x:c>
      <x:c r="P186" s="53" t="str">
        <x:v>ANNUAL_OR_EDITION</x:v>
      </x:c>
      <x:c r="Q186" s="53" t="n">
        <x:v>5</x:v>
      </x:c>
      <x:c r="R186" s="53" t="n">
        <x:v>4</x:v>
      </x:c>
      <x:c r="S186" s="53" t="n">
        <x:v>4</x:v>
      </x:c>
      <x:c r="T186" s="53" t="n">
        <x:v>4</x:v>
      </x:c>
      <x:c r="U186" s="53" t="n">
        <x:v>4</x:v>
      </x:c>
      <x:c r="V186" s="53" t="n">
        <x:v>3</x:v>
      </x:c>
      <x:c r="W186" s="53" t="n">
        <x:v>2</x:v>
      </x:c>
      <x:c r="X186" s="53" t="n">
        <x:v>3</x:v>
      </x:c>
      <x:c r="Y186" s="53" t="n">
        <x:v>2</x:v>
      </x:c>
      <x:c r="Z186" s="53" t="n">
        <x:v>2</x:v>
      </x:c>
      <x:c r="AA186" s="53" t="n">
        <x:v>1</x:v>
      </x:c>
      <x:c r="AB186" s="53" t="str">
        <x:v>CANDIDATE</x:v>
      </x:c>
      <x:c r="AC186" s="53" t="str">
        <x:v>NOT_DOWNLOADED</x:v>
      </x:c>
      <x:c r="AD186" s="53" t="str">
        <x:v>REQUIRES_ITEM_REVIEW</x:v>
      </x:c>
      <x:c r="AE186" s="53" t="str">
        <x:v>NOT_REVIEWED</x:v>
      </x:c>
      <x:c r="AF186" s="53" t="str">
        <x:v>NOT_TESTED</x:v>
      </x:c>
      <x:c r="AG186" s="53" t="str"/>
      <x:c r="AH186" s="53" t="str"/>
      <x:c r="AI186" s="53" t="str"/>
      <x:c r="AJ186" s="53" t="str"/>
      <x:c r="AK186" s="57" t="n">
        <x:f>MAX(0,MIN(100,ROUND(((Q186*'Overview'!$B$18)+(R186*'Overview'!$B$19)+(S186*'Overview'!$B$20)+(T186*'Overview'!$B$21)+(U186*'Overview'!$B$22)+(V186*'Overview'!$B$23)+(W186*'Overview'!$B$24)+(X186*'Overview'!$B$25)-(Y186*'Overview'!$B$26)-(Z186*'Overview'!$B$27)-(AA186*'Overview'!$B$28))/5*100,0)))</x:f>
        <x:v>69</x:v>
      </x:c>
      <x:c r="AL186" s="53" t="str">
        <x:v>[SUPPLEMENTAL_RESEARCH] Field description and sampling reference; deep excavation; contaminated soil and laboratory analysis remain professional gates</x:v>
      </x:c>
    </x:row>
    <x:row r="187">
      <x:c r="A187" s="26" t="str">
        <x:v>SUP-LEA-014</x:v>
      </x:c>
      <x:c r="B187" s="26" t="str">
        <x:v>HEALTH|EARTH</x:v>
      </x:c>
      <x:c r="C187" s="26" t="str">
        <x:v>Soil Health Educators Guide measurement set</x:v>
      </x:c>
      <x:c r="D187" s="26" t="str">
        <x:v>USDA Natural Resources Conservation Service</x:v>
      </x:c>
      <x:c r="E187" s="26" t="str">
        <x:v>Практический источник для групп HEALTH|EARTH</x:v>
      </x:c>
      <x:c r="F187" s="26" t="str">
        <x:v>https://www.nrcs.usda.gov/conservation-basics/soil/soil-health/soil-health-educators-guide</x:v>
      </x:c>
      <x:c r="G187" s="26" t="str">
        <x:v>https://www.nrcs.usda.gov/conservation-basics/soil/soil-health/soil-health-educators-guide</x:v>
      </x:c>
      <x:c r="H187" s="26" t="str">
        <x:v>https://www.usda.gov/about-usda/general-information/policies-and-links/digital/copyright-policy</x:v>
      </x:c>
      <x:c r="I187" s="26" t="str">
        <x:v>No single indicator establishes soil health; nutrient; contaminant or fertilizer decisions require laboratory/agronomic review</x:v>
      </x:c>
      <x:c r="J187" s="26" t="str">
        <x:v>EN</x:v>
      </x:c>
      <x:c r="K187" s="26" t="str">
        <x:v>International/reference</x:v>
      </x:c>
      <x:c r="L187" s="26" t="str">
        <x:v>PDF modules</x:v>
      </x:c>
      <x:c r="M187" s="26" t="str">
        <x:v>Download official modules for sampling; infiltration; texture; pH; EC; moisture and related indicators</x:v>
      </x:c>
      <x:c r="N187" s="26" t="str">
        <x:v>L1</x:v>
      </x:c>
      <x:c r="O187" s="26" t="str">
        <x:v>S2_TRAINED_SUPERVISED</x:v>
      </x:c>
      <x:c r="P187" s="26" t="str">
        <x:v>ANNUAL_OR_EDITION</x:v>
      </x:c>
      <x:c r="Q187" s="26" t="n">
        <x:v>5</x:v>
      </x:c>
      <x:c r="R187" s="26" t="n">
        <x:v>4</x:v>
      </x:c>
      <x:c r="S187" s="26" t="n">
        <x:v>4</x:v>
      </x:c>
      <x:c r="T187" s="26" t="n">
        <x:v>4</x:v>
      </x:c>
      <x:c r="U187" s="26" t="n">
        <x:v>4</x:v>
      </x:c>
      <x:c r="V187" s="26" t="n">
        <x:v>3</x:v>
      </x:c>
      <x:c r="W187" s="26" t="n">
        <x:v>2</x:v>
      </x:c>
      <x:c r="X187" s="26" t="n">
        <x:v>3</x:v>
      </x:c>
      <x:c r="Y187" s="26" t="n">
        <x:v>2</x:v>
      </x:c>
      <x:c r="Z187" s="26" t="n">
        <x:v>2</x:v>
      </x:c>
      <x:c r="AA187" s="26" t="n">
        <x:v>1</x:v>
      </x:c>
      <x:c r="AB187" s="26" t="str">
        <x:v>CANDIDATE</x:v>
      </x:c>
      <x:c r="AC187" s="26" t="str">
        <x:v>NOT_DOWNLOADED</x:v>
      </x:c>
      <x:c r="AD187" s="26" t="str">
        <x:v>REQUIRES_ITEM_REVIEW</x:v>
      </x:c>
      <x:c r="AE187" s="26" t="str">
        <x:v>NOT_REVIEWED</x:v>
      </x:c>
      <x:c r="AF187" s="26" t="str">
        <x:v>NOT_TESTED</x:v>
      </x:c>
      <x:c r="AG187" s="26" t="str"/>
      <x:c r="AH187" s="26" t="str"/>
      <x:c r="AI187" s="26" t="str"/>
      <x:c r="AJ187" s="26" t="str"/>
      <x:c r="AK187" s="57" t="n">
        <x:f>MAX(0,MIN(100,ROUND(((Q187*'Overview'!$B$18)+(R187*'Overview'!$B$19)+(S187*'Overview'!$B$20)+(T187*'Overview'!$B$21)+(U187*'Overview'!$B$22)+(V187*'Overview'!$B$23)+(W187*'Overview'!$B$24)+(X187*'Overview'!$B$25)-(Y187*'Overview'!$B$26)-(Z187*'Overview'!$B$27)-(AA187*'Overview'!$B$28))/5*100,0)))</x:f>
        <x:v>69</x:v>
      </x:c>
      <x:c r="AL187" s="26" t="str">
        <x:v>[SUPPLEMENTAL_RESEARCH] No single indicator establishes soil health; nutrient; contaminant or fertilizer decisions require laboratory/agronomic review</x:v>
      </x:c>
    </x:row>
    <x:row r="188">
      <x:c r="A188" s="53" t="str">
        <x:v>SUP-LEA-015</x:v>
      </x:c>
      <x:c r="B188" s="53" t="str">
        <x:v>EARTH|PORT</x:v>
      </x:c>
      <x:c r="C188" s="53" t="str">
        <x:v>LUCAS Soil 2018 topsoil data</x:v>
      </x:c>
      <x:c r="D188" s="53" t="str">
        <x:v>European Commission Joint Research Centre ESDAC</x:v>
      </x:c>
      <x:c r="E188" s="53" t="str">
        <x:v>Практический источник для групп EARTH|PORT</x:v>
      </x:c>
      <x:c r="F188" s="53" t="str">
        <x:v>https://esdac.jrc.ec.europa.eu/content/lucas-2018-topsoil-data</x:v>
      </x:c>
      <x:c r="G188" s="53" t="str">
        <x:v>https://esdac.jrc.ec.europa.eu/content/lucas-2018-topsoil-data</x:v>
      </x:c>
      <x:c r="H188" s="53" t="str">
        <x:v>https://esdac.jrc.ec.europa.eu/content/lucas-2018-topsoil-data</x:v>
      </x:c>
      <x:c r="I188" s="53" t="str">
        <x:v>Licence is personal and non-transferable with redistribution limits; observations are not representative of every local field</x:v>
      </x:c>
      <x:c r="J188" s="53" t="str">
        <x:v>EN; coded EU data</x:v>
      </x:c>
      <x:c r="K188" s="53" t="str">
        <x:v>Portugal/EU</x:v>
      </x:c>
      <x:c r="L188" s="53" t="str">
        <x:v>CSV; XLSX; Shapefile; RDATA after registration</x:v>
      </x:c>
      <x:c r="M188" s="53" t="str">
        <x:v>Personal account download only after accepting the exact ESDAC licence; never copy to shared kit</x:v>
      </x:c>
      <x:c r="N188" s="53" t="str">
        <x:v>L3</x:v>
      </x:c>
      <x:c r="O188" s="53" t="str">
        <x:v>S4_REFERENCE_ONLY_PROHIBITED_HOUSEHOLD</x:v>
      </x:c>
      <x:c r="P188" s="53" t="str">
        <x:v>ANNUAL_OR_EDITION</x:v>
      </x:c>
      <x:c r="Q188" s="53" t="n">
        <x:v>3</x:v>
      </x:c>
      <x:c r="R188" s="53" t="n">
        <x:v>4</x:v>
      </x:c>
      <x:c r="S188" s="53" t="n">
        <x:v>3</x:v>
      </x:c>
      <x:c r="T188" s="53" t="n">
        <x:v>4</x:v>
      </x:c>
      <x:c r="U188" s="53" t="n">
        <x:v>3</x:v>
      </x:c>
      <x:c r="V188" s="53" t="n">
        <x:v>1</x:v>
      </x:c>
      <x:c r="W188" s="53" t="n">
        <x:v>2</x:v>
      </x:c>
      <x:c r="X188" s="53" t="n">
        <x:v>3</x:v>
      </x:c>
      <x:c r="Y188" s="53" t="n">
        <x:v>5</x:v>
      </x:c>
      <x:c r="Z188" s="53" t="n">
        <x:v>2</x:v>
      </x:c>
      <x:c r="AA188" s="53" t="n">
        <x:v>3</x:v>
      </x:c>
      <x:c r="AB188" s="53" t="str">
        <x:v>CANDIDATE</x:v>
      </x:c>
      <x:c r="AC188" s="53" t="str">
        <x:v>NOT_DOWNLOADED</x:v>
      </x:c>
      <x:c r="AD188" s="53" t="str">
        <x:v>REFERENCE_ONLY_NO_COPY</x:v>
      </x:c>
      <x:c r="AE188" s="53" t="str">
        <x:v>NOT_REVIEWED</x:v>
      </x:c>
      <x:c r="AF188" s="53" t="str">
        <x:v>NOT_TESTED</x:v>
      </x:c>
      <x:c r="AG188" s="53" t="str"/>
      <x:c r="AH188" s="53" t="str"/>
      <x:c r="AI188" s="53" t="str"/>
      <x:c r="AJ188" s="53" t="str"/>
      <x:c r="AK188" s="57" t="n">
        <x:f>MAX(0,MIN(100,ROUND(((Q188*'Overview'!$B$18)+(R188*'Overview'!$B$19)+(S188*'Overview'!$B$20)+(T188*'Overview'!$B$21)+(U188*'Overview'!$B$22)+(V188*'Overview'!$B$23)+(W188*'Overview'!$B$24)+(X188*'Overview'!$B$25)-(Y188*'Overview'!$B$26)-(Z188*'Overview'!$B$27)-(AA188*'Overview'!$B$28))/5*100,0)))</x:f>
        <x:v>39</x:v>
      </x:c>
      <x:c r="AL188" s="53" t="str">
        <x:v>[SUPPLEMENTAL_RESEARCH] Licence is personal and non-transferable with redistribution limits; observations are not representative of every local field</x:v>
      </x:c>
    </x:row>
    <x:row r="189">
      <x:c r="A189" s="26" t="str">
        <x:v>SUP-LEA-016</x:v>
      </x:c>
      <x:c r="B189" s="26" t="str">
        <x:v>EARTH|AGRI</x:v>
      </x:c>
      <x:c r="C189" s="26" t="str">
        <x:v>World Reference Base for Soil Resources</x:v>
      </x:c>
      <x:c r="D189" s="26" t="str">
        <x:v>FAO Global Soil Partnership and IUSS</x:v>
      </x:c>
      <x:c r="E189" s="26" t="str">
        <x:v>Практический источник для групп EARTH|AGRI</x:v>
      </x:c>
      <x:c r="F189" s="26" t="str">
        <x:v>https://www.fao.org/soils-portal/data-hub/soil-classification/world-reference-base/en/</x:v>
      </x:c>
      <x:c r="G189" s="26" t="str">
        <x:v>https://www.fao.org/soils-portal/data-hub/soil-classification/world-reference-base/en/</x:v>
      </x:c>
      <x:c r="H189" s="26" t="str">
        <x:v>https://www.fao.org/contact-us/terms/en/</x:v>
      </x:c>
      <x:c r="I189" s="26" t="str">
        <x:v>Classification requires trained description and supporting measurements; translated edition must identify authoritative original</x:v>
      </x:c>
      <x:c r="J189" s="26" t="str">
        <x:v>EN; selected translations</x:v>
      </x:c>
      <x:c r="K189" s="26" t="str">
        <x:v>International/reference</x:v>
      </x:c>
      <x:c r="L189" s="26" t="str">
        <x:v>PDF; classification keys</x:v>
      </x:c>
      <x:c r="M189" s="26" t="str">
        <x:v>Download exact official edition and translation after checking its copyright page</x:v>
      </x:c>
      <x:c r="N189" s="26" t="str">
        <x:v>L2</x:v>
      </x:c>
      <x:c r="O189" s="26" t="str">
        <x:v>S4_REFERENCE_ONLY_PROHIBITED_HOUSEHOLD</x:v>
      </x:c>
      <x:c r="P189" s="26" t="str">
        <x:v>ANNUAL_OR_EDITION</x:v>
      </x:c>
      <x:c r="Q189" s="26" t="n">
        <x:v>4</x:v>
      </x:c>
      <x:c r="R189" s="26" t="n">
        <x:v>4</x:v>
      </x:c>
      <x:c r="S189" s="26" t="n">
        <x:v>3</x:v>
      </x:c>
      <x:c r="T189" s="26" t="n">
        <x:v>4</x:v>
      </x:c>
      <x:c r="U189" s="26" t="n">
        <x:v>4</x:v>
      </x:c>
      <x:c r="V189" s="26" t="n">
        <x:v>3</x:v>
      </x:c>
      <x:c r="W189" s="26" t="n">
        <x:v>2</x:v>
      </x:c>
      <x:c r="X189" s="26" t="n">
        <x:v>3</x:v>
      </x:c>
      <x:c r="Y189" s="26" t="n">
        <x:v>5</x:v>
      </x:c>
      <x:c r="Z189" s="26" t="n">
        <x:v>2</x:v>
      </x:c>
      <x:c r="AA189" s="26" t="n">
        <x:v>1</x:v>
      </x:c>
      <x:c r="AB189" s="26" t="str">
        <x:v>CANDIDATE</x:v>
      </x:c>
      <x:c r="AC189" s="26" t="str">
        <x:v>NOT_DOWNLOADED</x:v>
      </x:c>
      <x:c r="AD189" s="26" t="str">
        <x:v>REQUIRES_ITEM_REVIEW</x:v>
      </x:c>
      <x:c r="AE189" s="26" t="str">
        <x:v>NOT_REVIEWED</x:v>
      </x:c>
      <x:c r="AF189" s="26" t="str">
        <x:v>NOT_TESTED</x:v>
      </x:c>
      <x:c r="AG189" s="26" t="str"/>
      <x:c r="AH189" s="26" t="str"/>
      <x:c r="AI189" s="26" t="str"/>
      <x:c r="AJ189" s="26" t="str"/>
      <x:c r="AK189" s="57" t="n">
        <x:f>MAX(0,MIN(100,ROUND(((Q189*'Overview'!$B$18)+(R189*'Overview'!$B$19)+(S189*'Overview'!$B$20)+(T189*'Overview'!$B$21)+(U189*'Overview'!$B$22)+(V189*'Overview'!$B$23)+(W189*'Overview'!$B$24)+(X189*'Overview'!$B$25)-(Y189*'Overview'!$B$26)-(Z189*'Overview'!$B$27)-(AA189*'Overview'!$B$28))/5*100,0)))</x:f>
        <x:v>52</x:v>
      </x:c>
      <x:c r="AL189" s="26" t="str">
        <x:v>[SUPPLEMENTAL_RESEARCH] Classification requires trained description and supporting measurements; translated edition must identify authoritative original</x:v>
      </x:c>
    </x:row>
    <x:row r="190">
      <x:c r="A190" s="53" t="str">
        <x:v>SUP-LEA-017</x:v>
      </x:c>
      <x:c r="B190" s="53" t="str">
        <x:v>HEALTH|AGRI</x:v>
      </x:c>
      <x:c r="C190" s="53" t="str">
        <x:v>FAOSTAT agriculture; land; fertilizer and food balance bulk subset</x:v>
      </x:c>
      <x:c r="D190" s="53" t="str">
        <x:v>Food and Agriculture Organization of the United Nations</x:v>
      </x:c>
      <x:c r="E190" s="53" t="str">
        <x:v>Практический источник для групп HEALTH|AGRI</x:v>
      </x:c>
      <x:c r="F190" s="53" t="str">
        <x:v>https://www.fao.org/faostat/en/#data</x:v>
      </x:c>
      <x:c r="G190" s="53" t="str">
        <x:v>https://www.fao.org/faostat/en/#data</x:v>
      </x:c>
      <x:c r="H190" s="53" t="str">
        <x:v>https://www.fao.org/contact-us/terms/db-terms-of-use/en</x:v>
      </x:c>
      <x:c r="I190" s="53" t="str">
        <x:v>FAO statistical databases are generally CC BY 4.0 unless metadata says otherwise; national statistics are not a farm prescription</x:v>
      </x:c>
      <x:c r="J190" s="53" t="str">
        <x:v>EN; FR; ES; AR; ZH; RU in portal</x:v>
      </x:c>
      <x:c r="K190" s="53" t="str">
        <x:v>International/reference</x:v>
      </x:c>
      <x:c r="L190" s="53" t="str">
        <x:v>Bulk CSV ZIP; API; metadata</x:v>
      </x:c>
      <x:c r="M190" s="53" t="str">
        <x:v>Download selected official bulk releases plus definitions; flags and release date</x:v>
      </x:c>
      <x:c r="N190" s="53" t="str">
        <x:v>L1</x:v>
      </x:c>
      <x:c r="O190" s="53" t="str">
        <x:v>S2_TRAINED_SUPERVISED</x:v>
      </x:c>
      <x:c r="P190" s="53" t="str">
        <x:v>ANNUAL_OR_EDITION</x:v>
      </x:c>
      <x:c r="Q190" s="53" t="n">
        <x:v>5</x:v>
      </x:c>
      <x:c r="R190" s="53" t="n">
        <x:v>4</x:v>
      </x:c>
      <x:c r="S190" s="53" t="n">
        <x:v>4</x:v>
      </x:c>
      <x:c r="T190" s="53" t="n">
        <x:v>4</x:v>
      </x:c>
      <x:c r="U190" s="53" t="n">
        <x:v>4</x:v>
      </x:c>
      <x:c r="V190" s="53" t="n">
        <x:v>3</x:v>
      </x:c>
      <x:c r="W190" s="53" t="n">
        <x:v>4</x:v>
      </x:c>
      <x:c r="X190" s="53" t="n">
        <x:v>3</x:v>
      </x:c>
      <x:c r="Y190" s="53" t="n">
        <x:v>2</x:v>
      </x:c>
      <x:c r="Z190" s="53" t="n">
        <x:v>2</x:v>
      </x:c>
      <x:c r="AA190" s="53" t="n">
        <x:v>1</x:v>
      </x:c>
      <x:c r="AB190" s="53" t="str">
        <x:v>CANDIDATE</x:v>
      </x:c>
      <x:c r="AC190" s="53" t="str">
        <x:v>NOT_DOWNLOADED</x:v>
      </x:c>
      <x:c r="AD190" s="53" t="str">
        <x:v>REQUIRES_ITEM_REVIEW</x:v>
      </x:c>
      <x:c r="AE190" s="53" t="str">
        <x:v>NOT_REVIEWED</x:v>
      </x:c>
      <x:c r="AF190" s="53" t="str">
        <x:v>NOT_TESTED</x:v>
      </x:c>
      <x:c r="AG190" s="53" t="str"/>
      <x:c r="AH190" s="53" t="str"/>
      <x:c r="AI190" s="53" t="str"/>
      <x:c r="AJ190" s="53" t="str"/>
      <x:c r="AK190" s="57" t="n">
        <x:f>MAX(0,MIN(100,ROUND(((Q190*'Overview'!$B$18)+(R190*'Overview'!$B$19)+(S190*'Overview'!$B$20)+(T190*'Overview'!$B$21)+(U190*'Overview'!$B$22)+(V190*'Overview'!$B$23)+(W190*'Overview'!$B$24)+(X190*'Overview'!$B$25)-(Y190*'Overview'!$B$26)-(Z190*'Overview'!$B$27)-(AA190*'Overview'!$B$28))/5*100,0)))</x:f>
        <x:v>71</x:v>
      </x:c>
      <x:c r="AL190" s="53" t="str">
        <x:v>[SUPPLEMENTAL_RESEARCH] FAO statistical databases are generally CC BY 4.0 unless metadata says otherwise; national statistics are not a farm prescription</x:v>
      </x:c>
    </x:row>
    <x:row r="191">
      <x:c r="A191" s="26" t="str">
        <x:v>SUP-LEA-018</x:v>
      </x:c>
      <x:c r="B191" s="26" t="str">
        <x:v>HEALTH|AGRI|PORT</x:v>
      </x:c>
      <x:c r="C191" s="26" t="str">
        <x:v>AQUASTAT Portugal and Europe subset</x:v>
      </x:c>
      <x:c r="D191" s="26" t="str">
        <x:v>Food and Agriculture Organization of the United Nations</x:v>
      </x:c>
      <x:c r="E191" s="26" t="str">
        <x:v>Практический источник для групп HEALTH|AGRI|PORT</x:v>
      </x:c>
      <x:c r="F191" s="26" t="str">
        <x:v>https://www.fao.org/aquastat/en/</x:v>
      </x:c>
      <x:c r="G191" s="26" t="str">
        <x:v>https://www.fao.org/aquastat/en/</x:v>
      </x:c>
      <x:c r="H191" s="26" t="str">
        <x:v>https://www.fao.org/contact-us/terms/db-terms-of-use/en</x:v>
      </x:c>
      <x:c r="I191" s="26" t="str">
        <x:v>Historical national water statistics do not establish current local availability or potability</x:v>
      </x:c>
      <x:c r="J191" s="26" t="str">
        <x:v>EN; FR; ES; selected profiles</x:v>
      </x:c>
      <x:c r="K191" s="26" t="str">
        <x:v>Portugal/EU</x:v>
      </x:c>
      <x:c r="L191" s="26" t="str">
        <x:v>CSV/data download; country profiles; PDF metadata</x:v>
      </x:c>
      <x:c r="M191" s="26" t="str">
        <x:v>Download dated indicators and country profile with definitions and provenance</x:v>
      </x:c>
      <x:c r="N191" s="26" t="str">
        <x:v>L1</x:v>
      </x:c>
      <x:c r="O191" s="26" t="str">
        <x:v>S2_TRAINED_SUPERVISED</x:v>
      </x:c>
      <x:c r="P191" s="26" t="str">
        <x:v>ANNUAL_OR_EDITION</x:v>
      </x:c>
      <x:c r="Q191" s="26" t="n">
        <x:v>5</x:v>
      </x:c>
      <x:c r="R191" s="26" t="n">
        <x:v>4</x:v>
      </x:c>
      <x:c r="S191" s="26" t="n">
        <x:v>4</x:v>
      </x:c>
      <x:c r="T191" s="26" t="n">
        <x:v>4</x:v>
      </x:c>
      <x:c r="U191" s="26" t="n">
        <x:v>4</x:v>
      </x:c>
      <x:c r="V191" s="26" t="n">
        <x:v>3</x:v>
      </x:c>
      <x:c r="W191" s="26" t="n">
        <x:v>2</x:v>
      </x:c>
      <x:c r="X191" s="26" t="n">
        <x:v>3</x:v>
      </x:c>
      <x:c r="Y191" s="26" t="n">
        <x:v>2</x:v>
      </x:c>
      <x:c r="Z191" s="26" t="n">
        <x:v>2</x:v>
      </x:c>
      <x:c r="AA191" s="26" t="n">
        <x:v>1</x:v>
      </x:c>
      <x:c r="AB191" s="26" t="str">
        <x:v>CANDIDATE</x:v>
      </x:c>
      <x:c r="AC191" s="26" t="str">
        <x:v>NOT_DOWNLOADED</x:v>
      </x:c>
      <x:c r="AD191" s="26" t="str">
        <x:v>REQUIRES_ITEM_REVIEW</x:v>
      </x:c>
      <x:c r="AE191" s="26" t="str">
        <x:v>NOT_REVIEWED</x:v>
      </x:c>
      <x:c r="AF191" s="26" t="str">
        <x:v>NOT_TESTED</x:v>
      </x:c>
      <x:c r="AG191" s="26" t="str"/>
      <x:c r="AH191" s="26" t="str"/>
      <x:c r="AI191" s="26" t="str"/>
      <x:c r="AJ191" s="26" t="str"/>
      <x:c r="AK191" s="57" t="n">
        <x:f>MAX(0,MIN(100,ROUND(((Q191*'Overview'!$B$18)+(R191*'Overview'!$B$19)+(S191*'Overview'!$B$20)+(T191*'Overview'!$B$21)+(U191*'Overview'!$B$22)+(V191*'Overview'!$B$23)+(W191*'Overview'!$B$24)+(X191*'Overview'!$B$25)-(Y191*'Overview'!$B$26)-(Z191*'Overview'!$B$27)-(AA191*'Overview'!$B$28))/5*100,0)))</x:f>
        <x:v>69</x:v>
      </x:c>
      <x:c r="AL191" s="26" t="str">
        <x:v>[SUPPLEMENTAL_RESEARCH] Historical national water statistics do not establish current local availability or potability</x:v>
      </x:c>
    </x:row>
    <x:row r="192">
      <x:c r="A192" s="53" t="str">
        <x:v>SUP-LEA-019</x:v>
      </x:c>
      <x:c r="B192" s="53" t="str">
        <x:v>HEALTH|AGRI</x:v>
      </x:c>
      <x:c r="C192" s="53" t="str">
        <x:v>AGROVOC core concepts</x:v>
      </x:c>
      <x:c r="D192" s="53" t="str">
        <x:v>Food and Agriculture Organization of the United Nations</x:v>
      </x:c>
      <x:c r="E192" s="53" t="str">
        <x:v>Практический источник для групп HEALTH|AGRI</x:v>
      </x:c>
      <x:c r="F192" s="53" t="str">
        <x:v>https://www.fao.org/agrovoc/access</x:v>
      </x:c>
      <x:c r="G192" s="53" t="str">
        <x:v>https://www.fao.org/agrovoc/access</x:v>
      </x:c>
      <x:c r="H192" s="53" t="str">
        <x:v>https://www.fao.org/agrovoc/access</x:v>
      </x:c>
      <x:c r="I192" s="53" t="str">
        <x:v>FAO core languages are stated as CC BY IGO 3.0 on access page; Portuguese and contributed content need separate rights verification</x:v>
      </x:c>
      <x:c r="J192" s="53" t="str">
        <x:v>EN; RU; FR; ES; AR; ZH; additional languages with contributor rights</x:v>
      </x:c>
      <x:c r="K192" s="53" t="str">
        <x:v>International/reference</x:v>
      </x:c>
      <x:c r="L192" s="53" t="str">
        <x:v>RDF N-Triples; N-Quads; SKOS; API</x:v>
      </x:c>
      <x:c r="M192" s="53" t="str">
        <x:v>Download versioned RDF dump and exact release notice</x:v>
      </x:c>
      <x:c r="N192" s="53" t="str">
        <x:v>L1</x:v>
      </x:c>
      <x:c r="O192" s="53" t="str">
        <x:v>S0_OBSERVE_READ</x:v>
      </x:c>
      <x:c r="P192" s="53" t="str">
        <x:v>ANNUAL_OR_EDITION</x:v>
      </x:c>
      <x:c r="Q192" s="53" t="n">
        <x:v>5</x:v>
      </x:c>
      <x:c r="R192" s="53" t="n">
        <x:v>4</x:v>
      </x:c>
      <x:c r="S192" s="53" t="n">
        <x:v>4</x:v>
      </x:c>
      <x:c r="T192" s="53" t="n">
        <x:v>4</x:v>
      </x:c>
      <x:c r="U192" s="53" t="n">
        <x:v>4</x:v>
      </x:c>
      <x:c r="V192" s="53" t="n">
        <x:v>3</x:v>
      </x:c>
      <x:c r="W192" s="53" t="n">
        <x:v>4</x:v>
      </x:c>
      <x:c r="X192" s="53" t="n">
        <x:v>3</x:v>
      </x:c>
      <x:c r="Y192" s="53" t="n">
        <x:v>0</x:v>
      </x:c>
      <x:c r="Z192" s="53" t="n">
        <x:v>2</x:v>
      </x:c>
      <x:c r="AA192" s="53" t="n">
        <x:v>1</x:v>
      </x:c>
      <x:c r="AB192" s="53" t="str">
        <x:v>CANDIDATE</x:v>
      </x:c>
      <x:c r="AC192" s="53" t="str">
        <x:v>NOT_DOWNLOADED</x:v>
      </x:c>
      <x:c r="AD192" s="53" t="str">
        <x:v>REQUIRES_ITEM_REVIEW</x:v>
      </x:c>
      <x:c r="AE192" s="53" t="str">
        <x:v>NOT_REVIEWED</x:v>
      </x:c>
      <x:c r="AF192" s="53" t="str">
        <x:v>NOT_TESTED</x:v>
      </x:c>
      <x:c r="AG192" s="53" t="str"/>
      <x:c r="AH192" s="53" t="str"/>
      <x:c r="AI192" s="53" t="str"/>
      <x:c r="AJ192" s="53" t="str"/>
      <x:c r="AK192" s="57" t="n">
        <x:f>MAX(0,MIN(100,ROUND(((Q192*'Overview'!$B$18)+(R192*'Overview'!$B$19)+(S192*'Overview'!$B$20)+(T192*'Overview'!$B$21)+(U192*'Overview'!$B$22)+(V192*'Overview'!$B$23)+(W192*'Overview'!$B$24)+(X192*'Overview'!$B$25)-(Y192*'Overview'!$B$26)-(Z192*'Overview'!$B$27)-(AA192*'Overview'!$B$28))/5*100,0)))</x:f>
        <x:v>77</x:v>
      </x:c>
      <x:c r="AL192" s="53" t="str">
        <x:v>[SUPPLEMENTAL_RESEARCH] FAO core languages are stated as CC BY IGO 3.0 on access page; Portuguese and contributed content need separate rights verification</x:v>
      </x:c>
    </x:row>
    <x:row r="193">
      <x:c r="A193" s="26" t="str">
        <x:v>SUP-LEA-020</x:v>
      </x:c>
      <x:c r="B193" s="26" t="str">
        <x:v>HEALTH|AGRI|COMP</x:v>
      </x:c>
      <x:c r="C193" s="26" t="str">
        <x:v>AquaCrop official software; source and manuals</x:v>
      </x:c>
      <x:c r="D193" s="26" t="str">
        <x:v>Food and Agriculture Organization of the United Nations</x:v>
      </x:c>
      <x:c r="E193" s="26" t="str">
        <x:v>Практический источник для групп HEALTH|AGRI|COMP</x:v>
      </x:c>
      <x:c r="F193" s="26" t="str">
        <x:v>https://www.fao.org/aquacrop/en/</x:v>
      </x:c>
      <x:c r="G193" s="26" t="str">
        <x:v>https://www.fao.org/aquacrop/en/</x:v>
      </x:c>
      <x:c r="H193" s="26" t="str">
        <x:v>https://www.fao.org/aquacrop/en/</x:v>
      </x:c>
      <x:c r="I193" s="26" t="str">
        <x:v>Crop-water model requires calibrated inputs and validation; output is scenario evidence and must never directly command irrigation</x:v>
      </x:c>
      <x:c r="J193" s="26" t="str">
        <x:v>EN</x:v>
      </x:c>
      <x:c r="K193" s="26" t="str">
        <x:v>International/reference</x:v>
      </x:c>
      <x:c r="L193" s="26" t="str">
        <x:v>Python or Fortran source; executables; ZIP; PDF manuals; test cases</x:v>
      </x:c>
      <x:c r="M193" s="26" t="str">
        <x:v>Download exact release linked by FAO; vendor source archive; executable; manual; licence and reference test output</x:v>
      </x:c>
      <x:c r="N193" s="26" t="str">
        <x:v>L2</x:v>
      </x:c>
      <x:c r="O193" s="26" t="str">
        <x:v>S4_REFERENCE_ONLY_PROHIBITED_HOUSEHOLD</x:v>
      </x:c>
      <x:c r="P193" s="26" t="str">
        <x:v>ANNUAL_OR_EDITION</x:v>
      </x:c>
      <x:c r="Q193" s="26" t="n">
        <x:v>4</x:v>
      </x:c>
      <x:c r="R193" s="26" t="n">
        <x:v>4</x:v>
      </x:c>
      <x:c r="S193" s="26" t="n">
        <x:v>3</x:v>
      </x:c>
      <x:c r="T193" s="26" t="n">
        <x:v>4</x:v>
      </x:c>
      <x:c r="U193" s="26" t="n">
        <x:v>4</x:v>
      </x:c>
      <x:c r="V193" s="26" t="n">
        <x:v>3</x:v>
      </x:c>
      <x:c r="W193" s="26" t="n">
        <x:v>2</x:v>
      </x:c>
      <x:c r="X193" s="26" t="n">
        <x:v>3</x:v>
      </x:c>
      <x:c r="Y193" s="26" t="n">
        <x:v>5</x:v>
      </x:c>
      <x:c r="Z193" s="26" t="n">
        <x:v>2</x:v>
      </x:c>
      <x:c r="AA193" s="26" t="n">
        <x:v>1</x:v>
      </x:c>
      <x:c r="AB193" s="26" t="str">
        <x:v>CANDIDATE</x:v>
      </x:c>
      <x:c r="AC193" s="26" t="str">
        <x:v>NOT_DOWNLOADED</x:v>
      </x:c>
      <x:c r="AD193" s="26" t="str">
        <x:v>REQUIRES_ITEM_REVIEW</x:v>
      </x:c>
      <x:c r="AE193" s="26" t="str">
        <x:v>NOT_REVIEWED</x:v>
      </x:c>
      <x:c r="AF193" s="26" t="str">
        <x:v>NOT_TESTED</x:v>
      </x:c>
      <x:c r="AG193" s="26" t="str"/>
      <x:c r="AH193" s="26" t="str"/>
      <x:c r="AI193" s="26" t="str"/>
      <x:c r="AJ193" s="26" t="str"/>
      <x:c r="AK193" s="57" t="n">
        <x:f>MAX(0,MIN(100,ROUND(((Q193*'Overview'!$B$18)+(R193*'Overview'!$B$19)+(S193*'Overview'!$B$20)+(T193*'Overview'!$B$21)+(U193*'Overview'!$B$22)+(V193*'Overview'!$B$23)+(W193*'Overview'!$B$24)+(X193*'Overview'!$B$25)-(Y193*'Overview'!$B$26)-(Z193*'Overview'!$B$27)-(AA193*'Overview'!$B$28))/5*100,0)))</x:f>
        <x:v>52</x:v>
      </x:c>
      <x:c r="AL193" s="26" t="str">
        <x:v>[SUPPLEMENTAL_RESEARCH] Crop-water model requires calibrated inputs and validation; output is scenario evidence and must never directly command irrigation</x:v>
      </x:c>
    </x:row>
    <x:row r="194">
      <x:c r="A194" s="53" t="str">
        <x:v>SUP-LEA-021</x:v>
      </x:c>
      <x:c r="B194" s="53" t="str">
        <x:v>HEALTH|AGRI</x:v>
      </x:c>
      <x:c r="C194" s="53" t="str">
        <x:v>Genebank Standards for Plant Genetic Resources for Food and Agriculture</x:v>
      </x:c>
      <x:c r="D194" s="53" t="str">
        <x:v>Food and Agriculture Organization of the United Nations</x:v>
      </x:c>
      <x:c r="E194" s="53" t="str">
        <x:v>Практический источник для групп HEALTH|AGRI</x:v>
      </x:c>
      <x:c r="F194" s="53" t="str">
        <x:v>https://www.fao.org/cgrfa/policies/global-instruments/codes-standards-and-guidelines/en/</x:v>
      </x:c>
      <x:c r="G194" s="53" t="str">
        <x:v>https://www.fao.org/cgrfa/policies/global-instruments/codes-standards-and-guidelines/en/</x:v>
      </x:c>
      <x:c r="H194" s="53" t="str">
        <x:v>https://www.fao.org/contact-us/terms/en/</x:v>
      </x:c>
      <x:c r="I194" s="53" t="str">
        <x:v>Standards cover professional seed banks; field collections; in-vitro and cryopreservation; species-specific protocols are still required</x:v>
      </x:c>
      <x:c r="J194" s="53" t="str">
        <x:v>EN; RU; FR; ES; AR; ZH depending edition</x:v>
      </x:c>
      <x:c r="K194" s="53" t="str">
        <x:v>International/reference</x:v>
      </x:c>
      <x:c r="L194" s="53" t="str">
        <x:v>PDF</x:v>
      </x:c>
      <x:c r="M194" s="53" t="str">
        <x:v>Download exact official language editions and inspect each copyright page</x:v>
      </x:c>
      <x:c r="N194" s="53" t="str">
        <x:v>L2</x:v>
      </x:c>
      <x:c r="O194" s="53" t="str">
        <x:v>S3_LICENSED_PROFESSIONAL</x:v>
      </x:c>
      <x:c r="P194" s="53" t="str">
        <x:v>ANNUAL_OR_EDITION</x:v>
      </x:c>
      <x:c r="Q194" s="53" t="n">
        <x:v>4</x:v>
      </x:c>
      <x:c r="R194" s="53" t="n">
        <x:v>4</x:v>
      </x:c>
      <x:c r="S194" s="53" t="n">
        <x:v>3</x:v>
      </x:c>
      <x:c r="T194" s="53" t="n">
        <x:v>4</x:v>
      </x:c>
      <x:c r="U194" s="53" t="n">
        <x:v>4</x:v>
      </x:c>
      <x:c r="V194" s="53" t="n">
        <x:v>3</x:v>
      </x:c>
      <x:c r="W194" s="53" t="n">
        <x:v>4</x:v>
      </x:c>
      <x:c r="X194" s="53" t="n">
        <x:v>3</x:v>
      </x:c>
      <x:c r="Y194" s="53" t="n">
        <x:v>4</x:v>
      </x:c>
      <x:c r="Z194" s="53" t="n">
        <x:v>2</x:v>
      </x:c>
      <x:c r="AA194" s="53" t="n">
        <x:v>1</x:v>
      </x:c>
      <x:c r="AB194" s="53" t="str">
        <x:v>CANDIDATE</x:v>
      </x:c>
      <x:c r="AC194" s="53" t="str">
        <x:v>NOT_DOWNLOADED</x:v>
      </x:c>
      <x:c r="AD194" s="53" t="str">
        <x:v>REQUIRES_ITEM_REVIEW</x:v>
      </x:c>
      <x:c r="AE194" s="53" t="str">
        <x:v>NOT_REVIEWED</x:v>
      </x:c>
      <x:c r="AF194" s="53" t="str">
        <x:v>NOT_TESTED</x:v>
      </x:c>
      <x:c r="AG194" s="53" t="str"/>
      <x:c r="AH194" s="53" t="str"/>
      <x:c r="AI194" s="53" t="str"/>
      <x:c r="AJ194" s="53" t="str"/>
      <x:c r="AK194" s="57" t="n">
        <x:f>MAX(0,MIN(100,ROUND(((Q194*'Overview'!$B$18)+(R194*'Overview'!$B$19)+(S194*'Overview'!$B$20)+(T194*'Overview'!$B$21)+(U194*'Overview'!$B$22)+(V194*'Overview'!$B$23)+(W194*'Overview'!$B$24)+(X194*'Overview'!$B$25)-(Y194*'Overview'!$B$26)-(Z194*'Overview'!$B$27)-(AA194*'Overview'!$B$28))/5*100,0)))</x:f>
        <x:v>57</x:v>
      </x:c>
      <x:c r="AL194" s="53" t="str">
        <x:v>[SUPPLEMENTAL_RESEARCH] Standards cover professional seed banks; field collections; in-vitro and cryopreservation; species-specific protocols are still required</x:v>
      </x:c>
    </x:row>
    <x:row r="195">
      <x:c r="A195" s="26" t="str">
        <x:v>SUP-LEA-022</x:v>
      </x:c>
      <x:c r="B195" s="26" t="str">
        <x:v>HEALTH|AGRI</x:v>
      </x:c>
      <x:c r="C195" s="26" t="str">
        <x:v>WIEWS plant genetic resources data</x:v>
      </x:c>
      <x:c r="D195" s="26" t="str">
        <x:v>Food and Agriculture Organization of the United Nations</x:v>
      </x:c>
      <x:c r="E195" s="26" t="str">
        <x:v>Практический источник для групп HEALTH|AGRI</x:v>
      </x:c>
      <x:c r="F195" s="26" t="str">
        <x:v>https://www.fao.org/wiews/en/</x:v>
      </x:c>
      <x:c r="G195" s="26" t="str">
        <x:v>https://www.fao.org/wiews/en/</x:v>
      </x:c>
      <x:c r="H195" s="26" t="str">
        <x:v>https://www.fao.org/contact-us/terms/db-terms-of-use/en</x:v>
      </x:c>
      <x:c r="I195" s="26" t="str">
        <x:v>Inventory metadata do not determine seed identity; viability; access rights or phytosanitary eligibility</x:v>
      </x:c>
      <x:c r="J195" s="26" t="str">
        <x:v>EN; multilingual portal</x:v>
      </x:c>
      <x:c r="K195" s="26" t="str">
        <x:v>International/reference</x:v>
      </x:c>
      <x:c r="L195" s="26" t="str">
        <x:v>Database exports; CSV; reports</x:v>
      </x:c>
      <x:c r="M195" s="26" t="str">
        <x:v>Export bounded official organization and ex-situ data with release metadata</x:v>
      </x:c>
      <x:c r="N195" s="26" t="str">
        <x:v>L2</x:v>
      </x:c>
      <x:c r="O195" s="26" t="str">
        <x:v>S2_TRAINED_SUPERVISED</x:v>
      </x:c>
      <x:c r="P195" s="26" t="str">
        <x:v>ANNUAL_OR_EDITION</x:v>
      </x:c>
      <x:c r="Q195" s="26" t="n">
        <x:v>4</x:v>
      </x:c>
      <x:c r="R195" s="26" t="n">
        <x:v>4</x:v>
      </x:c>
      <x:c r="S195" s="26" t="n">
        <x:v>3</x:v>
      </x:c>
      <x:c r="T195" s="26" t="n">
        <x:v>4</x:v>
      </x:c>
      <x:c r="U195" s="26" t="n">
        <x:v>4</x:v>
      </x:c>
      <x:c r="V195" s="26" t="n">
        <x:v>3</x:v>
      </x:c>
      <x:c r="W195" s="26" t="n">
        <x:v>4</x:v>
      </x:c>
      <x:c r="X195" s="26" t="n">
        <x:v>3</x:v>
      </x:c>
      <x:c r="Y195" s="26" t="n">
        <x:v>2</x:v>
      </x:c>
      <x:c r="Z195" s="26" t="n">
        <x:v>2</x:v>
      </x:c>
      <x:c r="AA195" s="26" t="n">
        <x:v>1</x:v>
      </x:c>
      <x:c r="AB195" s="26" t="str">
        <x:v>CANDIDATE</x:v>
      </x:c>
      <x:c r="AC195" s="26" t="str">
        <x:v>NOT_DOWNLOADED</x:v>
      </x:c>
      <x:c r="AD195" s="26" t="str">
        <x:v>REQUIRES_ITEM_REVIEW</x:v>
      </x:c>
      <x:c r="AE195" s="26" t="str">
        <x:v>NOT_REVIEWED</x:v>
      </x:c>
      <x:c r="AF195" s="26" t="str">
        <x:v>NOT_TESTED</x:v>
      </x:c>
      <x:c r="AG195" s="26" t="str"/>
      <x:c r="AH195" s="26" t="str"/>
      <x:c r="AI195" s="26" t="str"/>
      <x:c r="AJ195" s="26" t="str"/>
      <x:c r="AK195" s="57" t="n">
        <x:f>MAX(0,MIN(100,ROUND(((Q195*'Overview'!$B$18)+(R195*'Overview'!$B$19)+(S195*'Overview'!$B$20)+(T195*'Overview'!$B$21)+(U195*'Overview'!$B$22)+(V195*'Overview'!$B$23)+(W195*'Overview'!$B$24)+(X195*'Overview'!$B$25)-(Y195*'Overview'!$B$26)-(Z195*'Overview'!$B$27)-(AA195*'Overview'!$B$28))/5*100,0)))</x:f>
        <x:v>63</x:v>
      </x:c>
      <x:c r="AL195" s="26" t="str">
        <x:v>[SUPPLEMENTAL_RESEARCH] Inventory metadata do not determine seed identity; viability; access rights or phytosanitary eligibility</x:v>
      </x:c>
    </x:row>
    <x:row r="196">
      <x:c r="A196" s="53" t="str">
        <x:v>SUP-LEA-023</x:v>
      </x:c>
      <x:c r="B196" s="53" t="str">
        <x:v>AGRI</x:v>
      </x:c>
      <x:c r="C196" s="53" t="str">
        <x:v>Genesys PGR accession metadata personal cache</x:v>
      </x:c>
      <x:c r="D196" s="53" t="str">
        <x:v>Crop Trust and Genesys data providers</x:v>
      </x:c>
      <x:c r="E196" s="53" t="str">
        <x:v>Практический источник для групп AGRI</x:v>
      </x:c>
      <x:c r="F196" s="53" t="str">
        <x:v>https://www.genesys-pgr.org/documentation/apis</x:v>
      </x:c>
      <x:c r="G196" s="53" t="str">
        <x:v>https://www.genesys-pgr.org/documentation/apis</x:v>
      </x:c>
      <x:c r="H196" s="53" t="str">
        <x:v>https://www.genesys-pgr.org/content/legal/terms</x:v>
      </x:c>
      <x:c r="I196" s="53" t="str">
        <x:v>Terms allow use but prohibit redistribution to others; direct new users to Genesys; germplasm request is professional and legally constrained</x:v>
      </x:c>
      <x:c r="J196" s="53" t="str">
        <x:v>EN; scientific names global</x:v>
      </x:c>
      <x:c r="K196" s="53" t="str">
        <x:v>International/reference</x:v>
      </x:c>
      <x:c r="L196" s="53" t="str">
        <x:v>JSON API; XLSX; DwC-A depending endpoint</x:v>
      </x:c>
      <x:c r="M196" s="53" t="str">
        <x:v>If accepted by account terms; make a personal bounded export; do not redistribute</x:v>
      </x:c>
      <x:c r="N196" s="53" t="str">
        <x:v>L3</x:v>
      </x:c>
      <x:c r="O196" s="53" t="str">
        <x:v>S4_REFERENCE_ONLY_PROHIBITED_HOUSEHOLD</x:v>
      </x:c>
      <x:c r="P196" s="53" t="str">
        <x:v>ANNUAL_OR_EDITION</x:v>
      </x:c>
      <x:c r="Q196" s="53" t="n">
        <x:v>3</x:v>
      </x:c>
      <x:c r="R196" s="53" t="n">
        <x:v>4</x:v>
      </x:c>
      <x:c r="S196" s="53" t="n">
        <x:v>3</x:v>
      </x:c>
      <x:c r="T196" s="53" t="n">
        <x:v>4</x:v>
      </x:c>
      <x:c r="U196" s="53" t="n">
        <x:v>3</x:v>
      </x:c>
      <x:c r="V196" s="53" t="n">
        <x:v>3</x:v>
      </x:c>
      <x:c r="W196" s="53" t="n">
        <x:v>2</x:v>
      </x:c>
      <x:c r="X196" s="53" t="n">
        <x:v>3</x:v>
      </x:c>
      <x:c r="Y196" s="53" t="n">
        <x:v>5</x:v>
      </x:c>
      <x:c r="Z196" s="53" t="n">
        <x:v>2</x:v>
      </x:c>
      <x:c r="AA196" s="53" t="n">
        <x:v>3</x:v>
      </x:c>
      <x:c r="AB196" s="53" t="str">
        <x:v>CANDIDATE</x:v>
      </x:c>
      <x:c r="AC196" s="53" t="str">
        <x:v>NOT_DOWNLOADED</x:v>
      </x:c>
      <x:c r="AD196" s="53" t="str">
        <x:v>REQUIRES_ITEM_REVIEW</x:v>
      </x:c>
      <x:c r="AE196" s="53" t="str">
        <x:v>NOT_REVIEWED</x:v>
      </x:c>
      <x:c r="AF196" s="53" t="str">
        <x:v>NOT_TESTED</x:v>
      </x:c>
      <x:c r="AG196" s="53" t="str"/>
      <x:c r="AH196" s="53" t="str"/>
      <x:c r="AI196" s="53" t="str"/>
      <x:c r="AJ196" s="53" t="str"/>
      <x:c r="AK196" s="57" t="n">
        <x:f>MAX(0,MIN(100,ROUND(((Q196*'Overview'!$B$18)+(R196*'Overview'!$B$19)+(S196*'Overview'!$B$20)+(T196*'Overview'!$B$21)+(U196*'Overview'!$B$22)+(V196*'Overview'!$B$23)+(W196*'Overview'!$B$24)+(X196*'Overview'!$B$25)-(Y196*'Overview'!$B$26)-(Z196*'Overview'!$B$27)-(AA196*'Overview'!$B$28))/5*100,0)))</x:f>
        <x:v>43</x:v>
      </x:c>
      <x:c r="AL196" s="53" t="str">
        <x:v>[SUPPLEMENTAL_RESEARCH] Terms allow use but prohibit redistribution to others; direct new users to Genesys; germplasm request is professional and legally constrained</x:v>
      </x:c>
    </x:row>
    <x:row r="197">
      <x:c r="A197" s="26" t="str">
        <x:v>SUP-LEA-024</x:v>
      </x:c>
      <x:c r="B197" s="26" t="str">
        <x:v>LIFE|AGRI</x:v>
      </x:c>
      <x:c r="C197" s="26" t="str">
        <x:v>GRIN-Global taxonomy and accession search export</x:v>
      </x:c>
      <x:c r="D197" s="26" t="str">
        <x:v>USDA Agricultural Research Service National Plant Germplasm System</x:v>
      </x:c>
      <x:c r="E197" s="26" t="str">
        <x:v>Практический источник для групп LIFE|AGRI</x:v>
      </x:c>
      <x:c r="F197" s="26" t="str">
        <x:v>https://www.ars-grin.gov/</x:v>
      </x:c>
      <x:c r="G197" s="26" t="str">
        <x:v>https://www.ars-grin.gov/</x:v>
      </x:c>
      <x:c r="H197" s="26" t="str">
        <x:v>https://www.usda.gov/about-usda/general-information/policies-and-links/digital/copyright-policy</x:v>
      </x:c>
      <x:c r="I197" s="26" t="str">
        <x:v>NPGS germplasm is primarily for research and breeding; not a home/community seed supplier; distribution requires policy and phytosanitary checks</x:v>
      </x:c>
      <x:c r="J197" s="26" t="str">
        <x:v>EN; scientific names global</x:v>
      </x:c>
      <x:c r="K197" s="26" t="str">
        <x:v>International/reference</x:v>
      </x:c>
      <x:c r="L197" s="26" t="str">
        <x:v>Search export; reports; taxonomy data</x:v>
      </x:c>
      <x:c r="M197" s="26" t="str">
        <x:v>Use official export function only; retain retrieval date and accession provenance</x:v>
      </x:c>
      <x:c r="N197" s="26" t="str">
        <x:v>L2</x:v>
      </x:c>
      <x:c r="O197" s="26" t="str">
        <x:v>S3_LICENSED_PROFESSIONAL</x:v>
      </x:c>
      <x:c r="P197" s="26" t="str">
        <x:v>ANNUAL_OR_EDITION</x:v>
      </x:c>
      <x:c r="Q197" s="26" t="n">
        <x:v>4</x:v>
      </x:c>
      <x:c r="R197" s="26" t="n">
        <x:v>4</x:v>
      </x:c>
      <x:c r="S197" s="26" t="n">
        <x:v>3</x:v>
      </x:c>
      <x:c r="T197" s="26" t="n">
        <x:v>4</x:v>
      </x:c>
      <x:c r="U197" s="26" t="n">
        <x:v>4</x:v>
      </x:c>
      <x:c r="V197" s="26" t="n">
        <x:v>3</x:v>
      </x:c>
      <x:c r="W197" s="26" t="n">
        <x:v>2</x:v>
      </x:c>
      <x:c r="X197" s="26" t="n">
        <x:v>3</x:v>
      </x:c>
      <x:c r="Y197" s="26" t="n">
        <x:v>4</x:v>
      </x:c>
      <x:c r="Z197" s="26" t="n">
        <x:v>2</x:v>
      </x:c>
      <x:c r="AA197" s="26" t="n">
        <x:v>1</x:v>
      </x:c>
      <x:c r="AB197" s="26" t="str">
        <x:v>CANDIDATE</x:v>
      </x:c>
      <x:c r="AC197" s="26" t="str">
        <x:v>NOT_DOWNLOADED</x:v>
      </x:c>
      <x:c r="AD197" s="26" t="str">
        <x:v>REQUIRES_ITEM_REVIEW</x:v>
      </x:c>
      <x:c r="AE197" s="26" t="str">
        <x:v>NOT_REVIEWED</x:v>
      </x:c>
      <x:c r="AF197" s="26" t="str">
        <x:v>NOT_TESTED</x:v>
      </x:c>
      <x:c r="AG197" s="26" t="str"/>
      <x:c r="AH197" s="26" t="str"/>
      <x:c r="AI197" s="26" t="str"/>
      <x:c r="AJ197" s="26" t="str"/>
      <x:c r="AK197" s="57" t="n">
        <x:f>MAX(0,MIN(100,ROUND(((Q197*'Overview'!$B$18)+(R197*'Overview'!$B$19)+(S197*'Overview'!$B$20)+(T197*'Overview'!$B$21)+(U197*'Overview'!$B$22)+(V197*'Overview'!$B$23)+(W197*'Overview'!$B$24)+(X197*'Overview'!$B$25)-(Y197*'Overview'!$B$26)-(Z197*'Overview'!$B$27)-(AA197*'Overview'!$B$28))/5*100,0)))</x:f>
        <x:v>55</x:v>
      </x:c>
      <x:c r="AL197" s="26" t="str">
        <x:v>[SUPPLEMENTAL_RESEARCH] NPGS germplasm is primarily for research and breeding; not a home/community seed supplier; distribution requires policy and phytosanitary checks</x:v>
      </x:c>
    </x:row>
    <x:row r="198">
      <x:c r="A198" s="53" t="str">
        <x:v>SUP-LEA-025</x:v>
      </x:c>
      <x:c r="B198" s="53" t="str">
        <x:v>HEALTH|AGRI|OPS</x:v>
      </x:c>
      <x:c r="C198" s="53" t="str">
        <x:v>Quality Declared Seed System</x:v>
      </x:c>
      <x:c r="D198" s="53" t="str">
        <x:v>Food and Agriculture Organization of the United Nations</x:v>
      </x:c>
      <x:c r="E198" s="53" t="str">
        <x:v>Практический источник для групп HEALTH|AGRI|OPS</x:v>
      </x:c>
      <x:c r="F198" s="53" t="str">
        <x:v>https://www.fao.org/4/a0503e/a0503e00.htm</x:v>
      </x:c>
      <x:c r="G198" s="53" t="str">
        <x:v>https://www.fao.org/4/a0503e/a0503e00.htm</x:v>
      </x:c>
      <x:c r="H198" s="53" t="str">
        <x:v>https://www.fao.org/4/a0503e/a0503e00.htm</x:v>
      </x:c>
      <x:c r="I198" s="53" t="str">
        <x:v>Educational/non-commercial reproduction allowed with attribution under the publication notice; laboratory seed tests and certification remain regulated</x:v>
      </x:c>
      <x:c r="J198" s="53" t="str">
        <x:v>EN; FR; ES</x:v>
      </x:c>
      <x:c r="K198" s="53" t="str">
        <x:v>International/reference</x:v>
      </x:c>
      <x:c r="L198" s="53" t="str">
        <x:v>HTML; PDF; ZIP</x:v>
      </x:c>
      <x:c r="M198" s="53" t="str">
        <x:v>Download exact official 2006 edition and embedded rights statement</x:v>
      </x:c>
      <x:c r="N198" s="53" t="str">
        <x:v>L2</x:v>
      </x:c>
      <x:c r="O198" s="53" t="str">
        <x:v>S3_LICENSED_PROFESSIONAL</x:v>
      </x:c>
      <x:c r="P198" s="53" t="str">
        <x:v>ANNUAL_OR_EDITION</x:v>
      </x:c>
      <x:c r="Q198" s="53" t="n">
        <x:v>4</x:v>
      </x:c>
      <x:c r="R198" s="53" t="n">
        <x:v>4</x:v>
      </x:c>
      <x:c r="S198" s="53" t="n">
        <x:v>3</x:v>
      </x:c>
      <x:c r="T198" s="53" t="n">
        <x:v>4</x:v>
      </x:c>
      <x:c r="U198" s="53" t="n">
        <x:v>4</x:v>
      </x:c>
      <x:c r="V198" s="53" t="n">
        <x:v>3</x:v>
      </x:c>
      <x:c r="W198" s="53" t="n">
        <x:v>2</x:v>
      </x:c>
      <x:c r="X198" s="53" t="n">
        <x:v>3</x:v>
      </x:c>
      <x:c r="Y198" s="53" t="n">
        <x:v>4</x:v>
      </x:c>
      <x:c r="Z198" s="53" t="n">
        <x:v>2</x:v>
      </x:c>
      <x:c r="AA198" s="53" t="n">
        <x:v>1</x:v>
      </x:c>
      <x:c r="AB198" s="53" t="str">
        <x:v>CANDIDATE</x:v>
      </x:c>
      <x:c r="AC198" s="53" t="str">
        <x:v>NOT_DOWNLOADED</x:v>
      </x:c>
      <x:c r="AD198" s="53" t="str">
        <x:v>REQUIRES_ITEM_REVIEW</x:v>
      </x:c>
      <x:c r="AE198" s="53" t="str">
        <x:v>NOT_REVIEWED</x:v>
      </x:c>
      <x:c r="AF198" s="53" t="str">
        <x:v>NOT_TESTED</x:v>
      </x:c>
      <x:c r="AG198" s="53" t="str"/>
      <x:c r="AH198" s="53" t="str"/>
      <x:c r="AI198" s="53" t="str"/>
      <x:c r="AJ198" s="53" t="str"/>
      <x:c r="AK198" s="57" t="n">
        <x:f>MAX(0,MIN(100,ROUND(((Q198*'Overview'!$B$18)+(R198*'Overview'!$B$19)+(S198*'Overview'!$B$20)+(T198*'Overview'!$B$21)+(U198*'Overview'!$B$22)+(V198*'Overview'!$B$23)+(W198*'Overview'!$B$24)+(X198*'Overview'!$B$25)-(Y198*'Overview'!$B$26)-(Z198*'Overview'!$B$27)-(AA198*'Overview'!$B$28))/5*100,0)))</x:f>
        <x:v>55</x:v>
      </x:c>
      <x:c r="AL198" s="53" t="str">
        <x:v>[SUPPLEMENTAL_RESEARCH] Educational/non-commercial reproduction allowed with attribution under the publication notice; laboratory seed tests and certification remain regulated</x:v>
      </x:c>
    </x:row>
    <x:row r="199">
      <x:c r="A199" s="26" t="str">
        <x:v>SUP-LEA-026</x:v>
      </x:c>
      <x:c r="B199" s="26" t="str">
        <x:v>HEALTH|OPS</x:v>
      </x:c>
      <x:c r="C199" s="26" t="str">
        <x:v>Guidelines for drinking-water quality fourth edition with current addenda</x:v>
      </x:c>
      <x:c r="D199" s="26" t="str">
        <x:v>World Health Organization</x:v>
      </x:c>
      <x:c r="E199" s="26" t="str">
        <x:v>Практический источник для групп HEALTH|OPS</x:v>
      </x:c>
      <x:c r="F199" s="26" t="str">
        <x:v>https://www.who.int/publications/i/item/9789240121225</x:v>
      </x:c>
      <x:c r="G199" s="26" t="str">
        <x:v>https://www.who.int/publications/i/item/9789240121225</x:v>
      </x:c>
      <x:c r="H199" s="26" t="str">
        <x:v>https://www.who.int/copyright</x:v>
      </x:c>
      <x:c r="I199" s="26" t="str">
        <x:v>Authority-level guidance; never use a few field indicators to declare water potable; verify exact item licence</x:v>
      </x:c>
      <x:c r="J199" s="26" t="str">
        <x:v>EN; companion materials in UN languages</x:v>
      </x:c>
      <x:c r="K199" s="26" t="str">
        <x:v>International/reference</x:v>
      </x:c>
      <x:c r="L199" s="26" t="str">
        <x:v>PDF</x:v>
      </x:c>
      <x:c r="M199" s="26" t="str">
        <x:v>Download exact current official PDF; preserve copyright page; ISBN; addenda and superseded edition links</x:v>
      </x:c>
      <x:c r="N199" s="26" t="str">
        <x:v>L2</x:v>
      </x:c>
      <x:c r="O199" s="26" t="str">
        <x:v>S3_LICENSED_PROFESSIONAL</x:v>
      </x:c>
      <x:c r="P199" s="26" t="str">
        <x:v>ANNUAL_OR_EDITION</x:v>
      </x:c>
      <x:c r="Q199" s="26" t="n">
        <x:v>4</x:v>
      </x:c>
      <x:c r="R199" s="26" t="n">
        <x:v>4</x:v>
      </x:c>
      <x:c r="S199" s="26" t="n">
        <x:v>3</x:v>
      </x:c>
      <x:c r="T199" s="26" t="n">
        <x:v>4</x:v>
      </x:c>
      <x:c r="U199" s="26" t="n">
        <x:v>4</x:v>
      </x:c>
      <x:c r="V199" s="26" t="n">
        <x:v>3</x:v>
      </x:c>
      <x:c r="W199" s="26" t="n">
        <x:v>2</x:v>
      </x:c>
      <x:c r="X199" s="26" t="n">
        <x:v>3</x:v>
      </x:c>
      <x:c r="Y199" s="26" t="n">
        <x:v>4</x:v>
      </x:c>
      <x:c r="Z199" s="26" t="n">
        <x:v>2</x:v>
      </x:c>
      <x:c r="AA199" s="26" t="n">
        <x:v>1</x:v>
      </x:c>
      <x:c r="AB199" s="26" t="str">
        <x:v>CANDIDATE</x:v>
      </x:c>
      <x:c r="AC199" s="26" t="str">
        <x:v>NOT_DOWNLOADED</x:v>
      </x:c>
      <x:c r="AD199" s="26" t="str">
        <x:v>REQUIRES_ITEM_REVIEW</x:v>
      </x:c>
      <x:c r="AE199" s="26" t="str">
        <x:v>NOT_REVIEWED</x:v>
      </x:c>
      <x:c r="AF199" s="26" t="str">
        <x:v>NOT_TESTED</x:v>
      </x:c>
      <x:c r="AG199" s="26" t="str"/>
      <x:c r="AH199" s="26" t="str"/>
      <x:c r="AI199" s="26" t="str"/>
      <x:c r="AJ199" s="26" t="str"/>
      <x:c r="AK199" s="57" t="n">
        <x:f>MAX(0,MIN(100,ROUND(((Q199*'Overview'!$B$18)+(R199*'Overview'!$B$19)+(S199*'Overview'!$B$20)+(T199*'Overview'!$B$21)+(U199*'Overview'!$B$22)+(V199*'Overview'!$B$23)+(W199*'Overview'!$B$24)+(X199*'Overview'!$B$25)-(Y199*'Overview'!$B$26)-(Z199*'Overview'!$B$27)-(AA199*'Overview'!$B$28))/5*100,0)))</x:f>
        <x:v>55</x:v>
      </x:c>
      <x:c r="AL199" s="26" t="str">
        <x:v>[SUPPLEMENTAL_RESEARCH] Authority-level guidance; never use a few field indicators to declare water potable; verify exact item licence</x:v>
      </x:c>
    </x:row>
    <x:row r="200">
      <x:c r="A200" s="53" t="str">
        <x:v>SUP-LEA-027</x:v>
      </x:c>
      <x:c r="B200" s="53" t="str">
        <x:v>HEALTH</x:v>
      </x:c>
      <x:c r="C200" s="53" t="str">
        <x:v>Water Safety Plan Manual second edition and toolbox</x:v>
      </x:c>
      <x:c r="D200" s="53" t="str">
        <x:v>World Health Organization</x:v>
      </x:c>
      <x:c r="E200" s="53" t="str">
        <x:v>Практический источник для групп HEALTH</x:v>
      </x:c>
      <x:c r="F200" s="53" t="str">
        <x:v>https://www.who.int/publications/i/item/9789240067691</x:v>
      </x:c>
      <x:c r="G200" s="53" t="str">
        <x:v>https://www.who.int/publications/i/item/9789240067691</x:v>
      </x:c>
      <x:c r="H200" s="53" t="str">
        <x:v>https://www.who.int/copyright</x:v>
      </x:c>
      <x:c r="I200" s="53" t="str">
        <x:v>Designed for suppliers and regulators; household observations may feed a plan but verification and operational controls need competent operators</x:v>
      </x:c>
      <x:c r="J200" s="53" t="str">
        <x:v>EN; selected translations</x:v>
      </x:c>
      <x:c r="K200" s="53" t="str">
        <x:v>International/reference</x:v>
      </x:c>
      <x:c r="L200" s="53" t="str">
        <x:v>PDF; basic templates; toolbox ZIP</x:v>
      </x:c>
      <x:c r="M200" s="53" t="str">
        <x:v>Download manual and linked editable tools as one versioned package after per-file rights review</x:v>
      </x:c>
      <x:c r="N200" s="53" t="str">
        <x:v>L2</x:v>
      </x:c>
      <x:c r="O200" s="53" t="str">
        <x:v>S3_LICENSED_PROFESSIONAL</x:v>
      </x:c>
      <x:c r="P200" s="53" t="str">
        <x:v>ANNUAL_OR_EDITION</x:v>
      </x:c>
      <x:c r="Q200" s="53" t="n">
        <x:v>4</x:v>
      </x:c>
      <x:c r="R200" s="53" t="n">
        <x:v>4</x:v>
      </x:c>
      <x:c r="S200" s="53" t="n">
        <x:v>3</x:v>
      </x:c>
      <x:c r="T200" s="53" t="n">
        <x:v>4</x:v>
      </x:c>
      <x:c r="U200" s="53" t="n">
        <x:v>4</x:v>
      </x:c>
      <x:c r="V200" s="53" t="n">
        <x:v>3</x:v>
      </x:c>
      <x:c r="W200" s="53" t="n">
        <x:v>2</x:v>
      </x:c>
      <x:c r="X200" s="53" t="n">
        <x:v>3</x:v>
      </x:c>
      <x:c r="Y200" s="53" t="n">
        <x:v>4</x:v>
      </x:c>
      <x:c r="Z200" s="53" t="n">
        <x:v>2</x:v>
      </x:c>
      <x:c r="AA200" s="53" t="n">
        <x:v>1</x:v>
      </x:c>
      <x:c r="AB200" s="53" t="str">
        <x:v>CANDIDATE</x:v>
      </x:c>
      <x:c r="AC200" s="53" t="str">
        <x:v>NOT_DOWNLOADED</x:v>
      </x:c>
      <x:c r="AD200" s="53" t="str">
        <x:v>REQUIRES_ITEM_REVIEW</x:v>
      </x:c>
      <x:c r="AE200" s="53" t="str">
        <x:v>NOT_REVIEWED</x:v>
      </x:c>
      <x:c r="AF200" s="53" t="str">
        <x:v>NOT_TESTED</x:v>
      </x:c>
      <x:c r="AG200" s="53" t="str"/>
      <x:c r="AH200" s="53" t="str"/>
      <x:c r="AI200" s="53" t="str"/>
      <x:c r="AJ200" s="53" t="str"/>
      <x:c r="AK200" s="57" t="n">
        <x:f>MAX(0,MIN(100,ROUND(((Q200*'Overview'!$B$18)+(R200*'Overview'!$B$19)+(S200*'Overview'!$B$20)+(T200*'Overview'!$B$21)+(U200*'Overview'!$B$22)+(V200*'Overview'!$B$23)+(W200*'Overview'!$B$24)+(X200*'Overview'!$B$25)-(Y200*'Overview'!$B$26)-(Z200*'Overview'!$B$27)-(AA200*'Overview'!$B$28))/5*100,0)))</x:f>
        <x:v>55</x:v>
      </x:c>
      <x:c r="AL200" s="53" t="str">
        <x:v>[SUPPLEMENTAL_RESEARCH] Designed for suppliers and regulators; household observations may feed a plan but verification and operational controls need competent operators</x:v>
      </x:c>
    </x:row>
    <x:row r="201">
      <x:c r="A201" s="26" t="str">
        <x:v>SUP-LEA-028</x:v>
      </x:c>
      <x:c r="B201" s="26" t="str">
        <x:v>HEALTH</x:v>
      </x:c>
      <x:c r="C201" s="26" t="str">
        <x:v>Sanitary inspection packages for small water supplies</x:v>
      </x:c>
      <x:c r="D201" s="26" t="str">
        <x:v>World Health Organization</x:v>
      </x:c>
      <x:c r="E201" s="26" t="str">
        <x:v>Практический источник для групп HEALTH</x:v>
      </x:c>
      <x:c r="F201" s="26" t="str">
        <x:v>https://www.who.int/publications/i/item/9789240089006</x:v>
      </x:c>
      <x:c r="G201" s="26" t="str">
        <x:v>https://www.who.int/publications/i/item/9789240089006</x:v>
      </x:c>
      <x:c r="H201" s="26" t="str">
        <x:v>https://www.who.int/copyright</x:v>
      </x:c>
      <x:c r="I201" s="26" t="str">
        <x:v>Visual risk observation is safe from outside; inspection does not replace laboratory testing; authority surveillance or repair expertise</x:v>
      </x:c>
      <x:c r="J201" s="26" t="str">
        <x:v>EN; selected translations</x:v>
      </x:c>
      <x:c r="K201" s="26" t="str">
        <x:v>International/reference</x:v>
      </x:c>
      <x:c r="L201" s="26" t="str">
        <x:v>PDF; editable inspection forms</x:v>
      </x:c>
      <x:c r="M201" s="26" t="str">
        <x:v>Download publication and only the linked official form files; record licence for each</x:v>
      </x:c>
      <x:c r="N201" s="26" t="str">
        <x:v>L2</x:v>
      </x:c>
      <x:c r="O201" s="26" t="str">
        <x:v>S2_TRAINED_SUPERVISED</x:v>
      </x:c>
      <x:c r="P201" s="26" t="str">
        <x:v>ANNUAL_OR_EDITION</x:v>
      </x:c>
      <x:c r="Q201" s="26" t="n">
        <x:v>4</x:v>
      </x:c>
      <x:c r="R201" s="26" t="n">
        <x:v>4</x:v>
      </x:c>
      <x:c r="S201" s="26" t="n">
        <x:v>3</x:v>
      </x:c>
      <x:c r="T201" s="26" t="n">
        <x:v>4</x:v>
      </x:c>
      <x:c r="U201" s="26" t="n">
        <x:v>4</x:v>
      </x:c>
      <x:c r="V201" s="26" t="n">
        <x:v>3</x:v>
      </x:c>
      <x:c r="W201" s="26" t="n">
        <x:v>2</x:v>
      </x:c>
      <x:c r="X201" s="26" t="n">
        <x:v>3</x:v>
      </x:c>
      <x:c r="Y201" s="26" t="n">
        <x:v>2</x:v>
      </x:c>
      <x:c r="Z201" s="26" t="n">
        <x:v>2</x:v>
      </x:c>
      <x:c r="AA201" s="26" t="n">
        <x:v>1</x:v>
      </x:c>
      <x:c r="AB201" s="26" t="str">
        <x:v>CANDIDATE</x:v>
      </x:c>
      <x:c r="AC201" s="26" t="str">
        <x:v>NOT_DOWNLOADED</x:v>
      </x:c>
      <x:c r="AD201" s="26" t="str">
        <x:v>REQUIRES_ITEM_REVIEW</x:v>
      </x:c>
      <x:c r="AE201" s="26" t="str">
        <x:v>NOT_REVIEWED</x:v>
      </x:c>
      <x:c r="AF201" s="26" t="str">
        <x:v>NOT_TESTED</x:v>
      </x:c>
      <x:c r="AG201" s="26" t="str"/>
      <x:c r="AH201" s="26" t="str"/>
      <x:c r="AI201" s="26" t="str"/>
      <x:c r="AJ201" s="26" t="str"/>
      <x:c r="AK201" s="57" t="n">
        <x:f>MAX(0,MIN(100,ROUND(((Q201*'Overview'!$B$18)+(R201*'Overview'!$B$19)+(S201*'Overview'!$B$20)+(T201*'Overview'!$B$21)+(U201*'Overview'!$B$22)+(V201*'Overview'!$B$23)+(W201*'Overview'!$B$24)+(X201*'Overview'!$B$25)-(Y201*'Overview'!$B$26)-(Z201*'Overview'!$B$27)-(AA201*'Overview'!$B$28))/5*100,0)))</x:f>
        <x:v>61</x:v>
      </x:c>
      <x:c r="AL201" s="26" t="str">
        <x:v>[SUPPLEMENTAL_RESEARCH] Visual risk observation is safe from outside; inspection does not replace laboratory testing; authority surveillance or repair expertise</x:v>
      </x:c>
    </x:row>
    <x:row r="202">
      <x:c r="A202" s="53" t="str">
        <x:v>SUP-LEA-029</x:v>
      </x:c>
      <x:c r="B202" s="53" t="str">
        <x:v>HEALTH|OPS</x:v>
      </x:c>
      <x:c r="C202" s="53" t="str">
        <x:v>Guidelines for drinking-water quality: small water supplies</x:v>
      </x:c>
      <x:c r="D202" s="53" t="str">
        <x:v>World Health Organization</x:v>
      </x:c>
      <x:c r="E202" s="53" t="str">
        <x:v>Практический источник для групп HEALTH|OPS</x:v>
      </x:c>
      <x:c r="F202" s="53" t="str">
        <x:v>https://www.who.int/publications/i/item/9789240088740</x:v>
      </x:c>
      <x:c r="G202" s="53" t="str">
        <x:v>https://www.who.int/publications/i/item/9789240088740</x:v>
      </x:c>
      <x:c r="H202" s="53" t="str">
        <x:v>https://creativecommons.org/licenses/by-nc-sa/3.0/igo/</x:v>
      </x:c>
      <x:c r="I202" s="53" t="str">
        <x:v>Explicit CC BY-NC-SA 3.0 IGO; adaptation/translation requires disclaimer; regulatory and surveillance decisions remain professional</x:v>
      </x:c>
      <x:c r="J202" s="53" t="str">
        <x:v>EN; executive summary in RU; FR; ES; AR</x:v>
      </x:c>
      <x:c r="K202" s="53" t="str">
        <x:v>International/reference</x:v>
      </x:c>
      <x:c r="L202" s="53" t="str">
        <x:v>PDF; summary sheets</x:v>
      </x:c>
      <x:c r="M202" s="53" t="str">
        <x:v>Download exact official PDF and available official summaries; preserve licence and binding-language statement</x:v>
      </x:c>
      <x:c r="N202" s="53" t="str">
        <x:v>L1</x:v>
      </x:c>
      <x:c r="O202" s="53" t="str">
        <x:v>S3_LICENSED_PROFESSIONAL</x:v>
      </x:c>
      <x:c r="P202" s="53" t="str">
        <x:v>ANNUAL_OR_EDITION</x:v>
      </x:c>
      <x:c r="Q202" s="53" t="n">
        <x:v>5</x:v>
      </x:c>
      <x:c r="R202" s="53" t="n">
        <x:v>4</x:v>
      </x:c>
      <x:c r="S202" s="53" t="n">
        <x:v>4</x:v>
      </x:c>
      <x:c r="T202" s="53" t="n">
        <x:v>4</x:v>
      </x:c>
      <x:c r="U202" s="53" t="n">
        <x:v>4</x:v>
      </x:c>
      <x:c r="V202" s="53" t="n">
        <x:v>3</x:v>
      </x:c>
      <x:c r="W202" s="53" t="n">
        <x:v>4</x:v>
      </x:c>
      <x:c r="X202" s="53" t="n">
        <x:v>3</x:v>
      </x:c>
      <x:c r="Y202" s="53" t="n">
        <x:v>4</x:v>
      </x:c>
      <x:c r="Z202" s="53" t="n">
        <x:v>2</x:v>
      </x:c>
      <x:c r="AA202" s="53" t="n">
        <x:v>1</x:v>
      </x:c>
      <x:c r="AB202" s="53" t="str">
        <x:v>CANDIDATE</x:v>
      </x:c>
      <x:c r="AC202" s="53" t="str">
        <x:v>NOT_DOWNLOADED</x:v>
      </x:c>
      <x:c r="AD202" s="53" t="str">
        <x:v>REQUIRES_ITEM_REVIEW</x:v>
      </x:c>
      <x:c r="AE202" s="53" t="str">
        <x:v>NOT_REVIEWED</x:v>
      </x:c>
      <x:c r="AF202" s="53" t="str">
        <x:v>NOT_TESTED</x:v>
      </x:c>
      <x:c r="AG202" s="53" t="str"/>
      <x:c r="AH202" s="53" t="str"/>
      <x:c r="AI202" s="53" t="str"/>
      <x:c r="AJ202" s="53" t="str"/>
      <x:c r="AK202" s="57" t="n">
        <x:f>MAX(0,MIN(100,ROUND(((Q202*'Overview'!$B$18)+(R202*'Overview'!$B$19)+(S202*'Overview'!$B$20)+(T202*'Overview'!$B$21)+(U202*'Overview'!$B$22)+(V202*'Overview'!$B$23)+(W202*'Overview'!$B$24)+(X202*'Overview'!$B$25)-(Y202*'Overview'!$B$26)-(Z202*'Overview'!$B$27)-(AA202*'Overview'!$B$28))/5*100,0)))</x:f>
        <x:v>65</x:v>
      </x:c>
      <x:c r="AL202" s="53" t="str">
        <x:v>[SUPPLEMENTAL_RESEARCH] Explicit CC BY-NC-SA 3.0 IGO; adaptation/translation requires disclaimer; regulatory and surveillance decisions remain professional</x:v>
      </x:c>
    </x:row>
    <x:row r="203">
      <x:c r="A203" s="26" t="str">
        <x:v>SUP-LEA-030</x:v>
      </x:c>
      <x:c r="B203" s="26" t="str">
        <x:v>HEALTH</x:v>
      </x:c>
      <x:c r="C203" s="26" t="str">
        <x:v>Technical Notes on WASH in Emergencies</x:v>
      </x:c>
      <x:c r="D203" s="26" t="str">
        <x:v>World Health Organization and WEDC</x:v>
      </x:c>
      <x:c r="E203" s="26" t="str">
        <x:v>Практический источник для групп HEALTH</x:v>
      </x:c>
      <x:c r="F203" s="26" t="str">
        <x:v>https://www.who.int/teams/environment-climate-change-and-health/water-sanitation-and-health/environmental-health-in-emergencies/technical-notes-on-wash-in-emergencies</x:v>
      </x:c>
      <x:c r="G203" s="26" t="str">
        <x:v>https://www.who.int/teams/environment-climate-change-and-health/water-sanitation-and-health/environmental-health-in-emergencies/technical-notes-on-wash-in-emergencies</x:v>
      </x:c>
      <x:c r="H203" s="26" t="str">
        <x:v>https://www.who.int/copyright</x:v>
      </x:c>
      <x:c r="I203" s="26" t="str">
        <x:v>Several older notes are all-rights-reserved; free access is not redistribution permission; chemical dosing and infrastructure work need strict context</x:v>
      </x:c>
      <x:c r="J203" s="26" t="str">
        <x:v>EN; some translations</x:v>
      </x:c>
      <x:c r="K203" s="26" t="str">
        <x:v>International/reference</x:v>
      </x:c>
      <x:c r="L203" s="26" t="str">
        <x:v>PDF notes</x:v>
      </x:c>
      <x:c r="M203" s="26" t="str">
        <x:v>Download only exact official PDFs whose individual copyright notice permits intended offline use</x:v>
      </x:c>
      <x:c r="N203" s="26" t="str">
        <x:v>L3</x:v>
      </x:c>
      <x:c r="O203" s="26" t="str">
        <x:v>S4_REFERENCE_ONLY_PROHIBITED_HOUSEHOLD</x:v>
      </x:c>
      <x:c r="P203" s="26" t="str">
        <x:v>ANNUAL_OR_EDITION</x:v>
      </x:c>
      <x:c r="Q203" s="26" t="n">
        <x:v>3</x:v>
      </x:c>
      <x:c r="R203" s="26" t="n">
        <x:v>4</x:v>
      </x:c>
      <x:c r="S203" s="26" t="n">
        <x:v>3</x:v>
      </x:c>
      <x:c r="T203" s="26" t="n">
        <x:v>4</x:v>
      </x:c>
      <x:c r="U203" s="26" t="n">
        <x:v>3</x:v>
      </x:c>
      <x:c r="V203" s="26" t="n">
        <x:v>3</x:v>
      </x:c>
      <x:c r="W203" s="26" t="n">
        <x:v>2</x:v>
      </x:c>
      <x:c r="X203" s="26" t="n">
        <x:v>3</x:v>
      </x:c>
      <x:c r="Y203" s="26" t="n">
        <x:v>5</x:v>
      </x:c>
      <x:c r="Z203" s="26" t="n">
        <x:v>2</x:v>
      </x:c>
      <x:c r="AA203" s="26" t="n">
        <x:v>3</x:v>
      </x:c>
      <x:c r="AB203" s="26" t="str">
        <x:v>CANDIDATE</x:v>
      </x:c>
      <x:c r="AC203" s="26" t="str">
        <x:v>NOT_DOWNLOADED</x:v>
      </x:c>
      <x:c r="AD203" s="26" t="str">
        <x:v>REQUIRES_ITEM_REVIEW</x:v>
      </x:c>
      <x:c r="AE203" s="26" t="str">
        <x:v>NOT_REVIEWED</x:v>
      </x:c>
      <x:c r="AF203" s="26" t="str">
        <x:v>NOT_TESTED</x:v>
      </x:c>
      <x:c r="AG203" s="26" t="str"/>
      <x:c r="AH203" s="26" t="str"/>
      <x:c r="AI203" s="26" t="str"/>
      <x:c r="AJ203" s="26" t="str"/>
      <x:c r="AK203" s="57" t="n">
        <x:f>MAX(0,MIN(100,ROUND(((Q203*'Overview'!$B$18)+(R203*'Overview'!$B$19)+(S203*'Overview'!$B$20)+(T203*'Overview'!$B$21)+(U203*'Overview'!$B$22)+(V203*'Overview'!$B$23)+(W203*'Overview'!$B$24)+(X203*'Overview'!$B$25)-(Y203*'Overview'!$B$26)-(Z203*'Overview'!$B$27)-(AA203*'Overview'!$B$28))/5*100,0)))</x:f>
        <x:v>43</x:v>
      </x:c>
      <x:c r="AL203" s="26" t="str">
        <x:v>[SUPPLEMENTAL_RESEARCH] Several older notes are all-rights-reserved; free access is not redistribution permission; chemical dosing and infrastructure work need strict context</x:v>
      </x:c>
    </x:row>
    <x:row r="204">
      <x:c r="A204" s="53" t="str">
        <x:v>SUP-LEA-031</x:v>
      </x:c>
      <x:c r="B204" s="53" t="str">
        <x:v>HEALTH</x:v>
      </x:c>
      <x:c r="C204" s="53" t="str">
        <x:v>WHO International Scheme to Evaluate Household Water Treatment Technologies reports</x:v>
      </x:c>
      <x:c r="D204" s="53" t="str">
        <x:v>World Health Organization</x:v>
      </x:c>
      <x:c r="E204" s="53" t="str">
        <x:v>Практический источник для групп HEALTH</x:v>
      </x:c>
      <x:c r="F204" s="53" t="str">
        <x:v>https://www.who.int/tools/international-scheme-to-evaluate-household-water-treatment-technologies</x:v>
      </x:c>
      <x:c r="G204" s="53" t="str">
        <x:v>https://www.who.int/tools/international-scheme-to-evaluate-household-water-treatment-technologies</x:v>
      </x:c>
      <x:c r="H204" s="53" t="str">
        <x:v>https://www.who.int/copyright</x:v>
      </x:c>
      <x:c r="I204" s="53" t="str">
        <x:v>Evaluation performance is not product endorsement; certification; guarantee or replacement for local approval and correct use</x:v>
      </x:c>
      <x:c r="J204" s="53" t="str">
        <x:v>EN</x:v>
      </x:c>
      <x:c r="K204" s="53" t="str">
        <x:v>International/reference</x:v>
      </x:c>
      <x:c r="L204" s="53" t="str">
        <x:v>PDF evaluation reports; performance tables</x:v>
      </x:c>
      <x:c r="M204" s="53" t="str">
        <x:v>Download exact official round report and product-specific annexes with item licence</x:v>
      </x:c>
      <x:c r="N204" s="53" t="str">
        <x:v>L2</x:v>
      </x:c>
      <x:c r="O204" s="53" t="str">
        <x:v>S2_TRAINED_SUPERVISED</x:v>
      </x:c>
      <x:c r="P204" s="53" t="str">
        <x:v>ANNUAL_OR_EDITION</x:v>
      </x:c>
      <x:c r="Q204" s="53" t="n">
        <x:v>4</x:v>
      </x:c>
      <x:c r="R204" s="53" t="n">
        <x:v>4</x:v>
      </x:c>
      <x:c r="S204" s="53" t="n">
        <x:v>3</x:v>
      </x:c>
      <x:c r="T204" s="53" t="n">
        <x:v>4</x:v>
      </x:c>
      <x:c r="U204" s="53" t="n">
        <x:v>4</x:v>
      </x:c>
      <x:c r="V204" s="53" t="n">
        <x:v>3</x:v>
      </x:c>
      <x:c r="W204" s="53" t="n">
        <x:v>2</x:v>
      </x:c>
      <x:c r="X204" s="53" t="n">
        <x:v>3</x:v>
      </x:c>
      <x:c r="Y204" s="53" t="n">
        <x:v>2</x:v>
      </x:c>
      <x:c r="Z204" s="53" t="n">
        <x:v>2</x:v>
      </x:c>
      <x:c r="AA204" s="53" t="n">
        <x:v>1</x:v>
      </x:c>
      <x:c r="AB204" s="53" t="str">
        <x:v>CANDIDATE</x:v>
      </x:c>
      <x:c r="AC204" s="53" t="str">
        <x:v>NOT_DOWNLOADED</x:v>
      </x:c>
      <x:c r="AD204" s="53" t="str">
        <x:v>REQUIRES_ITEM_REVIEW</x:v>
      </x:c>
      <x:c r="AE204" s="53" t="str">
        <x:v>NOT_REVIEWED</x:v>
      </x:c>
      <x:c r="AF204" s="53" t="str">
        <x:v>NOT_TESTED</x:v>
      </x:c>
      <x:c r="AG204" s="53" t="str"/>
      <x:c r="AH204" s="53" t="str"/>
      <x:c r="AI204" s="53" t="str"/>
      <x:c r="AJ204" s="53" t="str"/>
      <x:c r="AK204" s="57" t="n">
        <x:f>MAX(0,MIN(100,ROUND(((Q204*'Overview'!$B$18)+(R204*'Overview'!$B$19)+(S204*'Overview'!$B$20)+(T204*'Overview'!$B$21)+(U204*'Overview'!$B$22)+(V204*'Overview'!$B$23)+(W204*'Overview'!$B$24)+(X204*'Overview'!$B$25)-(Y204*'Overview'!$B$26)-(Z204*'Overview'!$B$27)-(AA204*'Overview'!$B$28))/5*100,0)))</x:f>
        <x:v>61</x:v>
      </x:c>
      <x:c r="AL204" s="53" t="str">
        <x:v>[SUPPLEMENTAL_RESEARCH] Evaluation performance is not product endorsement; certification; guarantee or replacement for local approval and correct use</x:v>
      </x:c>
    </x:row>
    <x:row r="205">
      <x:c r="A205" s="26" t="str">
        <x:v>SUP-LEA-032</x:v>
      </x:c>
      <x:c r="B205" s="26" t="str">
        <x:v>HEALTH</x:v>
      </x:c>
      <x:c r="C205" s="26" t="str">
        <x:v>Emergency Disinfection of Drinking Water</x:v>
      </x:c>
      <x:c r="D205" s="26" t="str">
        <x:v>United States Environmental Protection Agency</x:v>
      </x:c>
      <x:c r="E205" s="26" t="str">
        <x:v>Практический источник для групп HEALTH</x:v>
      </x:c>
      <x:c r="F205" s="26" t="str">
        <x:v>https://www.epa.gov/ground-water-and-drinking-water/emergency-disinfection-drinking-water-0</x:v>
      </x:c>
      <x:c r="G205" s="26" t="str">
        <x:v>https://www.epa.gov/ground-water-and-drinking-water/emergency-disinfection-drinking-water-0</x:v>
      </x:c>
      <x:c r="H205" s="26" t="str">
        <x:v>https://www.epa.gov/web-policies-and-procedures/epa-disclaimers</x:v>
      </x:c>
      <x:c r="I205" s="26" t="str">
        <x:v>Use only for stated emergency conditions and exact product concentration; never mix disinfectants; local Portuguese alerts and labels control</x:v>
      </x:c>
      <x:c r="J205" s="26" t="str">
        <x:v>EN; ES where offered</x:v>
      </x:c>
      <x:c r="K205" s="26" t="str">
        <x:v>International/reference</x:v>
      </x:c>
      <x:c r="L205" s="26" t="str">
        <x:v>HTML; PDF</x:v>
      </x:c>
      <x:c r="M205" s="26" t="str">
        <x:v>Save official printable/PDF version; retain publication date and US jurisdiction note</x:v>
      </x:c>
      <x:c r="N205" s="26" t="str">
        <x:v>L2</x:v>
      </x:c>
      <x:c r="O205" s="26" t="str">
        <x:v>S3_LICENSED_PROFESSIONAL</x:v>
      </x:c>
      <x:c r="P205" s="26" t="str">
        <x:v>ANNUAL_OR_EDITION</x:v>
      </x:c>
      <x:c r="Q205" s="26" t="n">
        <x:v>4</x:v>
      </x:c>
      <x:c r="R205" s="26" t="n">
        <x:v>4</x:v>
      </x:c>
      <x:c r="S205" s="26" t="n">
        <x:v>3</x:v>
      </x:c>
      <x:c r="T205" s="26" t="n">
        <x:v>4</x:v>
      </x:c>
      <x:c r="U205" s="26" t="n">
        <x:v>4</x:v>
      </x:c>
      <x:c r="V205" s="26" t="n">
        <x:v>3</x:v>
      </x:c>
      <x:c r="W205" s="26" t="n">
        <x:v>2</x:v>
      </x:c>
      <x:c r="X205" s="26" t="n">
        <x:v>3</x:v>
      </x:c>
      <x:c r="Y205" s="26" t="n">
        <x:v>4</x:v>
      </x:c>
      <x:c r="Z205" s="26" t="n">
        <x:v>2</x:v>
      </x:c>
      <x:c r="AA205" s="26" t="n">
        <x:v>1</x:v>
      </x:c>
      <x:c r="AB205" s="26" t="str">
        <x:v>CANDIDATE</x:v>
      </x:c>
      <x:c r="AC205" s="26" t="str">
        <x:v>NOT_DOWNLOADED</x:v>
      </x:c>
      <x:c r="AD205" s="26" t="str">
        <x:v>REQUIRES_ITEM_REVIEW</x:v>
      </x:c>
      <x:c r="AE205" s="26" t="str">
        <x:v>NOT_REVIEWED</x:v>
      </x:c>
      <x:c r="AF205" s="26" t="str">
        <x:v>NOT_TESTED</x:v>
      </x:c>
      <x:c r="AG205" s="26" t="str"/>
      <x:c r="AH205" s="26" t="str"/>
      <x:c r="AI205" s="26" t="str"/>
      <x:c r="AJ205" s="26" t="str"/>
      <x:c r="AK205" s="57" t="n">
        <x:f>MAX(0,MIN(100,ROUND(((Q205*'Overview'!$B$18)+(R205*'Overview'!$B$19)+(S205*'Overview'!$B$20)+(T205*'Overview'!$B$21)+(U205*'Overview'!$B$22)+(V205*'Overview'!$B$23)+(W205*'Overview'!$B$24)+(X205*'Overview'!$B$25)-(Y205*'Overview'!$B$26)-(Z205*'Overview'!$B$27)-(AA205*'Overview'!$B$28))/5*100,0)))</x:f>
        <x:v>55</x:v>
      </x:c>
      <x:c r="AL205" s="26" t="str">
        <x:v>[SUPPLEMENTAL_RESEARCH] Use only for stated emergency conditions and exact product concentration; never mix disinfectants; local Portuguese alerts and labels control</x:v>
      </x:c>
    </x:row>
    <x:row r="206">
      <x:c r="A206" s="53" t="str">
        <x:v>SUP-LEA-033</x:v>
      </x:c>
      <x:c r="B206" s="53" t="str">
        <x:v>EARTH|PORT</x:v>
      </x:c>
      <x:c r="C206" s="53" t="str">
        <x:v>SNIRH Portugal hydrological information metadata</x:v>
      </x:c>
      <x:c r="D206" s="53" t="str">
        <x:v>Agência Portuguesa do Ambiente</x:v>
      </x:c>
      <x:c r="E206" s="53" t="str">
        <x:v>Практический источник для групп EARTH|PORT</x:v>
      </x:c>
      <x:c r="F206" s="53" t="str">
        <x:v>https://snirh.apambiente.pt/</x:v>
      </x:c>
      <x:c r="G206" s="53" t="str">
        <x:v>https://snirh.apambiente.pt/</x:v>
      </x:c>
      <x:c r="H206" s="53" t="str">
        <x:v>https://snirh.apambiente.pt/</x:v>
      </x:c>
      <x:c r="I206" s="53" t="str">
        <x:v>SNIRH homepage permits use with source attribution; still DO_NOT_INGEST as a bulk package until exact export; version and attribution metadata are proven; observations are time-sensitive and do not certify drinking-water safety</x:v>
      </x:c>
      <x:c r="J206" s="53" t="str">
        <x:v>PT</x:v>
      </x:c>
      <x:c r="K206" s="53" t="str">
        <x:v>Portugal/EU</x:v>
      </x:c>
      <x:c r="L206" s="53" t="str">
        <x:v>Metadata; interactive tables; maps; possible exports</x:v>
      </x:c>
      <x:c r="M206" s="53" t="str">
        <x:v>Keep canonical URL and dataset inventory only until an official stable versioned export is proven</x:v>
      </x:c>
      <x:c r="N206" s="53" t="str">
        <x:v>L3</x:v>
      </x:c>
      <x:c r="O206" s="53" t="str">
        <x:v>S4_REFERENCE_ONLY_PROHIBITED_HOUSEHOLD</x:v>
      </x:c>
      <x:c r="P206" s="53" t="str">
        <x:v>ANNUAL_OR_EDITION</x:v>
      </x:c>
      <x:c r="Q206" s="53" t="n">
        <x:v>3</x:v>
      </x:c>
      <x:c r="R206" s="53" t="n">
        <x:v>4</x:v>
      </x:c>
      <x:c r="S206" s="53" t="n">
        <x:v>3</x:v>
      </x:c>
      <x:c r="T206" s="53" t="n">
        <x:v>4</x:v>
      </x:c>
      <x:c r="U206" s="53" t="n">
        <x:v>3</x:v>
      </x:c>
      <x:c r="V206" s="53" t="n">
        <x:v>3</x:v>
      </x:c>
      <x:c r="W206" s="53" t="n">
        <x:v>4</x:v>
      </x:c>
      <x:c r="X206" s="53" t="n">
        <x:v>3</x:v>
      </x:c>
      <x:c r="Y206" s="53" t="n">
        <x:v>5</x:v>
      </x:c>
      <x:c r="Z206" s="53" t="n">
        <x:v>2</x:v>
      </x:c>
      <x:c r="AA206" s="53" t="n">
        <x:v>3</x:v>
      </x:c>
      <x:c r="AB206" s="53" t="str">
        <x:v>CANDIDATE</x:v>
      </x:c>
      <x:c r="AC206" s="53" t="str">
        <x:v>NOT_DOWNLOADED</x:v>
      </x:c>
      <x:c r="AD206" s="53" t="str">
        <x:v>REQUIRES_ITEM_REVIEW</x:v>
      </x:c>
      <x:c r="AE206" s="53" t="str">
        <x:v>NOT_REVIEWED</x:v>
      </x:c>
      <x:c r="AF206" s="53" t="str">
        <x:v>NOT_TESTED</x:v>
      </x:c>
      <x:c r="AG206" s="53" t="str"/>
      <x:c r="AH206" s="53" t="str"/>
      <x:c r="AI206" s="53" t="str"/>
      <x:c r="AJ206" s="53" t="str"/>
      <x:c r="AK206" s="57" t="n">
        <x:f>MAX(0,MIN(100,ROUND(((Q206*'Overview'!$B$18)+(R206*'Overview'!$B$19)+(S206*'Overview'!$B$20)+(T206*'Overview'!$B$21)+(U206*'Overview'!$B$22)+(V206*'Overview'!$B$23)+(W206*'Overview'!$B$24)+(X206*'Overview'!$B$25)-(Y206*'Overview'!$B$26)-(Z206*'Overview'!$B$27)-(AA206*'Overview'!$B$28))/5*100,0)))</x:f>
        <x:v>45</x:v>
      </x:c>
      <x:c r="AL206" s="53" t="str">
        <x:v>[SUPPLEMENTAL_RESEARCH] SNIRH homepage permits use with source attribution; still DO_NOT_INGEST as a bulk package until exact export; version and attribution metadata are proven; observations are time-sensitive and do not certify drinking-water safety</x:v>
      </x:c>
    </x:row>
    <x:row r="207">
      <x:c r="A207" s="26" t="str">
        <x:v>SUP-LEA-034</x:v>
      </x:c>
      <x:c r="B207" s="26" t="str">
        <x:v>HEALTH|AGRI</x:v>
      </x:c>
      <x:c r="C207" s="26" t="str">
        <x:v>USDA Complete Guide to Home Canning</x:v>
      </x:c>
      <x:c r="D207" s="26" t="str">
        <x:v>United States Department of Agriculture with NCHFP hosting</x:v>
      </x:c>
      <x:c r="E207" s="26" t="str">
        <x:v>Практический источник для групп HEALTH|AGRI</x:v>
      </x:c>
      <x:c r="F207" s="26" t="str">
        <x:v>https://www.nal.usda.gov/exhibits/ipd/canning/resources</x:v>
      </x:c>
      <x:c r="G207" s="26" t="str">
        <x:v>https://www.nal.usda.gov/exhibits/ipd/canning/resources</x:v>
      </x:c>
      <x:c r="H207" s="26" t="str">
        <x:v>https://www.usda.gov/about-usda/general-information/policies-and-links/digital/copyright-policy</x:v>
      </x:c>
      <x:c r="I207" s="26" t="str">
        <x:v>Only exact tested recipes; jar sizes; altitude corrections; processing times and pressure; no substitutions; suspect jars are discarded without tasting</x:v>
      </x:c>
      <x:c r="J207" s="26" t="str">
        <x:v>EN</x:v>
      </x:c>
      <x:c r="K207" s="26" t="str">
        <x:v>International/reference</x:v>
      </x:c>
      <x:c r="L207" s="26" t="str">
        <x:v>PDF guides by chapter</x:v>
      </x:c>
      <x:c r="M207" s="26" t="str">
        <x:v>Download exact USDA editions from official USDA/NCHFP references; preserve revision year and source</x:v>
      </x:c>
      <x:c r="N207" s="26" t="str">
        <x:v>L1</x:v>
      </x:c>
      <x:c r="O207" s="26" t="str">
        <x:v>S2_TRAINED_SUPERVISED</x:v>
      </x:c>
      <x:c r="P207" s="26" t="str">
        <x:v>ANNUAL_OR_EDITION</x:v>
      </x:c>
      <x:c r="Q207" s="26" t="n">
        <x:v>5</x:v>
      </x:c>
      <x:c r="R207" s="26" t="n">
        <x:v>4</x:v>
      </x:c>
      <x:c r="S207" s="26" t="n">
        <x:v>4</x:v>
      </x:c>
      <x:c r="T207" s="26" t="n">
        <x:v>4</x:v>
      </x:c>
      <x:c r="U207" s="26" t="n">
        <x:v>4</x:v>
      </x:c>
      <x:c r="V207" s="26" t="n">
        <x:v>3</x:v>
      </x:c>
      <x:c r="W207" s="26" t="n">
        <x:v>2</x:v>
      </x:c>
      <x:c r="X207" s="26" t="n">
        <x:v>3</x:v>
      </x:c>
      <x:c r="Y207" s="26" t="n">
        <x:v>2</x:v>
      </x:c>
      <x:c r="Z207" s="26" t="n">
        <x:v>2</x:v>
      </x:c>
      <x:c r="AA207" s="26" t="n">
        <x:v>1</x:v>
      </x:c>
      <x:c r="AB207" s="26" t="str">
        <x:v>CANDIDATE</x:v>
      </x:c>
      <x:c r="AC207" s="26" t="str">
        <x:v>NOT_DOWNLOADED</x:v>
      </x:c>
      <x:c r="AD207" s="26" t="str">
        <x:v>REQUIRES_ITEM_REVIEW</x:v>
      </x:c>
      <x:c r="AE207" s="26" t="str">
        <x:v>NOT_REVIEWED</x:v>
      </x:c>
      <x:c r="AF207" s="26" t="str">
        <x:v>NOT_TESTED</x:v>
      </x:c>
      <x:c r="AG207" s="26" t="str"/>
      <x:c r="AH207" s="26" t="str"/>
      <x:c r="AI207" s="26" t="str"/>
      <x:c r="AJ207" s="26" t="str"/>
      <x:c r="AK207" s="57" t="n">
        <x:f>MAX(0,MIN(100,ROUND(((Q207*'Overview'!$B$18)+(R207*'Overview'!$B$19)+(S207*'Overview'!$B$20)+(T207*'Overview'!$B$21)+(U207*'Overview'!$B$22)+(V207*'Overview'!$B$23)+(W207*'Overview'!$B$24)+(X207*'Overview'!$B$25)-(Y207*'Overview'!$B$26)-(Z207*'Overview'!$B$27)-(AA207*'Overview'!$B$28))/5*100,0)))</x:f>
        <x:v>69</x:v>
      </x:c>
      <x:c r="AL207" s="26" t="str">
        <x:v>[SUPPLEMENTAL_RESEARCH] Only exact tested recipes; jar sizes; altitude corrections; processing times and pressure; no substitutions; suspect jars are discarded without tasting</x:v>
      </x:c>
    </x:row>
    <x:row r="208">
      <x:c r="A208" s="53" t="str">
        <x:v>SUP-LEA-035</x:v>
      </x:c>
      <x:c r="B208" s="53" t="str">
        <x:v>HEALTH|ARCH</x:v>
      </x:c>
      <x:c r="C208" s="53" t="str">
        <x:v>National Center for Home Food Preservation selected current corpus</x:v>
      </x:c>
      <x:c r="D208" s="53" t="str">
        <x:v>National Center for Home Food Preservation University of Georgia</x:v>
      </x:c>
      <x:c r="E208" s="53" t="str">
        <x:v>Практический источник для групп HEALTH|ARCH</x:v>
      </x:c>
      <x:c r="F208" s="53" t="str">
        <x:v>https://nchfp.uga.edu/</x:v>
      </x:c>
      <x:c r="G208" s="53" t="str">
        <x:v>https://nchfp.uga.edu/</x:v>
      </x:c>
      <x:c r="H208" s="53" t="str">
        <x:v>https://nchfp.uga.edu/</x:v>
      </x:c>
      <x:c r="I208" s="53" t="str">
        <x:v>NCHFP is authoritative for its material but not all wrappers/images are US public domain; preservation procedures are version-sensitive</x:v>
      </x:c>
      <x:c r="J208" s="53" t="str">
        <x:v>EN</x:v>
      </x:c>
      <x:c r="K208" s="53" t="str">
        <x:v>International/reference</x:v>
      </x:c>
      <x:c r="L208" s="53" t="str">
        <x:v>HTML; PDF</x:v>
      </x:c>
      <x:c r="M208" s="53" t="str">
        <x:v>Create a dated WARC/PDF selection only after page-level rights confirmation and link validation</x:v>
      </x:c>
      <x:c r="N208" s="53" t="str">
        <x:v>L2</x:v>
      </x:c>
      <x:c r="O208" s="53" t="str">
        <x:v>S2_TRAINED_SUPERVISED</x:v>
      </x:c>
      <x:c r="P208" s="53" t="str">
        <x:v>ANNUAL_OR_EDITION</x:v>
      </x:c>
      <x:c r="Q208" s="53" t="n">
        <x:v>4</x:v>
      </x:c>
      <x:c r="R208" s="53" t="n">
        <x:v>4</x:v>
      </x:c>
      <x:c r="S208" s="53" t="n">
        <x:v>3</x:v>
      </x:c>
      <x:c r="T208" s="53" t="n">
        <x:v>4</x:v>
      </x:c>
      <x:c r="U208" s="53" t="n">
        <x:v>4</x:v>
      </x:c>
      <x:c r="V208" s="53" t="n">
        <x:v>3</x:v>
      </x:c>
      <x:c r="W208" s="53" t="n">
        <x:v>2</x:v>
      </x:c>
      <x:c r="X208" s="53" t="n">
        <x:v>3</x:v>
      </x:c>
      <x:c r="Y208" s="53" t="n">
        <x:v>2</x:v>
      </x:c>
      <x:c r="Z208" s="53" t="n">
        <x:v>2</x:v>
      </x:c>
      <x:c r="AA208" s="53" t="n">
        <x:v>1</x:v>
      </x:c>
      <x:c r="AB208" s="53" t="str">
        <x:v>CANDIDATE</x:v>
      </x:c>
      <x:c r="AC208" s="53" t="str">
        <x:v>NOT_DOWNLOADED</x:v>
      </x:c>
      <x:c r="AD208" s="53" t="str">
        <x:v>REQUIRES_ITEM_REVIEW</x:v>
      </x:c>
      <x:c r="AE208" s="53" t="str">
        <x:v>NOT_REVIEWED</x:v>
      </x:c>
      <x:c r="AF208" s="53" t="str">
        <x:v>NOT_TESTED</x:v>
      </x:c>
      <x:c r="AG208" s="53" t="str"/>
      <x:c r="AH208" s="53" t="str"/>
      <x:c r="AI208" s="53" t="str"/>
      <x:c r="AJ208" s="53" t="str"/>
      <x:c r="AK208" s="57" t="n">
        <x:f>MAX(0,MIN(100,ROUND(((Q208*'Overview'!$B$18)+(R208*'Overview'!$B$19)+(S208*'Overview'!$B$20)+(T208*'Overview'!$B$21)+(U208*'Overview'!$B$22)+(V208*'Overview'!$B$23)+(W208*'Overview'!$B$24)+(X208*'Overview'!$B$25)-(Y208*'Overview'!$B$26)-(Z208*'Overview'!$B$27)-(AA208*'Overview'!$B$28))/5*100,0)))</x:f>
        <x:v>61</x:v>
      </x:c>
      <x:c r="AL208" s="53" t="str">
        <x:v>[SUPPLEMENTAL_RESEARCH] NCHFP is authoritative for its material but not all wrappers/images are US public domain; preservation procedures are version-sensitive</x:v>
      </x:c>
    </x:row>
    <x:row r="209">
      <x:c r="A209" s="26" t="str">
        <x:v>SUP-LEA-036</x:v>
      </x:c>
      <x:c r="B209" s="26" t="str">
        <x:v>AGRI</x:v>
      </x:c>
      <x:c r="C209" s="26" t="str">
        <x:v>FoodData Central full download</x:v>
      </x:c>
      <x:c r="D209" s="26" t="str">
        <x:v>USDA Agricultural Research Service</x:v>
      </x:c>
      <x:c r="E209" s="26" t="str">
        <x:v>Практический источник для групп AGRI</x:v>
      </x:c>
      <x:c r="F209" s="26" t="str">
        <x:v>https://fdc.nal.usda.gov/download-datasets/</x:v>
      </x:c>
      <x:c r="G209" s="26" t="str">
        <x:v>https://fdc.nal.usda.gov/download-datasets/</x:v>
      </x:c>
      <x:c r="H209" s="26" t="str">
        <x:v>https://fdc.nal.usda.gov/api-guide/</x:v>
      </x:c>
      <x:c r="I209" s="26" t="str">
        <x:v>Data are CC0/public domain; composition values do not diagnose deficiency; allergy or clinical nutrition needs</x:v>
      </x:c>
      <x:c r="J209" s="26" t="str">
        <x:v>EN</x:v>
      </x:c>
      <x:c r="K209" s="26" t="str">
        <x:v>International/reference</x:v>
      </x:c>
      <x:c r="L209" s="26" t="str">
        <x:v>CSV ZIP; JSON ZIP; API documentation</x:v>
      </x:c>
      <x:c r="M209" s="26" t="str">
        <x:v>Download exact dated bulk release and data type documentation</x:v>
      </x:c>
      <x:c r="N209" s="26" t="str">
        <x:v>L1</x:v>
      </x:c>
      <x:c r="O209" s="26" t="str">
        <x:v>S2_TRAINED_SUPERVISED</x:v>
      </x:c>
      <x:c r="P209" s="26" t="str">
        <x:v>ANNUAL_OR_EDITION</x:v>
      </x:c>
      <x:c r="Q209" s="26" t="n">
        <x:v>5</x:v>
      </x:c>
      <x:c r="R209" s="26" t="n">
        <x:v>4</x:v>
      </x:c>
      <x:c r="S209" s="26" t="n">
        <x:v>4</x:v>
      </x:c>
      <x:c r="T209" s="26" t="n">
        <x:v>4</x:v>
      </x:c>
      <x:c r="U209" s="26" t="n">
        <x:v>4</x:v>
      </x:c>
      <x:c r="V209" s="26" t="n">
        <x:v>3</x:v>
      </x:c>
      <x:c r="W209" s="26" t="n">
        <x:v>2</x:v>
      </x:c>
      <x:c r="X209" s="26" t="n">
        <x:v>3</x:v>
      </x:c>
      <x:c r="Y209" s="26" t="n">
        <x:v>2</x:v>
      </x:c>
      <x:c r="Z209" s="26" t="n">
        <x:v>2</x:v>
      </x:c>
      <x:c r="AA209" s="26" t="n">
        <x:v>1</x:v>
      </x:c>
      <x:c r="AB209" s="26" t="str">
        <x:v>CANDIDATE</x:v>
      </x:c>
      <x:c r="AC209" s="26" t="str">
        <x:v>NOT_DOWNLOADED</x:v>
      </x:c>
      <x:c r="AD209" s="26" t="str">
        <x:v>REQUIRES_ITEM_REVIEW</x:v>
      </x:c>
      <x:c r="AE209" s="26" t="str">
        <x:v>NOT_REVIEWED</x:v>
      </x:c>
      <x:c r="AF209" s="26" t="str">
        <x:v>NOT_TESTED</x:v>
      </x:c>
      <x:c r="AG209" s="26" t="str"/>
      <x:c r="AH209" s="26" t="str"/>
      <x:c r="AI209" s="26" t="str"/>
      <x:c r="AJ209" s="26" t="str"/>
      <x:c r="AK209" s="57" t="n">
        <x:f>MAX(0,MIN(100,ROUND(((Q209*'Overview'!$B$18)+(R209*'Overview'!$B$19)+(S209*'Overview'!$B$20)+(T209*'Overview'!$B$21)+(U209*'Overview'!$B$22)+(V209*'Overview'!$B$23)+(W209*'Overview'!$B$24)+(X209*'Overview'!$B$25)-(Y209*'Overview'!$B$26)-(Z209*'Overview'!$B$27)-(AA209*'Overview'!$B$28))/5*100,0)))</x:f>
        <x:v>69</x:v>
      </x:c>
      <x:c r="AL209" s="26" t="str">
        <x:v>[SUPPLEMENTAL_RESEARCH] Data are CC0/public domain; composition values do not diagnose deficiency; allergy or clinical nutrition needs</x:v>
      </x:c>
    </x:row>
    <x:row r="210">
      <x:c r="A210" s="53" t="str">
        <x:v>SUP-LEA-037</x:v>
      </x:c>
      <x:c r="B210" s="53" t="str">
        <x:v>HEALTH</x:v>
      </x:c>
      <x:c r="C210" s="53" t="str">
        <x:v>Bad Bug Book second edition</x:v>
      </x:c>
      <x:c r="D210" s="53" t="str">
        <x:v>United States Food and Drug Administration</x:v>
      </x:c>
      <x:c r="E210" s="53" t="str">
        <x:v>Практический источник для групп HEALTH</x:v>
      </x:c>
      <x:c r="F210" s="53" t="str">
        <x:v>https://www.fda.gov/food/foodborne-pathogens/bad-bug-book-second-edition</x:v>
      </x:c>
      <x:c r="G210" s="53" t="str">
        <x:v>https://www.fda.gov/food/foodborne-pathogens/bad-bug-book-second-edition</x:v>
      </x:c>
      <x:c r="H210" s="53" t="str">
        <x:v>https://www.fda.gov/about-fda/about-website/website-policies</x:v>
      </x:c>
      <x:c r="I210" s="53" t="str">
        <x:v>Hazard reference only; symptoms cannot identify an organism; diagnosis; specimen testing and treatment require health professionals</x:v>
      </x:c>
      <x:c r="J210" s="53" t="str">
        <x:v>EN</x:v>
      </x:c>
      <x:c r="K210" s="53" t="str">
        <x:v>International/reference</x:v>
      </x:c>
      <x:c r="L210" s="53" t="str">
        <x:v>PDF</x:v>
      </x:c>
      <x:c r="M210" s="53" t="str">
        <x:v>Download official PDF and note edition/currentness; keep consumer and professional sections labelled</x:v>
      </x:c>
      <x:c r="N210" s="53" t="str">
        <x:v>L1</x:v>
      </x:c>
      <x:c r="O210" s="53" t="str">
        <x:v>S2_TRAINED_SUPERVISED</x:v>
      </x:c>
      <x:c r="P210" s="53" t="str">
        <x:v>ANNUAL_OR_EDITION</x:v>
      </x:c>
      <x:c r="Q210" s="53" t="n">
        <x:v>5</x:v>
      </x:c>
      <x:c r="R210" s="53" t="n">
        <x:v>4</x:v>
      </x:c>
      <x:c r="S210" s="53" t="n">
        <x:v>4</x:v>
      </x:c>
      <x:c r="T210" s="53" t="n">
        <x:v>4</x:v>
      </x:c>
      <x:c r="U210" s="53" t="n">
        <x:v>4</x:v>
      </x:c>
      <x:c r="V210" s="53" t="n">
        <x:v>3</x:v>
      </x:c>
      <x:c r="W210" s="53" t="n">
        <x:v>2</x:v>
      </x:c>
      <x:c r="X210" s="53" t="n">
        <x:v>3</x:v>
      </x:c>
      <x:c r="Y210" s="53" t="n">
        <x:v>2</x:v>
      </x:c>
      <x:c r="Z210" s="53" t="n">
        <x:v>2</x:v>
      </x:c>
      <x:c r="AA210" s="53" t="n">
        <x:v>1</x:v>
      </x:c>
      <x:c r="AB210" s="53" t="str">
        <x:v>CANDIDATE</x:v>
      </x:c>
      <x:c r="AC210" s="53" t="str">
        <x:v>NOT_DOWNLOADED</x:v>
      </x:c>
      <x:c r="AD210" s="53" t="str">
        <x:v>REQUIRES_ITEM_REVIEW</x:v>
      </x:c>
      <x:c r="AE210" s="53" t="str">
        <x:v>NOT_REVIEWED</x:v>
      </x:c>
      <x:c r="AF210" s="53" t="str">
        <x:v>NOT_TESTED</x:v>
      </x:c>
      <x:c r="AG210" s="53" t="str"/>
      <x:c r="AH210" s="53" t="str"/>
      <x:c r="AI210" s="53" t="str"/>
      <x:c r="AJ210" s="53" t="str"/>
      <x:c r="AK210" s="57" t="n">
        <x:f>MAX(0,MIN(100,ROUND(((Q210*'Overview'!$B$18)+(R210*'Overview'!$B$19)+(S210*'Overview'!$B$20)+(T210*'Overview'!$B$21)+(U210*'Overview'!$B$22)+(V210*'Overview'!$B$23)+(W210*'Overview'!$B$24)+(X210*'Overview'!$B$25)-(Y210*'Overview'!$B$26)-(Z210*'Overview'!$B$27)-(AA210*'Overview'!$B$28))/5*100,0)))</x:f>
        <x:v>69</x:v>
      </x:c>
      <x:c r="AL210" s="53" t="str">
        <x:v>[SUPPLEMENTAL_RESEARCH] Hazard reference only; symptoms cannot identify an organism; diagnosis; specimen testing and treatment require health professionals</x:v>
      </x:c>
    </x:row>
    <x:row r="211">
      <x:c r="A211" s="26" t="str">
        <x:v>SUP-LEA-038</x:v>
      </x:c>
      <x:c r="B211" s="26" t="str">
        <x:v>HEALTH</x:v>
      </x:c>
      <x:c r="C211" s="26" t="str">
        <x:v>FSIS household food safety bundle</x:v>
      </x:c>
      <x:c r="D211" s="26" t="str">
        <x:v>USDA Food Safety and Inspection Service</x:v>
      </x:c>
      <x:c r="E211" s="26" t="str">
        <x:v>Практический источник для групп HEALTH</x:v>
      </x:c>
      <x:c r="F211" s="26" t="str">
        <x:v>https://www.fsis.usda.gov/food-safety/safe-food-handling-and-preparation/food-safety-basics/safe-temperature-chart</x:v>
      </x:c>
      <x:c r="G211" s="26" t="str">
        <x:v>https://www.fsis.usda.gov/food-safety/safe-food-handling-and-preparation/food-safety-basics/safe-temperature-chart</x:v>
      </x:c>
      <x:c r="H211" s="26" t="str">
        <x:v>https://www.usda.gov/about-usda/general-information/policies-and-links/digital/copyright-policy</x:v>
      </x:c>
      <x:c r="I211" s="26" t="str">
        <x:v>US household guidance; apply stricter current Portuguese/EU requirements when relevant; commercial operations need HACCP and competent authority</x:v>
      </x:c>
      <x:c r="J211" s="26" t="str">
        <x:v>EN; ES where offered</x:v>
      </x:c>
      <x:c r="K211" s="26" t="str">
        <x:v>International/reference</x:v>
      </x:c>
      <x:c r="L211" s="26" t="str">
        <x:v>HTML; printable PDF</x:v>
      </x:c>
      <x:c r="M211" s="26" t="str">
        <x:v>Save exact printable pages for safe temperatures; thermometers and emergency food safety; record dates</x:v>
      </x:c>
      <x:c r="N211" s="26" t="str">
        <x:v>L1</x:v>
      </x:c>
      <x:c r="O211" s="26" t="str">
        <x:v>S1_LOW_RISK_HOUSEHOLD</x:v>
      </x:c>
      <x:c r="P211" s="26" t="str">
        <x:v>ANNUAL_OR_EDITION</x:v>
      </x:c>
      <x:c r="Q211" s="26" t="n">
        <x:v>5</x:v>
      </x:c>
      <x:c r="R211" s="26" t="n">
        <x:v>4</x:v>
      </x:c>
      <x:c r="S211" s="26" t="n">
        <x:v>4</x:v>
      </x:c>
      <x:c r="T211" s="26" t="n">
        <x:v>4</x:v>
      </x:c>
      <x:c r="U211" s="26" t="n">
        <x:v>4</x:v>
      </x:c>
      <x:c r="V211" s="26" t="n">
        <x:v>3</x:v>
      </x:c>
      <x:c r="W211" s="26" t="n">
        <x:v>2</x:v>
      </x:c>
      <x:c r="X211" s="26" t="n">
        <x:v>3</x:v>
      </x:c>
      <x:c r="Y211" s="26" t="n">
        <x:v>0</x:v>
      </x:c>
      <x:c r="Z211" s="26" t="n">
        <x:v>2</x:v>
      </x:c>
      <x:c r="AA211" s="26" t="n">
        <x:v>1</x:v>
      </x:c>
      <x:c r="AB211" s="26" t="str">
        <x:v>CANDIDATE</x:v>
      </x:c>
      <x:c r="AC211" s="26" t="str">
        <x:v>NOT_DOWNLOADED</x:v>
      </x:c>
      <x:c r="AD211" s="26" t="str">
        <x:v>REQUIRES_ITEM_REVIEW</x:v>
      </x:c>
      <x:c r="AE211" s="26" t="str">
        <x:v>NOT_REVIEWED</x:v>
      </x:c>
      <x:c r="AF211" s="26" t="str">
        <x:v>NOT_TESTED</x:v>
      </x:c>
      <x:c r="AG211" s="26" t="str"/>
      <x:c r="AH211" s="26" t="str"/>
      <x:c r="AI211" s="26" t="str"/>
      <x:c r="AJ211" s="26" t="str"/>
      <x:c r="AK211" s="57" t="n">
        <x:f>MAX(0,MIN(100,ROUND(((Q211*'Overview'!$B$18)+(R211*'Overview'!$B$19)+(S211*'Overview'!$B$20)+(T211*'Overview'!$B$21)+(U211*'Overview'!$B$22)+(V211*'Overview'!$B$23)+(W211*'Overview'!$B$24)+(X211*'Overview'!$B$25)-(Y211*'Overview'!$B$26)-(Z211*'Overview'!$B$27)-(AA211*'Overview'!$B$28))/5*100,0)))</x:f>
        <x:v>75</x:v>
      </x:c>
      <x:c r="AL211" s="26" t="str">
        <x:v>[SUPPLEMENTAL_RESEARCH] US household guidance; apply stricter current Portuguese/EU requirements when relevant; commercial operations need HACCP and competent authority</x:v>
      </x:c>
    </x:row>
    <x:row r="212">
      <x:c r="A212" s="53" t="str">
        <x:v>SUP-LEA-039</x:v>
      </x:c>
      <x:c r="B212" s="53" t="str">
        <x:v>HEALTH|AGRI</x:v>
      </x:c>
      <x:c r="C212" s="53" t="str">
        <x:v>FAO INFOODS food composition databases</x:v>
      </x:c>
      <x:c r="D212" s="53" t="str">
        <x:v>Food and Agriculture Organization of the United Nations</x:v>
      </x:c>
      <x:c r="E212" s="53" t="str">
        <x:v>Практический источник для групп HEALTH|AGRI</x:v>
      </x:c>
      <x:c r="F212" s="53" t="str">
        <x:v>https://www.fao.org/infoods/infoods/tables-and-databases/en/</x:v>
      </x:c>
      <x:c r="G212" s="53" t="str">
        <x:v>https://www.fao.org/infoods/infoods/tables-and-databases/en/</x:v>
      </x:c>
      <x:c r="H212" s="53" t="str">
        <x:v>https://www.fao.org/contact-us/terms/db-terms-of-use/en</x:v>
      </x:c>
      <x:c r="I212" s="53" t="str">
        <x:v>Apply FAO database terms where applicable; each linked national table may have different rights; values are analytical references not clinical prescriptions</x:v>
      </x:c>
      <x:c r="J212" s="53" t="str">
        <x:v>EN; selected regional languages</x:v>
      </x:c>
      <x:c r="K212" s="53" t="str">
        <x:v>International/reference</x:v>
      </x:c>
      <x:c r="L212" s="53" t="str">
        <x:v>XLSX; PDF; databases</x:v>
      </x:c>
      <x:c r="M212" s="53" t="str">
        <x:v>Download only direct FAO-hosted datasets; exclude linked national tables without separate reuse permission</x:v>
      </x:c>
      <x:c r="N212" s="53" t="str">
        <x:v>L2</x:v>
      </x:c>
      <x:c r="O212" s="53" t="str">
        <x:v>S2_TRAINED_SUPERVISED</x:v>
      </x:c>
      <x:c r="P212" s="53" t="str">
        <x:v>ANNUAL_OR_EDITION</x:v>
      </x:c>
      <x:c r="Q212" s="53" t="n">
        <x:v>4</x:v>
      </x:c>
      <x:c r="R212" s="53" t="n">
        <x:v>4</x:v>
      </x:c>
      <x:c r="S212" s="53" t="n">
        <x:v>3</x:v>
      </x:c>
      <x:c r="T212" s="53" t="n">
        <x:v>4</x:v>
      </x:c>
      <x:c r="U212" s="53" t="n">
        <x:v>4</x:v>
      </x:c>
      <x:c r="V212" s="53" t="n">
        <x:v>3</x:v>
      </x:c>
      <x:c r="W212" s="53" t="n">
        <x:v>2</x:v>
      </x:c>
      <x:c r="X212" s="53" t="n">
        <x:v>3</x:v>
      </x:c>
      <x:c r="Y212" s="53" t="n">
        <x:v>2</x:v>
      </x:c>
      <x:c r="Z212" s="53" t="n">
        <x:v>2</x:v>
      </x:c>
      <x:c r="AA212" s="53" t="n">
        <x:v>1</x:v>
      </x:c>
      <x:c r="AB212" s="53" t="str">
        <x:v>CANDIDATE</x:v>
      </x:c>
      <x:c r="AC212" s="53" t="str">
        <x:v>NOT_DOWNLOADED</x:v>
      </x:c>
      <x:c r="AD212" s="53" t="str">
        <x:v>REQUIRES_ITEM_REVIEW</x:v>
      </x:c>
      <x:c r="AE212" s="53" t="str">
        <x:v>NOT_REVIEWED</x:v>
      </x:c>
      <x:c r="AF212" s="53" t="str">
        <x:v>NOT_TESTED</x:v>
      </x:c>
      <x:c r="AG212" s="53" t="str"/>
      <x:c r="AH212" s="53" t="str"/>
      <x:c r="AI212" s="53" t="str"/>
      <x:c r="AJ212" s="53" t="str"/>
      <x:c r="AK212" s="57" t="n">
        <x:f>MAX(0,MIN(100,ROUND(((Q212*'Overview'!$B$18)+(R212*'Overview'!$B$19)+(S212*'Overview'!$B$20)+(T212*'Overview'!$B$21)+(U212*'Overview'!$B$22)+(V212*'Overview'!$B$23)+(W212*'Overview'!$B$24)+(X212*'Overview'!$B$25)-(Y212*'Overview'!$B$26)-(Z212*'Overview'!$B$27)-(AA212*'Overview'!$B$28))/5*100,0)))</x:f>
        <x:v>61</x:v>
      </x:c>
      <x:c r="AL212" s="53" t="str">
        <x:v>[SUPPLEMENTAL_RESEARCH] Apply FAO database terms where applicable; each linked national table may have different rights; values are analytical references not clinical prescriptions</x:v>
      </x:c>
    </x:row>
    <x:row r="213">
      <x:c r="A213" s="26" t="str">
        <x:v>SUP-LEA-040</x:v>
      </x:c>
      <x:c r="B213" s="26" t="str">
        <x:v>HEALTH|PORT</x:v>
      </x:c>
      <x:c r="C213" s="26" t="str">
        <x:v>PortFIR Portuguese Food Composition Table metadata</x:v>
      </x:c>
      <x:c r="D213" s="26" t="str">
        <x:v>Instituto Nacional de Saúde Doutor Ricardo Jorge</x:v>
      </x:c>
      <x:c r="E213" s="26" t="str">
        <x:v>Практический источник для групп HEALTH|PORT</x:v>
      </x:c>
      <x:c r="F213" s="26" t="str">
        <x:v>https://portfir.insa.min-saude.pt/pt/</x:v>
      </x:c>
      <x:c r="G213" s="26" t="str">
        <x:v>https://portfir.insa.min-saude.pt/pt/</x:v>
      </x:c>
      <x:c r="H213" s="26" t="str">
        <x:v>https://portfir.insa.min-saude.pt/pt/</x:v>
      </x:c>
      <x:c r="I213" s="26" t="str">
        <x:v>DO_NOT_INGEST; site indicates all rights reserved and no reusable licence was established; version is time-sensitive</x:v>
      </x:c>
      <x:c r="J213" s="26" t="str">
        <x:v>PT</x:v>
      </x:c>
      <x:c r="K213" s="26" t="str">
        <x:v>Portugal/EU</x:v>
      </x:c>
      <x:c r="L213" s="26" t="str">
        <x:v>XLSX; web portal</x:v>
      </x:c>
      <x:c r="M213" s="26" t="str">
        <x:v>Keep metadata and canonical link only; obtain written redistribution permission before copying the workbook</x:v>
      </x:c>
      <x:c r="N213" s="26" t="str">
        <x:v>L3</x:v>
      </x:c>
      <x:c r="O213" s="26" t="str">
        <x:v>S4_REFERENCE_ONLY_PROHIBITED_HOUSEHOLD</x:v>
      </x:c>
      <x:c r="P213" s="26" t="str">
        <x:v>ANNUAL_OR_EDITION</x:v>
      </x:c>
      <x:c r="Q213" s="26" t="n">
        <x:v>3</x:v>
      </x:c>
      <x:c r="R213" s="26" t="n">
        <x:v>4</x:v>
      </x:c>
      <x:c r="S213" s="26" t="n">
        <x:v>3</x:v>
      </x:c>
      <x:c r="T213" s="26" t="n">
        <x:v>4</x:v>
      </x:c>
      <x:c r="U213" s="26" t="n">
        <x:v>3</x:v>
      </x:c>
      <x:c r="V213" s="26" t="n">
        <x:v>3</x:v>
      </x:c>
      <x:c r="W213" s="26" t="n">
        <x:v>4</x:v>
      </x:c>
      <x:c r="X213" s="26" t="n">
        <x:v>3</x:v>
      </x:c>
      <x:c r="Y213" s="26" t="n">
        <x:v>5</x:v>
      </x:c>
      <x:c r="Z213" s="26" t="n">
        <x:v>2</x:v>
      </x:c>
      <x:c r="AA213" s="26" t="n">
        <x:v>3</x:v>
      </x:c>
      <x:c r="AB213" s="26" t="str">
        <x:v>CANDIDATE</x:v>
      </x:c>
      <x:c r="AC213" s="26" t="str">
        <x:v>NOT_DOWNLOADED</x:v>
      </x:c>
      <x:c r="AD213" s="26" t="str">
        <x:v>REQUIRES_ITEM_REVIEW</x:v>
      </x:c>
      <x:c r="AE213" s="26" t="str">
        <x:v>NOT_REVIEWED</x:v>
      </x:c>
      <x:c r="AF213" s="26" t="str">
        <x:v>NOT_TESTED</x:v>
      </x:c>
      <x:c r="AG213" s="26" t="str"/>
      <x:c r="AH213" s="26" t="str"/>
      <x:c r="AI213" s="26" t="str"/>
      <x:c r="AJ213" s="26" t="str"/>
      <x:c r="AK213" s="57" t="n">
        <x:f>MAX(0,MIN(100,ROUND(((Q213*'Overview'!$B$18)+(R213*'Overview'!$B$19)+(S213*'Overview'!$B$20)+(T213*'Overview'!$B$21)+(U213*'Overview'!$B$22)+(V213*'Overview'!$B$23)+(W213*'Overview'!$B$24)+(X213*'Overview'!$B$25)-(Y213*'Overview'!$B$26)-(Z213*'Overview'!$B$27)-(AA213*'Overview'!$B$28))/5*100,0)))</x:f>
        <x:v>45</x:v>
      </x:c>
      <x:c r="AL213" s="26" t="str">
        <x:v>[SUPPLEMENTAL_RESEARCH] DO_NOT_INGEST; site indicates all rights reserved and no reusable licence was established; version is time-sensitive</x:v>
      </x:c>
    </x:row>
    <x:row r="214">
      <x:c r="A214" s="53" t="str">
        <x:v>SUP-LEA-041</x:v>
      </x:c>
      <x:c r="B214" s="53" t="str">
        <x:v>HEALTH|AGRI</x:v>
      </x:c>
      <x:c r="C214" s="53" t="str">
        <x:v>Codex Alimentarius food hygiene; contaminants and water-use subset</x:v>
      </x:c>
      <x:c r="D214" s="53" t="str">
        <x:v>FAO and World Health Organization Codex Alimentarius Commission</x:v>
      </x:c>
      <x:c r="E214" s="53" t="str">
        <x:v>Практический источник для групп HEALTH|AGRI</x:v>
      </x:c>
      <x:c r="F214" s="53" t="str">
        <x:v>https://www.fao.org/fao-who-codexalimentarius/codex-texts/standards/en/</x:v>
      </x:c>
      <x:c r="G214" s="53" t="str">
        <x:v>https://www.fao.org/fao-who-codexalimentarius/codex-texts/standards/en/</x:v>
      </x:c>
      <x:c r="H214" s="53" t="str">
        <x:v>https://www.fao.org/contact-us/terms/en/</x:v>
      </x:c>
      <x:c r="I214" s="53" t="str">
        <x:v>Codex is an international reference and not Portuguese law; item licences can differ; commercial food safety implementation requires trained personnel</x:v>
      </x:c>
      <x:c r="J214" s="53" t="str">
        <x:v>EN; FR; ES; AR; ZH; RU</x:v>
      </x:c>
      <x:c r="K214" s="53" t="str">
        <x:v>International/reference</x:v>
      </x:c>
      <x:c r="L214" s="53" t="str">
        <x:v>PDF standards; codes; guidelines</x:v>
      </x:c>
      <x:c r="M214" s="53" t="str">
        <x:v>Resolve exact current CXC 1; CXS 193 and CXG 100 files; inspect each PDF rights page before download</x:v>
      </x:c>
      <x:c r="N214" s="53" t="str">
        <x:v>L2</x:v>
      </x:c>
      <x:c r="O214" s="53" t="str">
        <x:v>S4_REFERENCE_ONLY_PROHIBITED_HOUSEHOLD</x:v>
      </x:c>
      <x:c r="P214" s="53" t="str">
        <x:v>ANNUAL_OR_EDITION</x:v>
      </x:c>
      <x:c r="Q214" s="53" t="n">
        <x:v>4</x:v>
      </x:c>
      <x:c r="R214" s="53" t="n">
        <x:v>4</x:v>
      </x:c>
      <x:c r="S214" s="53" t="n">
        <x:v>3</x:v>
      </x:c>
      <x:c r="T214" s="53" t="n">
        <x:v>4</x:v>
      </x:c>
      <x:c r="U214" s="53" t="n">
        <x:v>4</x:v>
      </x:c>
      <x:c r="V214" s="53" t="n">
        <x:v>3</x:v>
      </x:c>
      <x:c r="W214" s="53" t="n">
        <x:v>4</x:v>
      </x:c>
      <x:c r="X214" s="53" t="n">
        <x:v>3</x:v>
      </x:c>
      <x:c r="Y214" s="53" t="n">
        <x:v>5</x:v>
      </x:c>
      <x:c r="Z214" s="53" t="n">
        <x:v>2</x:v>
      </x:c>
      <x:c r="AA214" s="53" t="n">
        <x:v>1</x:v>
      </x:c>
      <x:c r="AB214" s="53" t="str">
        <x:v>CANDIDATE</x:v>
      </x:c>
      <x:c r="AC214" s="53" t="str">
        <x:v>NOT_DOWNLOADED</x:v>
      </x:c>
      <x:c r="AD214" s="53" t="str">
        <x:v>REQUIRES_ITEM_REVIEW</x:v>
      </x:c>
      <x:c r="AE214" s="53" t="str">
        <x:v>NOT_REVIEWED</x:v>
      </x:c>
      <x:c r="AF214" s="53" t="str">
        <x:v>NOT_TESTED</x:v>
      </x:c>
      <x:c r="AG214" s="53" t="str"/>
      <x:c r="AH214" s="53" t="str"/>
      <x:c r="AI214" s="53" t="str"/>
      <x:c r="AJ214" s="53" t="str"/>
      <x:c r="AK214" s="57" t="n">
        <x:f>MAX(0,MIN(100,ROUND(((Q214*'Overview'!$B$18)+(R214*'Overview'!$B$19)+(S214*'Overview'!$B$20)+(T214*'Overview'!$B$21)+(U214*'Overview'!$B$22)+(V214*'Overview'!$B$23)+(W214*'Overview'!$B$24)+(X214*'Overview'!$B$25)-(Y214*'Overview'!$B$26)-(Z214*'Overview'!$B$27)-(AA214*'Overview'!$B$28))/5*100,0)))</x:f>
        <x:v>54</x:v>
      </x:c>
      <x:c r="AL214" s="53" t="str">
        <x:v>[SUPPLEMENTAL_RESEARCH] Codex is an international reference and not Portuguese law; item licences can differ; commercial food safety implementation requires trained personnel</x:v>
      </x:c>
    </x:row>
    <x:row r="215">
      <x:c r="A215" s="26" t="str">
        <x:v>SUP-LEA-042</x:v>
      </x:c>
      <x:c r="B215" s="26" t="str">
        <x:v>CHEM|HEALTH|PORT</x:v>
      </x:c>
      <x:c r="C215" s="26" t="str">
        <x:v>OpenFoodTox chemical hazards database</x:v>
      </x:c>
      <x:c r="D215" s="26" t="str">
        <x:v>European Food Safety Authority</x:v>
      </x:c>
      <x:c r="E215" s="26" t="str">
        <x:v>Практический источник для групп CHEM|HEALTH|PORT</x:v>
      </x:c>
      <x:c r="F215" s="26" t="str">
        <x:v>https://www.efsa.europa.eu/en/data-report/chemical-hazards-database-openfoodtox</x:v>
      </x:c>
      <x:c r="G215" s="26" t="str">
        <x:v>https://www.efsa.europa.eu/en/data-report/chemical-hazards-database-openfoodtox</x:v>
      </x:c>
      <x:c r="H215" s="26" t="str">
        <x:v>https://www.efsa.europa.eu/en/legalnotice</x:v>
      </x:c>
      <x:c r="I215" s="26" t="str">
        <x:v>Professional toxicology and risk-assessment data; never use to diagnose poisoning or calculate a household treatment dose</x:v>
      </x:c>
      <x:c r="J215" s="26" t="str">
        <x:v>EN</x:v>
      </x:c>
      <x:c r="K215" s="26" t="str">
        <x:v>Portugal/EU</x:v>
      </x:c>
      <x:c r="L215" s="26" t="str">
        <x:v>XLSX; IUCLID i6z</x:v>
      </x:c>
      <x:c r="M215" s="26" t="str">
        <x:v>Download dated official release and technical documentation; retain EFSA acknowledgement and third-party flags</x:v>
      </x:c>
      <x:c r="N215" s="26" t="str">
        <x:v>L2</x:v>
      </x:c>
      <x:c r="O215" s="26" t="str">
        <x:v>S3_LICENSED_PROFESSIONAL</x:v>
      </x:c>
      <x:c r="P215" s="26" t="str">
        <x:v>ANNUAL_OR_EDITION</x:v>
      </x:c>
      <x:c r="Q215" s="26" t="n">
        <x:v>4</x:v>
      </x:c>
      <x:c r="R215" s="26" t="n">
        <x:v>4</x:v>
      </x:c>
      <x:c r="S215" s="26" t="n">
        <x:v>3</x:v>
      </x:c>
      <x:c r="T215" s="26" t="n">
        <x:v>4</x:v>
      </x:c>
      <x:c r="U215" s="26" t="n">
        <x:v>4</x:v>
      </x:c>
      <x:c r="V215" s="26" t="n">
        <x:v>3</x:v>
      </x:c>
      <x:c r="W215" s="26" t="n">
        <x:v>2</x:v>
      </x:c>
      <x:c r="X215" s="26" t="n">
        <x:v>3</x:v>
      </x:c>
      <x:c r="Y215" s="26" t="n">
        <x:v>4</x:v>
      </x:c>
      <x:c r="Z215" s="26" t="n">
        <x:v>2</x:v>
      </x:c>
      <x:c r="AA215" s="26" t="n">
        <x:v>1</x:v>
      </x:c>
      <x:c r="AB215" s="26" t="str">
        <x:v>CANDIDATE</x:v>
      </x:c>
      <x:c r="AC215" s="26" t="str">
        <x:v>NOT_DOWNLOADED</x:v>
      </x:c>
      <x:c r="AD215" s="26" t="str">
        <x:v>REQUIRES_ITEM_REVIEW</x:v>
      </x:c>
      <x:c r="AE215" s="26" t="str">
        <x:v>NOT_REVIEWED</x:v>
      </x:c>
      <x:c r="AF215" s="26" t="str">
        <x:v>NOT_TESTED</x:v>
      </x:c>
      <x:c r="AG215" s="26" t="str"/>
      <x:c r="AH215" s="26" t="str"/>
      <x:c r="AI215" s="26" t="str"/>
      <x:c r="AJ215" s="26" t="str"/>
      <x:c r="AK215" s="57" t="n">
        <x:f>MAX(0,MIN(100,ROUND(((Q215*'Overview'!$B$18)+(R215*'Overview'!$B$19)+(S215*'Overview'!$B$20)+(T215*'Overview'!$B$21)+(U215*'Overview'!$B$22)+(V215*'Overview'!$B$23)+(W215*'Overview'!$B$24)+(X215*'Overview'!$B$25)-(Y215*'Overview'!$B$26)-(Z215*'Overview'!$B$27)-(AA215*'Overview'!$B$28))/5*100,0)))</x:f>
        <x:v>55</x:v>
      </x:c>
      <x:c r="AL215" s="26" t="str">
        <x:v>[SUPPLEMENTAL_RESEARCH] Professional toxicology and risk-assessment data; never use to diagnose poisoning or calculate a household treatment dose</x:v>
      </x:c>
    </x:row>
    <x:row r="216">
      <x:c r="A216" s="53" t="str">
        <x:v>SUP-LEA-043</x:v>
      </x:c>
      <x:c r="B216" s="53" t="str">
        <x:v>LIFE|HEALTH|AGRI|PORT</x:v>
      </x:c>
      <x:c r="C216" s="53" t="str">
        <x:v>EUR-Lex bounded food; water; seed; plant and animal health law snapshot</x:v>
      </x:c>
      <x:c r="D216" s="53" t="str">
        <x:v>Publications Office of the European Union</x:v>
      </x:c>
      <x:c r="E216" s="53" t="str">
        <x:v>Практический источник для групп LIFE|HEALTH|AGRI|PORT</x:v>
      </x:c>
      <x:c r="F216" s="53" t="str">
        <x:v>https://eur-lex.europa.eu/</x:v>
      </x:c>
      <x:c r="G216" s="53" t="str">
        <x:v>https://eur-lex.europa.eu/</x:v>
      </x:c>
      <x:c r="H216" s="53" t="str">
        <x:v>https://eur-lex.europa.eu/content/help/data-reuse/reuse-contents-eurlex-details.html?locale=en</x:v>
      </x:c>
      <x:c r="I216" s="53" t="str">
        <x:v>Law changes; consolidated text may not be legally authentic; national implementation and current competent-authority advice must overlay the archive</x:v>
      </x:c>
      <x:c r="J216" s="53" t="str">
        <x:v>All official EU languages including PT</x:v>
      </x:c>
      <x:c r="K216" s="53" t="str">
        <x:v>Portugal/EU</x:v>
      </x:c>
      <x:c r="L216" s="53" t="str">
        <x:v>HTML; PDF; XML; Cellar metadata</x:v>
      </x:c>
      <x:c r="M216" s="53" t="str">
        <x:v>Acquire CELEX-identified consolidated and original acts through official EUR-Lex/Cellar; store retrieval date and consolidation status</x:v>
      </x:c>
      <x:c r="N216" s="53" t="str">
        <x:v>L3</x:v>
      </x:c>
      <x:c r="O216" s="53" t="str">
        <x:v>S4_REFERENCE_ONLY_PROHIBITED_HOUSEHOLD</x:v>
      </x:c>
      <x:c r="P216" s="53" t="str">
        <x:v>ANNUAL_OR_EDITION</x:v>
      </x:c>
      <x:c r="Q216" s="53" t="n">
        <x:v>3</x:v>
      </x:c>
      <x:c r="R216" s="53" t="n">
        <x:v>4</x:v>
      </x:c>
      <x:c r="S216" s="53" t="n">
        <x:v>3</x:v>
      </x:c>
      <x:c r="T216" s="53" t="n">
        <x:v>4</x:v>
      </x:c>
      <x:c r="U216" s="53" t="n">
        <x:v>3</x:v>
      </x:c>
      <x:c r="V216" s="53" t="n">
        <x:v>3</x:v>
      </x:c>
      <x:c r="W216" s="53" t="n">
        <x:v>4</x:v>
      </x:c>
      <x:c r="X216" s="53" t="n">
        <x:v>3</x:v>
      </x:c>
      <x:c r="Y216" s="53" t="n">
        <x:v>5</x:v>
      </x:c>
      <x:c r="Z216" s="53" t="n">
        <x:v>2</x:v>
      </x:c>
      <x:c r="AA216" s="53" t="n">
        <x:v>3</x:v>
      </x:c>
      <x:c r="AB216" s="53" t="str">
        <x:v>CANDIDATE</x:v>
      </x:c>
      <x:c r="AC216" s="53" t="str">
        <x:v>NOT_DOWNLOADED</x:v>
      </x:c>
      <x:c r="AD216" s="53" t="str">
        <x:v>REQUIRES_ITEM_REVIEW</x:v>
      </x:c>
      <x:c r="AE216" s="53" t="str">
        <x:v>NOT_REVIEWED</x:v>
      </x:c>
      <x:c r="AF216" s="53" t="str">
        <x:v>NOT_TESTED</x:v>
      </x:c>
      <x:c r="AG216" s="53" t="str"/>
      <x:c r="AH216" s="53" t="str"/>
      <x:c r="AI216" s="53" t="str"/>
      <x:c r="AJ216" s="53" t="str"/>
      <x:c r="AK216" s="57" t="n">
        <x:f>MAX(0,MIN(100,ROUND(((Q216*'Overview'!$B$18)+(R216*'Overview'!$B$19)+(S216*'Overview'!$B$20)+(T216*'Overview'!$B$21)+(U216*'Overview'!$B$22)+(V216*'Overview'!$B$23)+(W216*'Overview'!$B$24)+(X216*'Overview'!$B$25)-(Y216*'Overview'!$B$26)-(Z216*'Overview'!$B$27)-(AA216*'Overview'!$B$28))/5*100,0)))</x:f>
        <x:v>45</x:v>
      </x:c>
      <x:c r="AL216" s="53" t="str">
        <x:v>[SUPPLEMENTAL_RESEARCH] Law changes; consolidated text may not be legally authentic; national implementation and current competent-authority advice must overlay the archive</x:v>
      </x:c>
    </x:row>
    <x:row r="217">
      <x:c r="A217" s="26" t="str">
        <x:v>SUP-LEA-044</x:v>
      </x:c>
      <x:c r="B217" s="26" t="str">
        <x:v>HEALTH</x:v>
      </x:c>
      <x:c r="C217" s="26" t="str">
        <x:v>Principles of Epidemiology in Public Health Practice third edition</x:v>
      </x:c>
      <x:c r="D217" s="26" t="str">
        <x:v>Centers for Disease Control and Prevention</x:v>
      </x:c>
      <x:c r="E217" s="26" t="str">
        <x:v>Практический источник для групп HEALTH</x:v>
      </x:c>
      <x:c r="F217" s="26" t="str">
        <x:v>https://stacks.cdc.gov/view/cdc/13178</x:v>
      </x:c>
      <x:c r="G217" s="26" t="str">
        <x:v>https://stacks.cdc.gov/view/cdc/13178</x:v>
      </x:c>
      <x:c r="H217" s="26" t="str">
        <x:v>https://www.cdc.gov/other/agencymaterials.html</x:v>
      </x:c>
      <x:c r="I217" s="26" t="str">
        <x:v>Explicit public-domain training work; descriptive household counts are permissible but outbreak declaration; contact tracing and causal inference need authorities</x:v>
      </x:c>
      <x:c r="J217" s="26" t="str">
        <x:v>EN</x:v>
      </x:c>
      <x:c r="K217" s="26" t="str">
        <x:v>International/reference</x:v>
      </x:c>
      <x:c r="L217" s="26" t="str">
        <x:v>PDF; CDC Stacks metadata; checksum</x:v>
      </x:c>
      <x:c r="M217" s="26" t="str">
        <x:v>Download the exact CDC Stacks public-domain object and published checksum</x:v>
      </x:c>
      <x:c r="N217" s="26" t="str">
        <x:v>L1</x:v>
      </x:c>
      <x:c r="O217" s="26" t="str">
        <x:v>S3_LICENSED_PROFESSIONAL</x:v>
      </x:c>
      <x:c r="P217" s="26" t="str">
        <x:v>ANNUAL_OR_EDITION</x:v>
      </x:c>
      <x:c r="Q217" s="26" t="n">
        <x:v>5</x:v>
      </x:c>
      <x:c r="R217" s="26" t="n">
        <x:v>4</x:v>
      </x:c>
      <x:c r="S217" s="26" t="n">
        <x:v>4</x:v>
      </x:c>
      <x:c r="T217" s="26" t="n">
        <x:v>4</x:v>
      </x:c>
      <x:c r="U217" s="26" t="n">
        <x:v>4</x:v>
      </x:c>
      <x:c r="V217" s="26" t="n">
        <x:v>3</x:v>
      </x:c>
      <x:c r="W217" s="26" t="n">
        <x:v>2</x:v>
      </x:c>
      <x:c r="X217" s="26" t="n">
        <x:v>3</x:v>
      </x:c>
      <x:c r="Y217" s="26" t="n">
        <x:v>4</x:v>
      </x:c>
      <x:c r="Z217" s="26" t="n">
        <x:v>2</x:v>
      </x:c>
      <x:c r="AA217" s="26" t="n">
        <x:v>1</x:v>
      </x:c>
      <x:c r="AB217" s="26" t="str">
        <x:v>CANDIDATE</x:v>
      </x:c>
      <x:c r="AC217" s="26" t="str">
        <x:v>NOT_DOWNLOADED</x:v>
      </x:c>
      <x:c r="AD217" s="26" t="str">
        <x:v>REQUIRES_ITEM_REVIEW</x:v>
      </x:c>
      <x:c r="AE217" s="26" t="str">
        <x:v>NOT_REVIEWED</x:v>
      </x:c>
      <x:c r="AF217" s="26" t="str">
        <x:v>NOT_TESTED</x:v>
      </x:c>
      <x:c r="AG217" s="26" t="str"/>
      <x:c r="AH217" s="26" t="str"/>
      <x:c r="AI217" s="26" t="str"/>
      <x:c r="AJ217" s="26" t="str"/>
      <x:c r="AK217" s="57" t="n">
        <x:f>MAX(0,MIN(100,ROUND(((Q217*'Overview'!$B$18)+(R217*'Overview'!$B$19)+(S217*'Overview'!$B$20)+(T217*'Overview'!$B$21)+(U217*'Overview'!$B$22)+(V217*'Overview'!$B$23)+(W217*'Overview'!$B$24)+(X217*'Overview'!$B$25)-(Y217*'Overview'!$B$26)-(Z217*'Overview'!$B$27)-(AA217*'Overview'!$B$28))/5*100,0)))</x:f>
        <x:v>63</x:v>
      </x:c>
      <x:c r="AL217" s="26" t="str">
        <x:v>[SUPPLEMENTAL_RESEARCH] Explicit public-domain training work; descriptive household counts are permissible but outbreak declaration; contact tracing and causal inference need authorities</x:v>
      </x:c>
    </x:row>
    <x:row r="218">
      <x:c r="A218" s="53" t="str">
        <x:v>SUP-LEA-045</x:v>
      </x:c>
      <x:c r="B218" s="53" t="str">
        <x:v>HEALTH|PORT</x:v>
      </x:c>
      <x:c r="C218" s="53" t="str">
        <x:v>ECDC preparedness planning and public-health measures guidance set</x:v>
      </x:c>
      <x:c r="D218" s="53" t="str">
        <x:v>European Centre for Disease Prevention and Control</x:v>
      </x:c>
      <x:c r="E218" s="53" t="str">
        <x:v>Практический источник для групп HEALTH|PORT</x:v>
      </x:c>
      <x:c r="F218" s="53" t="str">
        <x:v>https://www.ecdc.europa.eu/en/publications-data/recommendations-preparedness-planning-public-health-threats</x:v>
      </x:c>
      <x:c r="G218" s="53" t="str">
        <x:v>https://www.ecdc.europa.eu/en/publications-data/recommendations-preparedness-planning-public-health-threats</x:v>
      </x:c>
      <x:c r="H218" s="53" t="str">
        <x:v>https://www.ecdc.europa.eu/en/ecdc-intellectual-property-notices</x:v>
      </x:c>
      <x:c r="I218" s="53" t="str">
        <x:v>ECDC-owned public material is generally CC BY 4.0 unless stated; public-health action must follow current Portuguese authority</x:v>
      </x:c>
      <x:c r="J218" s="53" t="str">
        <x:v>EN; some EU languages</x:v>
      </x:c>
      <x:c r="K218" s="53" t="str">
        <x:v>Portugal/EU</x:v>
      </x:c>
      <x:c r="L218" s="53" t="str">
        <x:v>PDF; annexes; templates</x:v>
      </x:c>
      <x:c r="M218" s="53" t="str">
        <x:v>Download exact ECDC-owned items marked for reuse; record version; third-party figures and update date</x:v>
      </x:c>
      <x:c r="N218" s="53" t="str">
        <x:v>L2</x:v>
      </x:c>
      <x:c r="O218" s="53" t="str">
        <x:v>S3_LICENSED_PROFESSIONAL</x:v>
      </x:c>
      <x:c r="P218" s="53" t="str">
        <x:v>ANNUAL_OR_EDITION</x:v>
      </x:c>
      <x:c r="Q218" s="53" t="n">
        <x:v>4</x:v>
      </x:c>
      <x:c r="R218" s="53" t="n">
        <x:v>4</x:v>
      </x:c>
      <x:c r="S218" s="53" t="n">
        <x:v>3</x:v>
      </x:c>
      <x:c r="T218" s="53" t="n">
        <x:v>4</x:v>
      </x:c>
      <x:c r="U218" s="53" t="n">
        <x:v>4</x:v>
      </x:c>
      <x:c r="V218" s="53" t="n">
        <x:v>3</x:v>
      </x:c>
      <x:c r="W218" s="53" t="n">
        <x:v>2</x:v>
      </x:c>
      <x:c r="X218" s="53" t="n">
        <x:v>3</x:v>
      </x:c>
      <x:c r="Y218" s="53" t="n">
        <x:v>4</x:v>
      </x:c>
      <x:c r="Z218" s="53" t="n">
        <x:v>2</x:v>
      </x:c>
      <x:c r="AA218" s="53" t="n">
        <x:v>1</x:v>
      </x:c>
      <x:c r="AB218" s="53" t="str">
        <x:v>CANDIDATE</x:v>
      </x:c>
      <x:c r="AC218" s="53" t="str">
        <x:v>NOT_DOWNLOADED</x:v>
      </x:c>
      <x:c r="AD218" s="53" t="str">
        <x:v>REQUIRES_ITEM_REVIEW</x:v>
      </x:c>
      <x:c r="AE218" s="53" t="str">
        <x:v>NOT_REVIEWED</x:v>
      </x:c>
      <x:c r="AF218" s="53" t="str">
        <x:v>NOT_TESTED</x:v>
      </x:c>
      <x:c r="AG218" s="53" t="str"/>
      <x:c r="AH218" s="53" t="str"/>
      <x:c r="AI218" s="53" t="str"/>
      <x:c r="AJ218" s="53" t="str"/>
      <x:c r="AK218" s="57" t="n">
        <x:f>MAX(0,MIN(100,ROUND(((Q218*'Overview'!$B$18)+(R218*'Overview'!$B$19)+(S218*'Overview'!$B$20)+(T218*'Overview'!$B$21)+(U218*'Overview'!$B$22)+(V218*'Overview'!$B$23)+(W218*'Overview'!$B$24)+(X218*'Overview'!$B$25)-(Y218*'Overview'!$B$26)-(Z218*'Overview'!$B$27)-(AA218*'Overview'!$B$28))/5*100,0)))</x:f>
        <x:v>55</x:v>
      </x:c>
      <x:c r="AL218" s="53" t="str">
        <x:v>[SUPPLEMENTAL_RESEARCH] ECDC-owned public material is generally CC BY 4.0 unless stated; public-health action must follow current Portuguese authority</x:v>
      </x:c>
    </x:row>
    <x:row r="219">
      <x:c r="A219" s="26" t="str">
        <x:v>SUP-LEA-046</x:v>
      </x:c>
      <x:c r="B219" s="26" t="str">
        <x:v>LIFE|HEALTH|AGRI</x:v>
      </x:c>
      <x:c r="C219" s="26" t="str">
        <x:v>One Health Joint Plan of Action and implementation guide</x:v>
      </x:c>
      <x:c r="D219" s="26" t="str">
        <x:v>FAO; UNEP; WHO; WOAH</x:v>
      </x:c>
      <x:c r="E219" s="26" t="str">
        <x:v>Практический источник для групп LIFE|HEALTH|AGRI</x:v>
      </x:c>
      <x:c r="F219" s="26" t="str">
        <x:v>https://www.fao.org/one-health/resources/publications/joint-plan-of-action/en</x:v>
      </x:c>
      <x:c r="G219" s="26" t="str">
        <x:v>https://www.fao.org/one-health/resources/publications/joint-plan-of-action/en</x:v>
      </x:c>
      <x:c r="H219" s="26" t="str">
        <x:v>https://www.fao.org/contact-us/terms/en/</x:v>
      </x:c>
      <x:c r="I219" s="26" t="str">
        <x:v>Framework for institutions and multisector coordination; not a veterinary or medical treatment manual</x:v>
      </x:c>
      <x:c r="J219" s="26" t="str">
        <x:v>EN; RU and other UN languages depending item</x:v>
      </x:c>
      <x:c r="K219" s="26" t="str">
        <x:v>International/reference</x:v>
      </x:c>
      <x:c r="L219" s="26" t="str">
        <x:v>PDF; implementation guide; tools</x:v>
      </x:c>
      <x:c r="M219" s="26" t="str">
        <x:v>Download exact official language editions and verify each copyright page</x:v>
      </x:c>
      <x:c r="N219" s="26" t="str">
        <x:v>L2</x:v>
      </x:c>
      <x:c r="O219" s="26" t="str">
        <x:v>S3_LICENSED_PROFESSIONAL</x:v>
      </x:c>
      <x:c r="P219" s="26" t="str">
        <x:v>ANNUAL_OR_EDITION</x:v>
      </x:c>
      <x:c r="Q219" s="26" t="n">
        <x:v>4</x:v>
      </x:c>
      <x:c r="R219" s="26" t="n">
        <x:v>4</x:v>
      </x:c>
      <x:c r="S219" s="26" t="n">
        <x:v>3</x:v>
      </x:c>
      <x:c r="T219" s="26" t="n">
        <x:v>4</x:v>
      </x:c>
      <x:c r="U219" s="26" t="n">
        <x:v>4</x:v>
      </x:c>
      <x:c r="V219" s="26" t="n">
        <x:v>3</x:v>
      </x:c>
      <x:c r="W219" s="26" t="n">
        <x:v>4</x:v>
      </x:c>
      <x:c r="X219" s="26" t="n">
        <x:v>3</x:v>
      </x:c>
      <x:c r="Y219" s="26" t="n">
        <x:v>4</x:v>
      </x:c>
      <x:c r="Z219" s="26" t="n">
        <x:v>2</x:v>
      </x:c>
      <x:c r="AA219" s="26" t="n">
        <x:v>1</x:v>
      </x:c>
      <x:c r="AB219" s="26" t="str">
        <x:v>CANDIDATE</x:v>
      </x:c>
      <x:c r="AC219" s="26" t="str">
        <x:v>NOT_DOWNLOADED</x:v>
      </x:c>
      <x:c r="AD219" s="26" t="str">
        <x:v>REQUIRES_ITEM_REVIEW</x:v>
      </x:c>
      <x:c r="AE219" s="26" t="str">
        <x:v>NOT_REVIEWED</x:v>
      </x:c>
      <x:c r="AF219" s="26" t="str">
        <x:v>NOT_TESTED</x:v>
      </x:c>
      <x:c r="AG219" s="26" t="str"/>
      <x:c r="AH219" s="26" t="str"/>
      <x:c r="AI219" s="26" t="str"/>
      <x:c r="AJ219" s="26" t="str"/>
      <x:c r="AK219" s="57" t="n">
        <x:f>MAX(0,MIN(100,ROUND(((Q219*'Overview'!$B$18)+(R219*'Overview'!$B$19)+(S219*'Overview'!$B$20)+(T219*'Overview'!$B$21)+(U219*'Overview'!$B$22)+(V219*'Overview'!$B$23)+(W219*'Overview'!$B$24)+(X219*'Overview'!$B$25)-(Y219*'Overview'!$B$26)-(Z219*'Overview'!$B$27)-(AA219*'Overview'!$B$28))/5*100,0)))</x:f>
        <x:v>57</x:v>
      </x:c>
      <x:c r="AL219" s="26" t="str">
        <x:v>[SUPPLEMENTAL_RESEARCH] Framework for institutions and multisector coordination; not a veterinary or medical treatment manual</x:v>
      </x:c>
    </x:row>
    <x:row r="220">
      <x:c r="A220" s="53" t="str">
        <x:v>SUP-LEA-047</x:v>
      </x:c>
      <x:c r="B220" s="53" t="str">
        <x:v>LIFE|HEALTH|AGRI</x:v>
      </x:c>
      <x:c r="C220" s="53" t="str">
        <x:v>DAD-IS animal genetic resources export</x:v>
      </x:c>
      <x:c r="D220" s="53" t="str">
        <x:v>Food and Agriculture Organization of the United Nations</x:v>
      </x:c>
      <x:c r="E220" s="53" t="str">
        <x:v>Практический источник для групп LIFE|HEALTH|AGRI</x:v>
      </x:c>
      <x:c r="F220" s="53" t="str">
        <x:v>https://www.fao.org/dad-is/data/data-export/en</x:v>
      </x:c>
      <x:c r="G220" s="53" t="str">
        <x:v>https://www.fao.org/dad-is/data/data-export/en</x:v>
      </x:c>
      <x:c r="H220" s="53" t="str">
        <x:v>https://www.fao.org/contact-us/terms/db-terms-of-use/en</x:v>
      </x:c>
      <x:c r="I220" s="53" t="str">
        <x:v>Breed diversity reference under FAO database terms unless metadata differs; not a health; breeding or import authorization</x:v>
      </x:c>
      <x:c r="J220" s="53" t="str">
        <x:v>EN; multilingual portal</x:v>
      </x:c>
      <x:c r="K220" s="53" t="str">
        <x:v>International/reference</x:v>
      </x:c>
      <x:c r="L220" s="53" t="str">
        <x:v>CSV/data export; reports</x:v>
      </x:c>
      <x:c r="M220" s="53" t="str">
        <x:v>Use official custom or bulk export; preserve indicator definitions and date</x:v>
      </x:c>
      <x:c r="N220" s="53" t="str">
        <x:v>L1</x:v>
      </x:c>
      <x:c r="O220" s="53" t="str">
        <x:v>S2_TRAINED_SUPERVISED</x:v>
      </x:c>
      <x:c r="P220" s="53" t="str">
        <x:v>ANNUAL_OR_EDITION</x:v>
      </x:c>
      <x:c r="Q220" s="53" t="n">
        <x:v>5</x:v>
      </x:c>
      <x:c r="R220" s="53" t="n">
        <x:v>4</x:v>
      </x:c>
      <x:c r="S220" s="53" t="n">
        <x:v>4</x:v>
      </x:c>
      <x:c r="T220" s="53" t="n">
        <x:v>4</x:v>
      </x:c>
      <x:c r="U220" s="53" t="n">
        <x:v>4</x:v>
      </x:c>
      <x:c r="V220" s="53" t="n">
        <x:v>3</x:v>
      </x:c>
      <x:c r="W220" s="53" t="n">
        <x:v>4</x:v>
      </x:c>
      <x:c r="X220" s="53" t="n">
        <x:v>3</x:v>
      </x:c>
      <x:c r="Y220" s="53" t="n">
        <x:v>2</x:v>
      </x:c>
      <x:c r="Z220" s="53" t="n">
        <x:v>2</x:v>
      </x:c>
      <x:c r="AA220" s="53" t="n">
        <x:v>1</x:v>
      </x:c>
      <x:c r="AB220" s="53" t="str">
        <x:v>CANDIDATE</x:v>
      </x:c>
      <x:c r="AC220" s="53" t="str">
        <x:v>NOT_DOWNLOADED</x:v>
      </x:c>
      <x:c r="AD220" s="53" t="str">
        <x:v>REQUIRES_ITEM_REVIEW</x:v>
      </x:c>
      <x:c r="AE220" s="53" t="str">
        <x:v>NOT_REVIEWED</x:v>
      </x:c>
      <x:c r="AF220" s="53" t="str">
        <x:v>NOT_TESTED</x:v>
      </x:c>
      <x:c r="AG220" s="53" t="str"/>
      <x:c r="AH220" s="53" t="str"/>
      <x:c r="AI220" s="53" t="str"/>
      <x:c r="AJ220" s="53" t="str"/>
      <x:c r="AK220" s="57" t="n">
        <x:f>MAX(0,MIN(100,ROUND(((Q220*'Overview'!$B$18)+(R220*'Overview'!$B$19)+(S220*'Overview'!$B$20)+(T220*'Overview'!$B$21)+(U220*'Overview'!$B$22)+(V220*'Overview'!$B$23)+(W220*'Overview'!$B$24)+(X220*'Overview'!$B$25)-(Y220*'Overview'!$B$26)-(Z220*'Overview'!$B$27)-(AA220*'Overview'!$B$28))/5*100,0)))</x:f>
        <x:v>71</x:v>
      </x:c>
      <x:c r="AL220" s="53" t="str">
        <x:v>[SUPPLEMENTAL_RESEARCH] Breed diversity reference under FAO database terms unless metadata differs; not a health; breeding or import authorization</x:v>
      </x:c>
    </x:row>
    <x:row r="221">
      <x:c r="A221" s="26" t="str">
        <x:v>SUP-LEA-048</x:v>
      </x:c>
      <x:c r="B221" s="26" t="str">
        <x:v>LIFE|HEALTH|AGRI</x:v>
      </x:c>
      <x:c r="C221" s="26" t="str">
        <x:v>EMPRES-i+ animal disease event data</x:v>
      </x:c>
      <x:c r="D221" s="26" t="str">
        <x:v>Food and Agriculture Organization of the United Nations</x:v>
      </x:c>
      <x:c r="E221" s="26" t="str">
        <x:v>Практический источник для групп LIFE|HEALTH|AGRI</x:v>
      </x:c>
      <x:c r="F221" s="26" t="str">
        <x:v>https://data.apps.fao.org/static/sites/empres-i/about.html</x:v>
      </x:c>
      <x:c r="G221" s="26" t="str">
        <x:v>https://data.apps.fao.org/static/sites/empres-i/about.html</x:v>
      </x:c>
      <x:c r="H221" s="26" t="str">
        <x:v>https://www.fao.org/contact-us/terms/db-terms-of-use/en</x:v>
      </x:c>
      <x:c r="I221" s="26" t="str">
        <x:v>Events combine official and partner sources; absence of a record is not absence of disease; reporting and response belong to veterinary authorities</x:v>
      </x:c>
      <x:c r="J221" s="26" t="str">
        <x:v>EN; multilingual portal</x:v>
      </x:c>
      <x:c r="K221" s="26" t="str">
        <x:v>International/reference</x:v>
      </x:c>
      <x:c r="L221" s="26" t="str">
        <x:v>Web map; event export/API if officially offered; metadata</x:v>
      </x:c>
      <x:c r="M221" s="26" t="str">
        <x:v>Acquire only an official dated export with event-source attribution and reuse metadata</x:v>
      </x:c>
      <x:c r="N221" s="26" t="str">
        <x:v>L2</x:v>
      </x:c>
      <x:c r="O221" s="26" t="str">
        <x:v>S4_REFERENCE_ONLY_PROHIBITED_HOUSEHOLD</x:v>
      </x:c>
      <x:c r="P221" s="26" t="str">
        <x:v>ANNUAL_OR_EDITION</x:v>
      </x:c>
      <x:c r="Q221" s="26" t="n">
        <x:v>4</x:v>
      </x:c>
      <x:c r="R221" s="26" t="n">
        <x:v>4</x:v>
      </x:c>
      <x:c r="S221" s="26" t="n">
        <x:v>3</x:v>
      </x:c>
      <x:c r="T221" s="26" t="n">
        <x:v>4</x:v>
      </x:c>
      <x:c r="U221" s="26" t="n">
        <x:v>4</x:v>
      </x:c>
      <x:c r="V221" s="26" t="n">
        <x:v>3</x:v>
      </x:c>
      <x:c r="W221" s="26" t="n">
        <x:v>4</x:v>
      </x:c>
      <x:c r="X221" s="26" t="n">
        <x:v>3</x:v>
      </x:c>
      <x:c r="Y221" s="26" t="n">
        <x:v>5</x:v>
      </x:c>
      <x:c r="Z221" s="26" t="n">
        <x:v>2</x:v>
      </x:c>
      <x:c r="AA221" s="26" t="n">
        <x:v>1</x:v>
      </x:c>
      <x:c r="AB221" s="26" t="str">
        <x:v>CANDIDATE</x:v>
      </x:c>
      <x:c r="AC221" s="26" t="str">
        <x:v>NOT_DOWNLOADED</x:v>
      </x:c>
      <x:c r="AD221" s="26" t="str">
        <x:v>REQUIRES_ITEM_REVIEW</x:v>
      </x:c>
      <x:c r="AE221" s="26" t="str">
        <x:v>NOT_REVIEWED</x:v>
      </x:c>
      <x:c r="AF221" s="26" t="str">
        <x:v>NOT_TESTED</x:v>
      </x:c>
      <x:c r="AG221" s="26" t="str"/>
      <x:c r="AH221" s="26" t="str"/>
      <x:c r="AI221" s="26" t="str"/>
      <x:c r="AJ221" s="26" t="str"/>
      <x:c r="AK221" s="57" t="n">
        <x:f>MAX(0,MIN(100,ROUND(((Q221*'Overview'!$B$18)+(R221*'Overview'!$B$19)+(S221*'Overview'!$B$20)+(T221*'Overview'!$B$21)+(U221*'Overview'!$B$22)+(V221*'Overview'!$B$23)+(W221*'Overview'!$B$24)+(X221*'Overview'!$B$25)-(Y221*'Overview'!$B$26)-(Z221*'Overview'!$B$27)-(AA221*'Overview'!$B$28))/5*100,0)))</x:f>
        <x:v>54</x:v>
      </x:c>
      <x:c r="AL221" s="26" t="str">
        <x:v>[SUPPLEMENTAL_RESEARCH] Events combine official and partner sources; absence of a record is not absence of disease; reporting and response belong to veterinary authorities</x:v>
      </x:c>
    </x:row>
    <x:row r="222">
      <x:c r="A222" s="53" t="str">
        <x:v>SUP-LEA-049</x:v>
      </x:c>
      <x:c r="B222" s="53" t="str">
        <x:v>LIFE|HEALTH</x:v>
      </x:c>
      <x:c r="C222" s="53" t="str">
        <x:v>WOAH Terrestrial Animal Health Code and diagnostic Manual</x:v>
      </x:c>
      <x:c r="D222" s="53" t="str">
        <x:v>World Organisation for Animal Health</x:v>
      </x:c>
      <x:c r="E222" s="53" t="str">
        <x:v>Практический источник для групп LIFE|HEALTH</x:v>
      </x:c>
      <x:c r="F222" s="53" t="str">
        <x:v>https://www.woah.org/en/what-we-do/standards/codes-and-manuals/</x:v>
      </x:c>
      <x:c r="G222" s="53" t="str">
        <x:v>https://www.woah.org/en/what-we-do/standards/codes-and-manuals/</x:v>
      </x:c>
      <x:c r="H222" s="53" t="str">
        <x:v>https://www.woah.org/en/what-we-do/publications/</x:v>
      </x:c>
      <x:c r="I222" s="53" t="str">
        <x:v>Free to read does not equal redistribution; diagnostic methods are laboratory/veterinary only and editions change</x:v>
      </x:c>
      <x:c r="J222" s="53" t="str">
        <x:v>EN; FR; ES</x:v>
      </x:c>
      <x:c r="K222" s="53" t="str">
        <x:v>International/reference</x:v>
      </x:c>
      <x:c r="L222" s="53" t="str">
        <x:v>PDF; online chapters</x:v>
      </x:c>
      <x:c r="M222" s="53" t="str">
        <x:v>Keep metadata and official current/previous-edition links; obtain WOAH reproduction permission before shared offline distribution</x:v>
      </x:c>
      <x:c r="N222" s="53" t="str">
        <x:v>L3</x:v>
      </x:c>
      <x:c r="O222" s="53" t="str">
        <x:v>S4_REFERENCE_ONLY_PROHIBITED_HOUSEHOLD</x:v>
      </x:c>
      <x:c r="P222" s="53" t="str">
        <x:v>ANNUAL_OR_EDITION</x:v>
      </x:c>
      <x:c r="Q222" s="53" t="n">
        <x:v>3</x:v>
      </x:c>
      <x:c r="R222" s="53" t="n">
        <x:v>4</x:v>
      </x:c>
      <x:c r="S222" s="53" t="n">
        <x:v>3</x:v>
      </x:c>
      <x:c r="T222" s="53" t="n">
        <x:v>4</x:v>
      </x:c>
      <x:c r="U222" s="53" t="n">
        <x:v>3</x:v>
      </x:c>
      <x:c r="V222" s="53" t="n">
        <x:v>3</x:v>
      </x:c>
      <x:c r="W222" s="53" t="n">
        <x:v>2</x:v>
      </x:c>
      <x:c r="X222" s="53" t="n">
        <x:v>3</x:v>
      </x:c>
      <x:c r="Y222" s="53" t="n">
        <x:v>5</x:v>
      </x:c>
      <x:c r="Z222" s="53" t="n">
        <x:v>2</x:v>
      </x:c>
      <x:c r="AA222" s="53" t="n">
        <x:v>3</x:v>
      </x:c>
      <x:c r="AB222" s="53" t="str">
        <x:v>CANDIDATE</x:v>
      </x:c>
      <x:c r="AC222" s="53" t="str">
        <x:v>NOT_DOWNLOADED</x:v>
      </x:c>
      <x:c r="AD222" s="53" t="str">
        <x:v>REQUIRES_ITEM_REVIEW</x:v>
      </x:c>
      <x:c r="AE222" s="53" t="str">
        <x:v>NOT_REVIEWED</x:v>
      </x:c>
      <x:c r="AF222" s="53" t="str">
        <x:v>NOT_TESTED</x:v>
      </x:c>
      <x:c r="AG222" s="53" t="str"/>
      <x:c r="AH222" s="53" t="str"/>
      <x:c r="AI222" s="53" t="str"/>
      <x:c r="AJ222" s="53" t="str"/>
      <x:c r="AK222" s="57" t="n">
        <x:f>MAX(0,MIN(100,ROUND(((Q222*'Overview'!$B$18)+(R222*'Overview'!$B$19)+(S222*'Overview'!$B$20)+(T222*'Overview'!$B$21)+(U222*'Overview'!$B$22)+(V222*'Overview'!$B$23)+(W222*'Overview'!$B$24)+(X222*'Overview'!$B$25)-(Y222*'Overview'!$B$26)-(Z222*'Overview'!$B$27)-(AA222*'Overview'!$B$28))/5*100,0)))</x:f>
        <x:v>43</x:v>
      </x:c>
      <x:c r="AL222" s="53" t="str">
        <x:v>[SUPPLEMENTAL_RESEARCH] Free to read does not equal redistribution; diagnostic methods are laboratory/veterinary only and editions change</x:v>
      </x:c>
    </x:row>
    <x:row r="223">
      <x:c r="A223" s="26" t="str">
        <x:v>SUP-LEA-050</x:v>
      </x:c>
      <x:c r="B223" s="26" t="str">
        <x:v>PHYS|LIFE|HEALTH|AGRI</x:v>
      </x:c>
      <x:c r="C223" s="26" t="str">
        <x:v>NAHEMS and FAD PReP animal emergency materials</x:v>
      </x:c>
      <x:c r="D223" s="26" t="str">
        <x:v>USDA Animal and Plant Health Inspection Service</x:v>
      </x:c>
      <x:c r="E223" s="26" t="str">
        <x:v>Практический источник для групп PHYS|LIFE|HEALTH|AGRI</x:v>
      </x:c>
      <x:c r="F223" s="26" t="str">
        <x:v>https://www.aphis.usda.gov/animal-emergencies/nahems-educational-training-materials</x:v>
      </x:c>
      <x:c r="G223" s="26" t="str">
        <x:v>https://www.aphis.usda.gov/animal-emergencies/nahems-educational-training-materials</x:v>
      </x:c>
      <x:c r="H223" s="26" t="str">
        <x:v>https://www.usda.gov/about-usda/general-information/policies-and-links/digital/copyright-policy</x:v>
      </x:c>
      <x:c r="I223" s="26" t="str">
        <x:v>Household safe subset is observe; separate contacts; document and notify; quarantine; sampling; vaccination; euthanasia; depopulation and carcass disposal are authority-only</x:v>
      </x:c>
      <x:c r="J223" s="26" t="str">
        <x:v>EN</x:v>
      </x:c>
      <x:c r="K223" s="26" t="str">
        <x:v>International/reference</x:v>
      </x:c>
      <x:c r="L223" s="26" t="str">
        <x:v>PDF guidelines; handouts; presentations; response plans</x:v>
      </x:c>
      <x:c r="M223" s="26" t="str">
        <x:v>Download only exact US federal materials after third-party rights review; record edition and hazard role</x:v>
      </x:c>
      <x:c r="N223" s="26" t="str">
        <x:v>L2</x:v>
      </x:c>
      <x:c r="O223" s="26" t="str">
        <x:v>S3_LICENSED_PROFESSIONAL</x:v>
      </x:c>
      <x:c r="P223" s="26" t="str">
        <x:v>ANNUAL_OR_EDITION</x:v>
      </x:c>
      <x:c r="Q223" s="26" t="n">
        <x:v>4</x:v>
      </x:c>
      <x:c r="R223" s="26" t="n">
        <x:v>4</x:v>
      </x:c>
      <x:c r="S223" s="26" t="n">
        <x:v>3</x:v>
      </x:c>
      <x:c r="T223" s="26" t="n">
        <x:v>4</x:v>
      </x:c>
      <x:c r="U223" s="26" t="n">
        <x:v>4</x:v>
      </x:c>
      <x:c r="V223" s="26" t="n">
        <x:v>3</x:v>
      </x:c>
      <x:c r="W223" s="26" t="n">
        <x:v>2</x:v>
      </x:c>
      <x:c r="X223" s="26" t="n">
        <x:v>3</x:v>
      </x:c>
      <x:c r="Y223" s="26" t="n">
        <x:v>4</x:v>
      </x:c>
      <x:c r="Z223" s="26" t="n">
        <x:v>2</x:v>
      </x:c>
      <x:c r="AA223" s="26" t="n">
        <x:v>1</x:v>
      </x:c>
      <x:c r="AB223" s="26" t="str">
        <x:v>CANDIDATE</x:v>
      </x:c>
      <x:c r="AC223" s="26" t="str">
        <x:v>NOT_DOWNLOADED</x:v>
      </x:c>
      <x:c r="AD223" s="26" t="str">
        <x:v>REQUIRES_ITEM_REVIEW</x:v>
      </x:c>
      <x:c r="AE223" s="26" t="str">
        <x:v>NOT_REVIEWED</x:v>
      </x:c>
      <x:c r="AF223" s="26" t="str">
        <x:v>NOT_TESTED</x:v>
      </x:c>
      <x:c r="AG223" s="26" t="str"/>
      <x:c r="AH223" s="26" t="str"/>
      <x:c r="AI223" s="26" t="str"/>
      <x:c r="AJ223" s="26" t="str"/>
      <x:c r="AK223" s="57" t="n">
        <x:f>MAX(0,MIN(100,ROUND(((Q223*'Overview'!$B$18)+(R223*'Overview'!$B$19)+(S223*'Overview'!$B$20)+(T223*'Overview'!$B$21)+(U223*'Overview'!$B$22)+(V223*'Overview'!$B$23)+(W223*'Overview'!$B$24)+(X223*'Overview'!$B$25)-(Y223*'Overview'!$B$26)-(Z223*'Overview'!$B$27)-(AA223*'Overview'!$B$28))/5*100,0)))</x:f>
        <x:v>55</x:v>
      </x:c>
      <x:c r="AL223" s="26" t="str">
        <x:v>[SUPPLEMENTAL_RESEARCH] Household safe subset is observe; separate contacts; document and notify; quarantine; sampling; vaccination; euthanasia; depopulation and carcass disposal are authority-only</x:v>
      </x:c>
    </x:row>
    <x:row r="224">
      <x:c r="A224" s="53" t="str">
        <x:v>SUP-MDE-001</x:v>
      </x:c>
      <x:c r="B224" s="53" t="str">
        <x:v>MATH|METH|EDU</x:v>
      </x:c>
      <x:c r="C224" s="53" t="str">
        <x:v>OpenStax textbook set</x:v>
      </x:c>
      <x:c r="D224" s="53" t="str">
        <x:v>openstax.org</x:v>
      </x:c>
      <x:c r="E224" s="53" t="str">
        <x:v>Практический источник для групп MATH|METH|EDU</x:v>
      </x:c>
      <x:c r="F224" s="53" t="str">
        <x:v>https://openstax.org/</x:v>
      </x:c>
      <x:c r="G224" s="53" t="str">
        <x:v>https://openstax.org/</x:v>
      </x:c>
      <x:c r="H224" s="53" t="str">
        <x:v>https://openstax.org/</x:v>
      </x:c>
      <x:c r="I224" s="53" t="str">
        <x:v>Current official FAQ says CC-BY-NC-SA-4.0; exact title/edition; attribution on each physical page or digital equivalent; trademark and ancillary exclusions require item review</x:v>
      </x:c>
      <x:c r="J224" s="53" t="str">
        <x:v>primarily EN;ES and other availability is title-specific</x:v>
      </x:c>
      <x:c r="K224" s="53" t="str">
        <x:v>International/reference</x:v>
      </x:c>
      <x:c r="L224" s="53" t="str">
        <x:v>PDF;HTML web view;book-specific ancillary files</x:v>
      </x:c>
      <x:c r="M224" s="53" t="str">
        <x:v>Select exact titles and editions; preserve PDF/HTML where offered, attribution text, accessibility assets and title metadata; serve read-only locally</x:v>
      </x:c>
      <x:c r="N224" s="53" t="str">
        <x:v>L2</x:v>
      </x:c>
      <x:c r="O224" s="53" t="str">
        <x:v>S0_OBSERVE_READ</x:v>
      </x:c>
      <x:c r="P224" s="53" t="str">
        <x:v>ANNUAL_OR_EDITION</x:v>
      </x:c>
      <x:c r="Q224" s="53" t="n">
        <x:v>4</x:v>
      </x:c>
      <x:c r="R224" s="53" t="n">
        <x:v>4</x:v>
      </x:c>
      <x:c r="S224" s="53" t="n">
        <x:v>3</x:v>
      </x:c>
      <x:c r="T224" s="53" t="n">
        <x:v>4</x:v>
      </x:c>
      <x:c r="U224" s="53" t="n">
        <x:v>4</x:v>
      </x:c>
      <x:c r="V224" s="53" t="n">
        <x:v>3</x:v>
      </x:c>
      <x:c r="W224" s="53" t="n">
        <x:v>2</x:v>
      </x:c>
      <x:c r="X224" s="53" t="n">
        <x:v>3</x:v>
      </x:c>
      <x:c r="Y224" s="53" t="n">
        <x:v>0</x:v>
      </x:c>
      <x:c r="Z224" s="53" t="n">
        <x:v>2</x:v>
      </x:c>
      <x:c r="AA224" s="53" t="n">
        <x:v>1</x:v>
      </x:c>
      <x:c r="AB224" s="53" t="str">
        <x:v>CANDIDATE</x:v>
      </x:c>
      <x:c r="AC224" s="53" t="str">
        <x:v>NOT_DOWNLOADED</x:v>
      </x:c>
      <x:c r="AD224" s="53" t="str">
        <x:v>REQUIRES_ITEM_REVIEW</x:v>
      </x:c>
      <x:c r="AE224" s="53" t="str">
        <x:v>NOT_REVIEWED</x:v>
      </x:c>
      <x:c r="AF224" s="53" t="str">
        <x:v>NOT_TESTED</x:v>
      </x:c>
      <x:c r="AG224" s="53" t="str"/>
      <x:c r="AH224" s="53" t="str"/>
      <x:c r="AI224" s="53" t="str"/>
      <x:c r="AJ224" s="53" t="str"/>
      <x:c r="AK224" s="57" t="n">
        <x:f>MAX(0,MIN(100,ROUND(((Q224*'Overview'!$B$18)+(R224*'Overview'!$B$19)+(S224*'Overview'!$B$20)+(T224*'Overview'!$B$21)+(U224*'Overview'!$B$22)+(V224*'Overview'!$B$23)+(W224*'Overview'!$B$24)+(X224*'Overview'!$B$25)-(Y224*'Overview'!$B$26)-(Z224*'Overview'!$B$27)-(AA224*'Overview'!$B$28))/5*100,0)))</x:f>
        <x:v>67</x:v>
      </x:c>
      <x:c r="AL224" s="53" t="str">
        <x:v>[SUPPLEMENTAL_RESEARCH] Commercial/noncommercial context; title-level license snapshot; third-party figures; edition date; accessibility; no credential claim</x:v>
      </x:c>
    </x:row>
    <x:row r="225">
      <x:c r="A225" s="26" t="str">
        <x:v>SUP-MDE-002</x:v>
      </x:c>
      <x:c r="B225" s="26" t="str">
        <x:v>MATH|METH|COMP|ELEC|EDU</x:v>
      </x:c>
      <x:c r="C225" s="26" t="str">
        <x:v>MIT OpenCourseWare selected courses</x:v>
      </x:c>
      <x:c r="D225" s="26" t="str">
        <x:v>ocw.mit.edu</x:v>
      </x:c>
      <x:c r="E225" s="26" t="str">
        <x:v>Практический источник для групп MATH|METH|COMP|ELEC|EDU</x:v>
      </x:c>
      <x:c r="F225" s="26" t="str">
        <x:v>https://ocw.mit.edu/</x:v>
      </x:c>
      <x:c r="G225" s="26" t="str">
        <x:v>https://ocw.mit.edu/</x:v>
      </x:c>
      <x:c r="H225" s="26" t="str">
        <x:v>https://ocw.mit.edu/</x:v>
      </x:c>
      <x:c r="I225" s="26" t="str">
        <x:v>Current terms state CC-BY-NC-SA-4.0 for OCW content; third-party material and marks may be excluded; course-by-course review mandatory</x:v>
      </x:c>
      <x:c r="J225" s="26" t="str">
        <x:v>mostly EN;translations/course variants are item-specific</x:v>
      </x:c>
      <x:c r="K225" s="26" t="str">
        <x:v>International/reference</x:v>
      </x:c>
      <x:c r="L225" s="26" t="str">
        <x:v>Course ZIP;HTML;PDF;media where included</x:v>
      </x:c>
      <x:c r="M225" s="26" t="str">
        <x:v>Use each course's official Download Course path; freeze course URL, date, manifest and excluded assets; test all local links/media without network</x:v>
      </x:c>
      <x:c r="N225" s="26" t="str">
        <x:v>L2</x:v>
      </x:c>
      <x:c r="O225" s="26" t="str">
        <x:v>S1_LOW_RISK_HOUSEHOLD</x:v>
      </x:c>
      <x:c r="P225" s="26" t="str">
        <x:v>ANNUAL_OR_EDITION</x:v>
      </x:c>
      <x:c r="Q225" s="26" t="n">
        <x:v>4</x:v>
      </x:c>
      <x:c r="R225" s="26" t="n">
        <x:v>4</x:v>
      </x:c>
      <x:c r="S225" s="26" t="n">
        <x:v>3</x:v>
      </x:c>
      <x:c r="T225" s="26" t="n">
        <x:v>4</x:v>
      </x:c>
      <x:c r="U225" s="26" t="n">
        <x:v>4</x:v>
      </x:c>
      <x:c r="V225" s="26" t="n">
        <x:v>3</x:v>
      </x:c>
      <x:c r="W225" s="26" t="n">
        <x:v>2</x:v>
      </x:c>
      <x:c r="X225" s="26" t="n">
        <x:v>3</x:v>
      </x:c>
      <x:c r="Y225" s="26" t="n">
        <x:v>1</x:v>
      </x:c>
      <x:c r="Z225" s="26" t="n">
        <x:v>2</x:v>
      </x:c>
      <x:c r="AA225" s="26" t="n">
        <x:v>1</x:v>
      </x:c>
      <x:c r="AB225" s="26" t="str">
        <x:v>CANDIDATE</x:v>
      </x:c>
      <x:c r="AC225" s="26" t="str">
        <x:v>NOT_DOWNLOADED</x:v>
      </x:c>
      <x:c r="AD225" s="26" t="str">
        <x:v>REQUIRES_ITEM_REVIEW</x:v>
      </x:c>
      <x:c r="AE225" s="26" t="str">
        <x:v>NOT_REVIEWED</x:v>
      </x:c>
      <x:c r="AF225" s="26" t="str">
        <x:v>NOT_TESTED</x:v>
      </x:c>
      <x:c r="AG225" s="26" t="str"/>
      <x:c r="AH225" s="26" t="str"/>
      <x:c r="AI225" s="26" t="str"/>
      <x:c r="AJ225" s="26" t="str"/>
      <x:c r="AK225" s="57" t="n">
        <x:f>MAX(0,MIN(100,ROUND(((Q225*'Overview'!$B$18)+(R225*'Overview'!$B$19)+(S225*'Overview'!$B$20)+(T225*'Overview'!$B$21)+(U225*'Overview'!$B$22)+(V225*'Overview'!$B$23)+(W225*'Overview'!$B$24)+(X225*'Overview'!$B$25)-(Y225*'Overview'!$B$26)-(Z225*'Overview'!$B$27)-(AA225*'Overview'!$B$28))/5*100,0)))</x:f>
        <x:v>64</x:v>
      </x:c>
      <x:c r="AL225" s="26" t="str">
        <x:v>[SUPPLEMENTAL_RESEARCH] Per-course rights; NC/SA compatibility; third-party media; large video budget; current terms snapshot [CANONICAL_URL_SAFETY_FLOOR=S1_LOW_RISK_HOUSEHOLD]</x:v>
      </x:c>
    </x:row>
    <x:row r="226">
      <x:c r="A226" s="53" t="str">
        <x:v>SUP-MDE-003</x:v>
      </x:c>
      <x:c r="B226" s="53" t="str">
        <x:v>MATH|METH|ELEC|EDU</x:v>
      </x:c>
      <x:c r="C226" s="53" t="str">
        <x:v>PhET regular HTML simulations</x:v>
      </x:c>
      <x:c r="D226" s="53" t="str">
        <x:v>phet.colorado.edu</x:v>
      </x:c>
      <x:c r="E226" s="53" t="str">
        <x:v>Практический источник для групп MATH|METH|ELEC|EDU</x:v>
      </x:c>
      <x:c r="F226" s="53" t="str">
        <x:v>https://phet.colorado.edu/en/</x:v>
      </x:c>
      <x:c r="G226" s="53" t="str">
        <x:v>https://phet.colorado.edu/en/</x:v>
      </x:c>
      <x:c r="H226" s="53" t="str">
        <x:v>https://phet.colorado.edu/en/</x:v>
      </x:c>
      <x:c r="I226" s="53" t="str">
        <x:v>Regular HTML simulation files are currently CC-BY-NC-4.0 with prescribed attribution and visible brand; PhET-iO/Studio and legacy Java/Flash have separate terms</x:v>
      </x:c>
      <x:c r="J226" s="53" t="str">
        <x:v>many translations including pt_BR; verify pt_PT and each simulation translation</x:v>
      </x:c>
      <x:c r="K226" s="53" t="str">
        <x:v>International/reference</x:v>
      </x:c>
      <x:c r="L226" s="53" t="str">
        <x:v>HTML5 simulation files;desktop offline app;legacy Java only where separately justified</x:v>
      </x:c>
      <x:c r="M226" s="53" t="str">
        <x:v>Download only regular HTML sims or official offline app; preserve attribution and embedded credits; run local launch tests; exclude PhET-iO presets</x:v>
      </x:c>
      <x:c r="N226" s="53" t="str">
        <x:v>L2</x:v>
      </x:c>
      <x:c r="O226" s="53" t="str">
        <x:v>S1_LOW_RISK_HOUSEHOLD</x:v>
      </x:c>
      <x:c r="P226" s="53" t="str">
        <x:v>ANNUAL_OR_EDITION</x:v>
      </x:c>
      <x:c r="Q226" s="53" t="n">
        <x:v>4</x:v>
      </x:c>
      <x:c r="R226" s="53" t="n">
        <x:v>4</x:v>
      </x:c>
      <x:c r="S226" s="53" t="n">
        <x:v>3</x:v>
      </x:c>
      <x:c r="T226" s="53" t="n">
        <x:v>4</x:v>
      </x:c>
      <x:c r="U226" s="53" t="n">
        <x:v>4</x:v>
      </x:c>
      <x:c r="V226" s="53" t="n">
        <x:v>3</x:v>
      </x:c>
      <x:c r="W226" s="53" t="n">
        <x:v>4</x:v>
      </x:c>
      <x:c r="X226" s="53" t="n">
        <x:v>3</x:v>
      </x:c>
      <x:c r="Y226" s="53" t="n">
        <x:v>0</x:v>
      </x:c>
      <x:c r="Z226" s="53" t="n">
        <x:v>2</x:v>
      </x:c>
      <x:c r="AA226" s="53" t="n">
        <x:v>1</x:v>
      </x:c>
      <x:c r="AB226" s="53" t="str">
        <x:v>CANDIDATE</x:v>
      </x:c>
      <x:c r="AC226" s="53" t="str">
        <x:v>NOT_DOWNLOADED</x:v>
      </x:c>
      <x:c r="AD226" s="53" t="str">
        <x:v>REQUIRES_ITEM_REVIEW</x:v>
      </x:c>
      <x:c r="AE226" s="53" t="str">
        <x:v>NOT_REVIEWED</x:v>
      </x:c>
      <x:c r="AF226" s="53" t="str">
        <x:v>NOT_TESTED</x:v>
      </x:c>
      <x:c r="AG226" s="53" t="str"/>
      <x:c r="AH226" s="53" t="str"/>
      <x:c r="AI226" s="53" t="str"/>
      <x:c r="AJ226" s="53" t="str"/>
      <x:c r="AK226" s="57" t="n">
        <x:f>MAX(0,MIN(100,ROUND(((Q226*'Overview'!$B$18)+(R226*'Overview'!$B$19)+(S226*'Overview'!$B$20)+(T226*'Overview'!$B$21)+(U226*'Overview'!$B$22)+(V226*'Overview'!$B$23)+(W226*'Overview'!$B$24)+(X226*'Overview'!$B$25)-(Y226*'Overview'!$B$26)-(Z226*'Overview'!$B$27)-(AA226*'Overview'!$B$28))/5*100,0)))</x:f>
        <x:v>69</x:v>
      </x:c>
      <x:c r="AL226" s="53" t="str">
        <x:v>[SUPPLEMENTAL_RESEARCH] Noncommercial use gate; exact sim/version; language QA; trademark rules; third-party credits; exclude premium/iO</x:v>
      </x:c>
    </x:row>
    <x:row r="227">
      <x:c r="A227" s="26" t="str">
        <x:v>SUP-MDE-004</x:v>
      </x:c>
      <x:c r="B227" s="26" t="str">
        <x:v>COMP|METH|EDU</x:v>
      </x:c>
      <x:c r="C227" s="26" t="str">
        <x:v>The Carpentries lesson set</x:v>
      </x:c>
      <x:c r="D227" s="26" t="str">
        <x:v>carpentries.org</x:v>
      </x:c>
      <x:c r="E227" s="26" t="str">
        <x:v>Практический источник для групп COMP|METH|EDU</x:v>
      </x:c>
      <x:c r="F227" s="26" t="str">
        <x:v>https://carpentries.org/</x:v>
      </x:c>
      <x:c r="G227" s="26" t="str">
        <x:v>https://carpentries.org/</x:v>
      </x:c>
      <x:c r="H227" s="26" t="str">
        <x:v>https://carpentries.org/</x:v>
      </x:c>
      <x:c r="I227" s="26" t="str">
        <x:v>Lesson materials are generally CC-BY-4.0; software snippets/templates may have repository-specific terms; inspect each selected repo</x:v>
      </x:c>
      <x:c r="J227" s="26" t="str">
        <x:v>mostly EN;community translations vary</x:v>
      </x:c>
      <x:c r="K227" s="26" t="str">
        <x:v>International/reference</x:v>
      </x:c>
      <x:c r="L227" s="26" t="str">
        <x:v>Git;Markdown;HTML;lesson data;instructor notes</x:v>
      </x:c>
      <x:c r="M227" s="26" t="str">
        <x:v>Clone immutable tags/commits with submodules; build static lesson locally; preserve AUTHORS/CITATION/LICENSE and datasets</x:v>
      </x:c>
      <x:c r="N227" s="26" t="str">
        <x:v>L2</x:v>
      </x:c>
      <x:c r="O227" s="26" t="str">
        <x:v>S0_OBSERVE_READ</x:v>
      </x:c>
      <x:c r="P227" s="26" t="str">
        <x:v>ANNUAL_OR_EDITION</x:v>
      </x:c>
      <x:c r="Q227" s="26" t="n">
        <x:v>4</x:v>
      </x:c>
      <x:c r="R227" s="26" t="n">
        <x:v>4</x:v>
      </x:c>
      <x:c r="S227" s="26" t="n">
        <x:v>3</x:v>
      </x:c>
      <x:c r="T227" s="26" t="n">
        <x:v>4</x:v>
      </x:c>
      <x:c r="U227" s="26" t="n">
        <x:v>4</x:v>
      </x:c>
      <x:c r="V227" s="26" t="n">
        <x:v>3</x:v>
      </x:c>
      <x:c r="W227" s="26" t="n">
        <x:v>2</x:v>
      </x:c>
      <x:c r="X227" s="26" t="n">
        <x:v>3</x:v>
      </x:c>
      <x:c r="Y227" s="26" t="n">
        <x:v>0</x:v>
      </x:c>
      <x:c r="Z227" s="26" t="n">
        <x:v>2</x:v>
      </x:c>
      <x:c r="AA227" s="26" t="n">
        <x:v>1</x:v>
      </x:c>
      <x:c r="AB227" s="26" t="str">
        <x:v>CANDIDATE</x:v>
      </x:c>
      <x:c r="AC227" s="26" t="str">
        <x:v>NOT_DOWNLOADED</x:v>
      </x:c>
      <x:c r="AD227" s="26" t="str">
        <x:v>REQUIRES_ITEM_REVIEW</x:v>
      </x:c>
      <x:c r="AE227" s="26" t="str">
        <x:v>NOT_REVIEWED</x:v>
      </x:c>
      <x:c r="AF227" s="26" t="str">
        <x:v>NOT_TESTED</x:v>
      </x:c>
      <x:c r="AG227" s="26" t="str"/>
      <x:c r="AH227" s="26" t="str"/>
      <x:c r="AI227" s="26" t="str"/>
      <x:c r="AJ227" s="26" t="str"/>
      <x:c r="AK227" s="57" t="n">
        <x:f>MAX(0,MIN(100,ROUND(((Q227*'Overview'!$B$18)+(R227*'Overview'!$B$19)+(S227*'Overview'!$B$20)+(T227*'Overview'!$B$21)+(U227*'Overview'!$B$22)+(V227*'Overview'!$B$23)+(W227*'Overview'!$B$24)+(X227*'Overview'!$B$25)-(Y227*'Overview'!$B$26)-(Z227*'Overview'!$B$27)-(AA227*'Overview'!$B$28))/5*100,0)))</x:f>
        <x:v>67</x:v>
      </x:c>
      <x:c r="AL227" s="26" t="str">
        <x:v>[SUPPLEMENTAL_RESEARCH] Repo-level license; data rights; commit pin; build dependencies; pedagogical review for local audience</x:v>
      </x:c>
    </x:row>
    <x:row r="228">
      <x:c r="A228" s="53" t="str">
        <x:v>SUP-MDE-005</x:v>
      </x:c>
      <x:c r="B228" s="53" t="str">
        <x:v>MATH|METH|EDU|ARCH</x:v>
      </x:c>
      <x:c r="C228" s="53" t="str">
        <x:v>The Turing Way</x:v>
      </x:c>
      <x:c r="D228" s="53" t="str">
        <x:v>github.com</x:v>
      </x:c>
      <x:c r="E228" s="53" t="str">
        <x:v>Практический источник для групп MATH|METH|EDU|ARCH</x:v>
      </x:c>
      <x:c r="F228" s="53" t="str">
        <x:v>https://github.com/the-turing-way/the-turing-way</x:v>
      </x:c>
      <x:c r="G228" s="53" t="str">
        <x:v>https://github.com/the-turing-way/the-turing-way</x:v>
      </x:c>
      <x:c r="H228" s="53" t="str">
        <x:v>https://github.com/the-turing-way/the-turing-way</x:v>
      </x:c>
      <x:c r="I228" s="53" t="str">
        <x:v>Official LICENSE: documentation/process/data CC-BY-4.0; software/infrastructure MIT except where noted; third-party citations/assets still require review</x:v>
      </x:c>
      <x:c r="J228" s="53" t="str">
        <x:v>EN with selected community translations including Portuguese; coverage varies</x:v>
      </x:c>
      <x:c r="K228" s="53" t="str">
        <x:v>International/reference</x:v>
      </x:c>
      <x:c r="L228" s="53" t="str">
        <x:v>Git;MyST/Markdown;images;HTML build;release archive</x:v>
      </x:c>
      <x:c r="M228" s="53" t="str">
        <x:v>Preserve release/tag plus source repository, build environment, references and image sources; build and search locally</x:v>
      </x:c>
      <x:c r="N228" s="53" t="str">
        <x:v>L2</x:v>
      </x:c>
      <x:c r="O228" s="53" t="str">
        <x:v>S0_OBSERVE_READ</x:v>
      </x:c>
      <x:c r="P228" s="53" t="str">
        <x:v>ANNUAL_OR_EDITION</x:v>
      </x:c>
      <x:c r="Q228" s="53" t="n">
        <x:v>4</x:v>
      </x:c>
      <x:c r="R228" s="53" t="n">
        <x:v>4</x:v>
      </x:c>
      <x:c r="S228" s="53" t="n">
        <x:v>3</x:v>
      </x:c>
      <x:c r="T228" s="53" t="n">
        <x:v>4</x:v>
      </x:c>
      <x:c r="U228" s="53" t="n">
        <x:v>4</x:v>
      </x:c>
      <x:c r="V228" s="53" t="n">
        <x:v>3</x:v>
      </x:c>
      <x:c r="W228" s="53" t="n">
        <x:v>2</x:v>
      </x:c>
      <x:c r="X228" s="53" t="n">
        <x:v>3</x:v>
      </x:c>
      <x:c r="Y228" s="53" t="n">
        <x:v>0</x:v>
      </x:c>
      <x:c r="Z228" s="53" t="n">
        <x:v>2</x:v>
      </x:c>
      <x:c r="AA228" s="53" t="n">
        <x:v>1</x:v>
      </x:c>
      <x:c r="AB228" s="53" t="str">
        <x:v>CANDIDATE</x:v>
      </x:c>
      <x:c r="AC228" s="53" t="str">
        <x:v>NOT_DOWNLOADED</x:v>
      </x:c>
      <x:c r="AD228" s="53" t="str">
        <x:v>REQUIRES_ITEM_REVIEW</x:v>
      </x:c>
      <x:c r="AE228" s="53" t="str">
        <x:v>NOT_REVIEWED</x:v>
      </x:c>
      <x:c r="AF228" s="53" t="str">
        <x:v>NOT_TESTED</x:v>
      </x:c>
      <x:c r="AG228" s="53" t="str"/>
      <x:c r="AH228" s="53" t="str"/>
      <x:c r="AI228" s="53" t="str"/>
      <x:c r="AJ228" s="53" t="str"/>
      <x:c r="AK228" s="57" t="n">
        <x:f>MAX(0,MIN(100,ROUND(((Q228*'Overview'!$B$18)+(R228*'Overview'!$B$19)+(S228*'Overview'!$B$20)+(T228*'Overview'!$B$21)+(U228*'Overview'!$B$22)+(V228*'Overview'!$B$23)+(W228*'Overview'!$B$24)+(X228*'Overview'!$B$25)-(Y228*'Overview'!$B$26)-(Z228*'Overview'!$B$27)-(AA228*'Overview'!$B$28))/5*100,0)))</x:f>
        <x:v>67</x:v>
      </x:c>
      <x:c r="AL228" s="53" t="str">
        <x:v>[SUPPLEMENTAL_RESEARCH] Exact release; external embeds; image/file notices; citation; local build closure</x:v>
      </x:c>
    </x:row>
    <x:row r="229">
      <x:c r="A229" s="26" t="str">
        <x:v>SUP-MDE-007</x:v>
      </x:c>
      <x:c r="B229" s="26" t="str">
        <x:v>EDU|ARCH|COMP</x:v>
      </x:c>
      <x:c r="C229" s="26" t="str">
        <x:v>Kolibri Learning Platform</x:v>
      </x:c>
      <x:c r="D229" s="26" t="str">
        <x:v>learningequality.org</x:v>
      </x:c>
      <x:c r="E229" s="26" t="str">
        <x:v>Практический источник для групп EDU|ARCH|COMP</x:v>
      </x:c>
      <x:c r="F229" s="26" t="str">
        <x:v>https://learningequality.org/kolibri/</x:v>
      </x:c>
      <x:c r="G229" s="26" t="str">
        <x:v>https://learningequality.org/kolibri/</x:v>
      </x:c>
      <x:c r="H229" s="26" t="str">
        <x:v>https://learningequality.org/kolibri/</x:v>
      </x:c>
      <x:c r="I229" s="26" t="str">
        <x:v>Kolibri code is MIT and docs CC-BY-SA-4.0; every content resource/channel retains its own license and attribution</x:v>
      </x:c>
      <x:c r="J229" s="26" t="str">
        <x:v>localized UI/docs;content languages depend on selected channel</x:v>
      </x:c>
      <x:c r="K229" s="26" t="str">
        <x:v>International/reference</x:v>
      </x:c>
      <x:c r="L229" s="26" t="str">
        <x:v>Platform installers/source packages;local database;Kolibri content channels;docs</x:v>
      </x:c>
      <x:c r="M229" s="26" t="str">
        <x:v>Acquire exact platform release and supported installer/source; export/import reviewed content through official offline peer/USB mechanism; preserve channel manifest and licenses</x:v>
      </x:c>
      <x:c r="N229" s="26" t="str">
        <x:v>L2</x:v>
      </x:c>
      <x:c r="O229" s="26" t="str">
        <x:v>S1_LOW_RISK_HOUSEHOLD</x:v>
      </x:c>
      <x:c r="P229" s="26" t="str">
        <x:v>ANNUAL_OR_EDITION</x:v>
      </x:c>
      <x:c r="Q229" s="26" t="n">
        <x:v>4</x:v>
      </x:c>
      <x:c r="R229" s="26" t="n">
        <x:v>4</x:v>
      </x:c>
      <x:c r="S229" s="26" t="n">
        <x:v>3</x:v>
      </x:c>
      <x:c r="T229" s="26" t="n">
        <x:v>4</x:v>
      </x:c>
      <x:c r="U229" s="26" t="n">
        <x:v>4</x:v>
      </x:c>
      <x:c r="V229" s="26" t="n">
        <x:v>3</x:v>
      </x:c>
      <x:c r="W229" s="26" t="n">
        <x:v>2</x:v>
      </x:c>
      <x:c r="X229" s="26" t="n">
        <x:v>3</x:v>
      </x:c>
      <x:c r="Y229" s="26" t="n">
        <x:v>0</x:v>
      </x:c>
      <x:c r="Z229" s="26" t="n">
        <x:v>2</x:v>
      </x:c>
      <x:c r="AA229" s="26" t="n">
        <x:v>1</x:v>
      </x:c>
      <x:c r="AB229" s="26" t="str">
        <x:v>CANDIDATE</x:v>
      </x:c>
      <x:c r="AC229" s="26" t="str">
        <x:v>NOT_DOWNLOADED</x:v>
      </x:c>
      <x:c r="AD229" s="26" t="str">
        <x:v>REQUIRES_ITEM_REVIEW</x:v>
      </x:c>
      <x:c r="AE229" s="26" t="str">
        <x:v>NOT_REVIEWED</x:v>
      </x:c>
      <x:c r="AF229" s="26" t="str">
        <x:v>NOT_TESTED</x:v>
      </x:c>
      <x:c r="AG229" s="26" t="str"/>
      <x:c r="AH229" s="26" t="str"/>
      <x:c r="AI229" s="26" t="str"/>
      <x:c r="AJ229" s="26" t="str"/>
      <x:c r="AK229" s="57" t="n">
        <x:f>MAX(0,MIN(100,ROUND(((Q229*'Overview'!$B$18)+(R229*'Overview'!$B$19)+(S229*'Overview'!$B$20)+(T229*'Overview'!$B$21)+(U229*'Overview'!$B$22)+(V229*'Overview'!$B$23)+(W229*'Overview'!$B$24)+(X229*'Overview'!$B$25)-(Y229*'Overview'!$B$26)-(Z229*'Overview'!$B$27)-(AA229*'Overview'!$B$28))/5*100,0)))</x:f>
        <x:v>67</x:v>
      </x:c>
      <x:c r="AL229" s="26" t="str">
        <x:v>[SUPPLEMENTAL_RESEARCH] Platform security version; content-level rights; user/learner data privacy; backup/restore; no cloud dependency in test</x:v>
      </x:c>
    </x:row>
    <x:row r="230">
      <x:c r="A230" s="53" t="str">
        <x:v>SUP-MDE-008</x:v>
      </x:c>
      <x:c r="B230" s="53" t="str">
        <x:v>ARCH|COMP</x:v>
      </x:c>
      <x:c r="C230" s="53" t="str">
        <x:v>Kiwix/openZIM runtime</x:v>
      </x:c>
      <x:c r="D230" s="53" t="str">
        <x:v>kiwix.org</x:v>
      </x:c>
      <x:c r="E230" s="53" t="str">
        <x:v>Практический источник для групп ARCH|COMP</x:v>
      </x:c>
      <x:c r="F230" s="53" t="str">
        <x:v>https://kiwix.org/en/</x:v>
      </x:c>
      <x:c r="G230" s="53" t="str">
        <x:v>https://kiwix.org/en/</x:v>
      </x:c>
      <x:c r="H230" s="53" t="str">
        <x:v>https://kiwix.org/en/</x:v>
      </x:c>
      <x:c r="I230" s="53" t="str">
        <x:v>Kiwix/openZIM software licenses are component-specific, commonly GPL-family; ZIM container conveys no rights to contained content</x:v>
      </x:c>
      <x:c r="J230" s="53" t="str">
        <x:v>reader localized;content language per ZIM</x:v>
      </x:c>
      <x:c r="K230" s="53" t="str">
        <x:v>International/reference</x:v>
      </x:c>
      <x:c r="L230" s="53" t="str">
        <x:v>Reader binaries;source;ZIM;OPDS/catalog metadata;Meta4;torrent where offered</x:v>
      </x:c>
      <x:c r="M230" s="53" t="str">
        <x:v>Freeze exact reader and source releases for target platforms; ingest only separately cleared ZIMs; local full-text/search smoke test and file-integrity check</x:v>
      </x:c>
      <x:c r="N230" s="53" t="str">
        <x:v>L2</x:v>
      </x:c>
      <x:c r="O230" s="53" t="str">
        <x:v>S1_LOW_RISK_HOUSEHOLD</x:v>
      </x:c>
      <x:c r="P230" s="53" t="str">
        <x:v>ANNUAL_OR_EDITION</x:v>
      </x:c>
      <x:c r="Q230" s="53" t="n">
        <x:v>4</x:v>
      </x:c>
      <x:c r="R230" s="53" t="n">
        <x:v>4</x:v>
      </x:c>
      <x:c r="S230" s="53" t="n">
        <x:v>3</x:v>
      </x:c>
      <x:c r="T230" s="53" t="n">
        <x:v>4</x:v>
      </x:c>
      <x:c r="U230" s="53" t="n">
        <x:v>4</x:v>
      </x:c>
      <x:c r="V230" s="53" t="n">
        <x:v>3</x:v>
      </x:c>
      <x:c r="W230" s="53" t="n">
        <x:v>2</x:v>
      </x:c>
      <x:c r="X230" s="53" t="n">
        <x:v>3</x:v>
      </x:c>
      <x:c r="Y230" s="53" t="n">
        <x:v>0</x:v>
      </x:c>
      <x:c r="Z230" s="53" t="n">
        <x:v>2</x:v>
      </x:c>
      <x:c r="AA230" s="53" t="n">
        <x:v>1</x:v>
      </x:c>
      <x:c r="AB230" s="53" t="str">
        <x:v>CANDIDATE</x:v>
      </x:c>
      <x:c r="AC230" s="53" t="str">
        <x:v>NOT_DOWNLOADED</x:v>
      </x:c>
      <x:c r="AD230" s="53" t="str">
        <x:v>REQUIRES_ITEM_REVIEW</x:v>
      </x:c>
      <x:c r="AE230" s="53" t="str">
        <x:v>NOT_REVIEWED</x:v>
      </x:c>
      <x:c r="AF230" s="53" t="str">
        <x:v>NOT_TESTED</x:v>
      </x:c>
      <x:c r="AG230" s="53" t="str"/>
      <x:c r="AH230" s="53" t="str"/>
      <x:c r="AI230" s="53" t="str"/>
      <x:c r="AJ230" s="53" t="str"/>
      <x:c r="AK230" s="57" t="n">
        <x:f>MAX(0,MIN(100,ROUND(((Q230*'Overview'!$B$18)+(R230*'Overview'!$B$19)+(S230*'Overview'!$B$20)+(T230*'Overview'!$B$21)+(U230*'Overview'!$B$22)+(V230*'Overview'!$B$23)+(W230*'Overview'!$B$24)+(X230*'Overview'!$B$25)-(Y230*'Overview'!$B$26)-(Z230*'Overview'!$B$27)-(AA230*'Overview'!$B$28))/5*100,0)))</x:f>
        <x:v>67</x:v>
      </x:c>
      <x:c r="AL230" s="53" t="str">
        <x:v>[SUPPLEMENTAL_RESEARCH] Component SPDX; contained-content rights; signatures/checksums; target architecture; search/index function</x:v>
      </x:c>
    </x:row>
    <x:row r="231">
      <x:c r="A231" s="26" t="str">
        <x:v>SUP-MDE-009</x:v>
      </x:c>
      <x:c r="B231" s="26" t="str">
        <x:v>ARCH|EDU</x:v>
      </x:c>
      <x:c r="C231" s="26" t="str">
        <x:v>Wikimedia offline knowledge subset</x:v>
      </x:c>
      <x:c r="D231" s="26" t="str">
        <x:v>dumps.wikimedia.org</x:v>
      </x:c>
      <x:c r="E231" s="26" t="str">
        <x:v>Практический источник для групп ARCH|EDU</x:v>
      </x:c>
      <x:c r="F231" s="26" t="str">
        <x:v>https://dumps.wikimedia.org/</x:v>
      </x:c>
      <x:c r="G231" s="26" t="str">
        <x:v>https://dumps.wikimedia.org/</x:v>
      </x:c>
      <x:c r="H231" s="26" t="str">
        <x:v>https://dumps.wikimedia.org/</x:v>
      </x:c>
      <x:c r="I231" s="26" t="str">
        <x:v>Text is generally CC-BY-SA and may also carry GFDL terms; media, quotations, structured data and individual projects differ; attribution/history and database terms must be retained</x:v>
      </x:c>
      <x:c r="J231" s="26" t="str">
        <x:v>many languages including PT, EN, RU, UK; project and snapshot specific</x:v>
      </x:c>
      <x:c r="K231" s="26" t="str">
        <x:v>International/reference</x:v>
      </x:c>
      <x:c r="L231" s="26" t="str">
        <x:v>XML dumps;SQL dumps;ZIM;images/media subsets;checksums</x:v>
      </x:c>
      <x:c r="M231" s="26" t="str">
        <x:v>Prefer a bounded project/language/date ZIM or official dump; preserve dump metadata, contributor/history mechanism and local reader; do not imply all media are freely reusable</x:v>
      </x:c>
      <x:c r="N231" s="26" t="str">
        <x:v>L2</x:v>
      </x:c>
      <x:c r="O231" s="26" t="str">
        <x:v>S0_OBSERVE_READ</x:v>
      </x:c>
      <x:c r="P231" s="26" t="str">
        <x:v>ANNUAL_OR_EDITION</x:v>
      </x:c>
      <x:c r="Q231" s="26" t="n">
        <x:v>4</x:v>
      </x:c>
      <x:c r="R231" s="26" t="n">
        <x:v>4</x:v>
      </x:c>
      <x:c r="S231" s="26" t="n">
        <x:v>3</x:v>
      </x:c>
      <x:c r="T231" s="26" t="n">
        <x:v>4</x:v>
      </x:c>
      <x:c r="U231" s="26" t="n">
        <x:v>4</x:v>
      </x:c>
      <x:c r="V231" s="26" t="n">
        <x:v>3</x:v>
      </x:c>
      <x:c r="W231" s="26" t="n">
        <x:v>4</x:v>
      </x:c>
      <x:c r="X231" s="26" t="n">
        <x:v>3</x:v>
      </x:c>
      <x:c r="Y231" s="26" t="n">
        <x:v>0</x:v>
      </x:c>
      <x:c r="Z231" s="26" t="n">
        <x:v>2</x:v>
      </x:c>
      <x:c r="AA231" s="26" t="n">
        <x:v>1</x:v>
      </x:c>
      <x:c r="AB231" s="26" t="str">
        <x:v>CANDIDATE</x:v>
      </x:c>
      <x:c r="AC231" s="26" t="str">
        <x:v>NOT_DOWNLOADED</x:v>
      </x:c>
      <x:c r="AD231" s="26" t="str">
        <x:v>REQUIRES_ITEM_REVIEW</x:v>
      </x:c>
      <x:c r="AE231" s="26" t="str">
        <x:v>NOT_REVIEWED</x:v>
      </x:c>
      <x:c r="AF231" s="26" t="str">
        <x:v>NOT_TESTED</x:v>
      </x:c>
      <x:c r="AG231" s="26" t="str"/>
      <x:c r="AH231" s="26" t="str"/>
      <x:c r="AI231" s="26" t="str"/>
      <x:c r="AJ231" s="26" t="str"/>
      <x:c r="AK231" s="57" t="n">
        <x:f>MAX(0,MIN(100,ROUND(((Q231*'Overview'!$B$18)+(R231*'Overview'!$B$19)+(S231*'Overview'!$B$20)+(T231*'Overview'!$B$21)+(U231*'Overview'!$B$22)+(V231*'Overview'!$B$23)+(W231*'Overview'!$B$24)+(X231*'Overview'!$B$25)-(Y231*'Overview'!$B$26)-(Z231*'Overview'!$B$27)-(AA231*'Overview'!$B$28))/5*100,0)))</x:f>
        <x:v>69</x:v>
      </x:c>
      <x:c r="AL231" s="26" t="str">
        <x:v>[SUPPLEMENTAL_RESEARCH] Project-specific terms; media exclusions; attribution/history; content date; size; misinformation disclaimer</x:v>
      </x:c>
    </x:row>
    <x:row r="232">
      <x:c r="A232" s="53" t="str">
        <x:v>SUP-MDE-010</x:v>
      </x:c>
      <x:c r="B232" s="53" t="str">
        <x:v>EDU|COMP|OPS|MATH|METH</x:v>
      </x:c>
      <x:c r="C232" s="53" t="str">
        <x:v>Tatoeba language corpus</x:v>
      </x:c>
      <x:c r="D232" s="53" t="str">
        <x:v>tatoeba.org</x:v>
      </x:c>
      <x:c r="E232" s="53" t="str">
        <x:v>Практический источник для групп EDU|COMP|OPS|MATH|METH</x:v>
      </x:c>
      <x:c r="F232" s="53" t="str">
        <x:v>https://tatoeba.org/en/downloads</x:v>
      </x:c>
      <x:c r="G232" s="53" t="str">
        <x:v>https://tatoeba.org/en/downloads</x:v>
      </x:c>
      <x:c r="H232" s="53" t="str">
        <x:v>https://tatoeba.org/en/downloads</x:v>
      </x:c>
      <x:c r="I232" s="53" t="str">
        <x:v>Download page states general files CC-BY-2.0-FR and a subset CC0; audio license is contributor-selected and blank means no reuse outside Tatoeba</x:v>
      </x:c>
      <x:c r="J232" s="53" t="str">
        <x:v>hundreds of languages; exact PT/RU/UK/EN counts fluctuate</x:v>
      </x:c>
      <x:c r="K232" s="53" t="str">
        <x:v>International/reference</x:v>
      </x:c>
      <x:c r="L232" s="53" t="str">
        <x:v>TSV;tar.bz2;custom exports;sentence-pair exports;audio links/metadata</x:v>
      </x:c>
      <x:c r="M232" s="53" t="str">
        <x:v>Select text-only exports first; retain sentence IDs, license field, attribution URL and export date; audio only via explicit per-file permit</x:v>
      </x:c>
      <x:c r="N232" s="53" t="str">
        <x:v>L2</x:v>
      </x:c>
      <x:c r="O232" s="53" t="str">
        <x:v>S1_LOW_RISK_HOUSEHOLD</x:v>
      </x:c>
      <x:c r="P232" s="53" t="str">
        <x:v>ANNUAL_OR_EDITION</x:v>
      </x:c>
      <x:c r="Q232" s="53" t="n">
        <x:v>4</x:v>
      </x:c>
      <x:c r="R232" s="53" t="n">
        <x:v>4</x:v>
      </x:c>
      <x:c r="S232" s="53" t="n">
        <x:v>3</x:v>
      </x:c>
      <x:c r="T232" s="53" t="n">
        <x:v>4</x:v>
      </x:c>
      <x:c r="U232" s="53" t="n">
        <x:v>4</x:v>
      </x:c>
      <x:c r="V232" s="53" t="n">
        <x:v>3</x:v>
      </x:c>
      <x:c r="W232" s="53" t="n">
        <x:v>4</x:v>
      </x:c>
      <x:c r="X232" s="53" t="n">
        <x:v>3</x:v>
      </x:c>
      <x:c r="Y232" s="53" t="n">
        <x:v>0</x:v>
      </x:c>
      <x:c r="Z232" s="53" t="n">
        <x:v>2</x:v>
      </x:c>
      <x:c r="AA232" s="53" t="n">
        <x:v>1</x:v>
      </x:c>
      <x:c r="AB232" s="53" t="str">
        <x:v>CANDIDATE</x:v>
      </x:c>
      <x:c r="AC232" s="53" t="str">
        <x:v>NOT_DOWNLOADED</x:v>
      </x:c>
      <x:c r="AD232" s="53" t="str">
        <x:v>REQUIRES_ITEM_REVIEW</x:v>
      </x:c>
      <x:c r="AE232" s="53" t="str">
        <x:v>NOT_REVIEWED</x:v>
      </x:c>
      <x:c r="AF232" s="53" t="str">
        <x:v>NOT_TESTED</x:v>
      </x:c>
      <x:c r="AG232" s="53" t="str"/>
      <x:c r="AH232" s="53" t="str"/>
      <x:c r="AI232" s="53" t="str"/>
      <x:c r="AJ232" s="53" t="str"/>
      <x:c r="AK232" s="57" t="n">
        <x:f>MAX(0,MIN(100,ROUND(((Q232*'Overview'!$B$18)+(R232*'Overview'!$B$19)+(S232*'Overview'!$B$20)+(T232*'Overview'!$B$21)+(U232*'Overview'!$B$22)+(V232*'Overview'!$B$23)+(W232*'Overview'!$B$24)+(X232*'Overview'!$B$25)-(Y232*'Overview'!$B$26)-(Z232*'Overview'!$B$27)-(AA232*'Overview'!$B$28))/5*100,0)))</x:f>
        <x:v>69</x:v>
      </x:c>
      <x:c r="AL232" s="53" t="str">
        <x:v>[SUPPLEMENTAL_RESEARCH] User-generated accuracy; per-record license; personal/offensive text screening; audio exclusions; attribution</x:v>
      </x:c>
    </x:row>
    <x:row r="233">
      <x:c r="A233" s="26" t="str">
        <x:v>SUP-MDE-011</x:v>
      </x:c>
      <x:c r="B233" s="26" t="str">
        <x:v>EDU|COMP</x:v>
      </x:c>
      <x:c r="C233" s="26" t="str">
        <x:v>Apertium offline translation stack</x:v>
      </x:c>
      <x:c r="D233" s="26" t="str">
        <x:v>github.com</x:v>
      </x:c>
      <x:c r="E233" s="26" t="str">
        <x:v>Практический источник для групп EDU|COMP</x:v>
      </x:c>
      <x:c r="F233" s="26" t="str">
        <x:v>https://github.com/apertium</x:v>
      </x:c>
      <x:c r="G233" s="26" t="str">
        <x:v>https://github.com/apertium</x:v>
      </x:c>
      <x:c r="H233" s="26" t="str">
        <x:v>https://github.com/apertium</x:v>
      </x:c>
      <x:c r="I233" s="26" t="str">
        <x:v>Core tools currently GPL-2.0; language modules/pairs vary among GPL-2.0, GPL-3.0 and other repo-specific notices; no org-wide blanket license</x:v>
      </x:c>
      <x:c r="J233" s="26" t="str">
        <x:v>pair-specific; verify exact PT-EN/PT-ES/PT-UK/PT-RU availability and direction</x:v>
      </x:c>
      <x:c r="K233" s="26" t="str">
        <x:v>International/reference</x:v>
      </x:c>
      <x:c r="L233" s="26" t="str">
        <x:v>Source repositories;XML linguistic data;compiled language pairs;CLI packages</x:v>
      </x:c>
      <x:c r="M233" s="26" t="str">
        <x:v>Resolve core, lttoolbox and exact released pair repos to immutable commits/tags; vendor build closure and run fixed bilingual test set offline</x:v>
      </x:c>
      <x:c r="N233" s="26" t="str">
        <x:v>L2</x:v>
      </x:c>
      <x:c r="O233" s="26" t="str">
        <x:v>S1_LOW_RISK_HOUSEHOLD</x:v>
      </x:c>
      <x:c r="P233" s="26" t="str">
        <x:v>ANNUAL_OR_EDITION</x:v>
      </x:c>
      <x:c r="Q233" s="26" t="n">
        <x:v>4</x:v>
      </x:c>
      <x:c r="R233" s="26" t="n">
        <x:v>4</x:v>
      </x:c>
      <x:c r="S233" s="26" t="n">
        <x:v>3</x:v>
      </x:c>
      <x:c r="T233" s="26" t="n">
        <x:v>4</x:v>
      </x:c>
      <x:c r="U233" s="26" t="n">
        <x:v>4</x:v>
      </x:c>
      <x:c r="V233" s="26" t="n">
        <x:v>3</x:v>
      </x:c>
      <x:c r="W233" s="26" t="n">
        <x:v>4</x:v>
      </x:c>
      <x:c r="X233" s="26" t="n">
        <x:v>3</x:v>
      </x:c>
      <x:c r="Y233" s="26" t="n">
        <x:v>0</x:v>
      </x:c>
      <x:c r="Z233" s="26" t="n">
        <x:v>2</x:v>
      </x:c>
      <x:c r="AA233" s="26" t="n">
        <x:v>1</x:v>
      </x:c>
      <x:c r="AB233" s="26" t="str">
        <x:v>CANDIDATE</x:v>
      </x:c>
      <x:c r="AC233" s="26" t="str">
        <x:v>NOT_DOWNLOADED</x:v>
      </x:c>
      <x:c r="AD233" s="26" t="str">
        <x:v>REQUIRES_ITEM_REVIEW</x:v>
      </x:c>
      <x:c r="AE233" s="26" t="str">
        <x:v>NOT_REVIEWED</x:v>
      </x:c>
      <x:c r="AF233" s="26" t="str">
        <x:v>NOT_TESTED</x:v>
      </x:c>
      <x:c r="AG233" s="26" t="str"/>
      <x:c r="AH233" s="26" t="str"/>
      <x:c r="AI233" s="26" t="str"/>
      <x:c r="AJ233" s="26" t="str"/>
      <x:c r="AK233" s="57" t="n">
        <x:f>MAX(0,MIN(100,ROUND(((Q233*'Overview'!$B$18)+(R233*'Overview'!$B$19)+(S233*'Overview'!$B$20)+(T233*'Overview'!$B$21)+(U233*'Overview'!$B$22)+(V233*'Overview'!$B$23)+(W233*'Overview'!$B$24)+(X233*'Overview'!$B$25)-(Y233*'Overview'!$B$26)-(Z233*'Overview'!$B$27)-(AA233*'Overview'!$B$28))/5*100,0)))</x:f>
        <x:v>69</x:v>
      </x:c>
      <x:c r="AL233" s="26" t="str">
        <x:v>[SUPPLEMENTAL_RESEARCH] Pair maturity/direction; repo-level license; submodules; compiler closure; human review for authoritative text</x:v>
      </x:c>
    </x:row>
    <x:row r="234">
      <x:c r="A234" s="53" t="str">
        <x:v>SUP-MDE-012</x:v>
      </x:c>
      <x:c r="B234" s="53" t="str">
        <x:v>EDU|COMP</x:v>
      </x:c>
      <x:c r="C234" s="53" t="str">
        <x:v>LanguageTool standalone</x:v>
      </x:c>
      <x:c r="D234" s="53" t="str">
        <x:v>github.com</x:v>
      </x:c>
      <x:c r="E234" s="53" t="str">
        <x:v>Практический источник для групп EDU|COMP</x:v>
      </x:c>
      <x:c r="F234" s="53" t="str">
        <x:v>https://github.com/languagetool-org/languagetool</x:v>
      </x:c>
      <x:c r="G234" s="53" t="str">
        <x:v>https://github.com/languagetool-org/languagetool</x:v>
      </x:c>
      <x:c r="H234" s="53" t="str">
        <x:v>https://github.com/languagetool-org/languagetool</x:v>
      </x:c>
      <x:c r="I234" s="53" t="str">
        <x:v>Core is LGPL-2.1-or-later; README explicitly says dictionaries/resources and third-party libraries carry separate licenses</x:v>
      </x:c>
      <x:c r="J234" s="53" t="str">
        <x:v>Portuguese, English, Spanish, Ukrainian, Russian and others; variant coverage differs</x:v>
      </x:c>
      <x:c r="K234" s="53" t="str">
        <x:v>International/reference</x:v>
      </x:c>
      <x:c r="L234" s="53" t="str">
        <x:v>Standalone ZIP;JAR;CLI;local HTTP server;source;language resources</x:v>
      </x:c>
      <x:c r="M234" s="53" t="str">
        <x:v>Preserve exact standalone release, supported JRE, source and third-party notices; bind only to loopback/LAN as required; run fixed PT-PT and multilingual regression set</x:v>
      </x:c>
      <x:c r="N234" s="53" t="str">
        <x:v>L2</x:v>
      </x:c>
      <x:c r="O234" s="53" t="str">
        <x:v>S1_LOW_RISK_HOUSEHOLD</x:v>
      </x:c>
      <x:c r="P234" s="53" t="str">
        <x:v>ANNUAL_OR_EDITION</x:v>
      </x:c>
      <x:c r="Q234" s="53" t="n">
        <x:v>4</x:v>
      </x:c>
      <x:c r="R234" s="53" t="n">
        <x:v>4</x:v>
      </x:c>
      <x:c r="S234" s="53" t="n">
        <x:v>3</x:v>
      </x:c>
      <x:c r="T234" s="53" t="n">
        <x:v>4</x:v>
      </x:c>
      <x:c r="U234" s="53" t="n">
        <x:v>4</x:v>
      </x:c>
      <x:c r="V234" s="53" t="n">
        <x:v>3</x:v>
      </x:c>
      <x:c r="W234" s="53" t="n">
        <x:v>4</x:v>
      </x:c>
      <x:c r="X234" s="53" t="n">
        <x:v>3</x:v>
      </x:c>
      <x:c r="Y234" s="53" t="n">
        <x:v>0</x:v>
      </x:c>
      <x:c r="Z234" s="53" t="n">
        <x:v>2</x:v>
      </x:c>
      <x:c r="AA234" s="53" t="n">
        <x:v>1</x:v>
      </x:c>
      <x:c r="AB234" s="53" t="str">
        <x:v>CANDIDATE</x:v>
      </x:c>
      <x:c r="AC234" s="53" t="str">
        <x:v>NOT_DOWNLOADED</x:v>
      </x:c>
      <x:c r="AD234" s="53" t="str">
        <x:v>REQUIRES_ITEM_REVIEW</x:v>
      </x:c>
      <x:c r="AE234" s="53" t="str">
        <x:v>NOT_REVIEWED</x:v>
      </x:c>
      <x:c r="AF234" s="53" t="str">
        <x:v>NOT_TESTED</x:v>
      </x:c>
      <x:c r="AG234" s="53" t="str"/>
      <x:c r="AH234" s="53" t="str"/>
      <x:c r="AI234" s="53" t="str"/>
      <x:c r="AJ234" s="53" t="str"/>
      <x:c r="AK234" s="57" t="n">
        <x:f>MAX(0,MIN(100,ROUND(((Q234*'Overview'!$B$18)+(R234*'Overview'!$B$19)+(S234*'Overview'!$B$20)+(T234*'Overview'!$B$21)+(U234*'Overview'!$B$22)+(V234*'Overview'!$B$23)+(W234*'Overview'!$B$24)+(X234*'Overview'!$B$25)-(Y234*'Overview'!$B$26)-(Z234*'Overview'!$B$27)-(AA234*'Overview'!$B$28))/5*100,0)))</x:f>
        <x:v>69</x:v>
      </x:c>
      <x:c r="AL234" s="53" t="str">
        <x:v>[SUPPLEMENTAL_RESEARCH] JRE redistribution; resource licenses; pt-PT vs pt-BR; local-server exposure; no claim of perfect grammar</x:v>
      </x:c>
    </x:row>
    <x:row r="235">
      <x:c r="A235" s="26" t="str">
        <x:v>SUP-MDE-013</x:v>
      </x:c>
      <x:c r="B235" s="26" t="str">
        <x:v>COMP|OPS</x:v>
      </x:c>
      <x:c r="C235" s="26" t="str">
        <x:v>CPython and offline documentation</x:v>
      </x:c>
      <x:c r="D235" s="26" t="str">
        <x:v>www.python.org</x:v>
      </x:c>
      <x:c r="E235" s="26" t="str">
        <x:v>Практический источник для групп COMP|OPS</x:v>
      </x:c>
      <x:c r="F235" s="26" t="str">
        <x:v>https://www.python.org/</x:v>
      </x:c>
      <x:c r="G235" s="26" t="str">
        <x:v>https://www.python.org/</x:v>
      </x:c>
      <x:c r="H235" s="26" t="str">
        <x:v>https://www.python.org/</x:v>
      </x:c>
      <x:c r="I235" s="26" t="str">
        <x:v>PSF License Agreement and included third-party notices; exact release source LICENSE/history governs</x:v>
      </x:c>
      <x:c r="J235" s="26" t="str">
        <x:v>docs primarily EN with selected translations</x:v>
      </x:c>
      <x:c r="K235" s="26" t="str">
        <x:v>International/reference</x:v>
      </x:c>
      <x:c r="L235" s="26" t="str">
        <x:v>Source tarball;installers;embeddable archives where offered;HTML/PDF/EPUB docs</x:v>
      </x:c>
      <x:c r="M235" s="26" t="str">
        <x:v>Preserve source, target-platform installers, offline docs, configure/build instructions, test suite and bootstrap dependencies; build and run tests without network</x:v>
      </x:c>
      <x:c r="N235" s="26" t="str">
        <x:v>L2</x:v>
      </x:c>
      <x:c r="O235" s="26" t="str">
        <x:v>S1_LOW_RISK_HOUSEHOLD</x:v>
      </x:c>
      <x:c r="P235" s="26" t="str">
        <x:v>ANNUAL_OR_EDITION</x:v>
      </x:c>
      <x:c r="Q235" s="26" t="n">
        <x:v>4</x:v>
      </x:c>
      <x:c r="R235" s="26" t="n">
        <x:v>4</x:v>
      </x:c>
      <x:c r="S235" s="26" t="n">
        <x:v>3</x:v>
      </x:c>
      <x:c r="T235" s="26" t="n">
        <x:v>4</x:v>
      </x:c>
      <x:c r="U235" s="26" t="n">
        <x:v>4</x:v>
      </x:c>
      <x:c r="V235" s="26" t="n">
        <x:v>3</x:v>
      </x:c>
      <x:c r="W235" s="26" t="n">
        <x:v>2</x:v>
      </x:c>
      <x:c r="X235" s="26" t="n">
        <x:v>3</x:v>
      </x:c>
      <x:c r="Y235" s="26" t="n">
        <x:v>0</x:v>
      </x:c>
      <x:c r="Z235" s="26" t="n">
        <x:v>2</x:v>
      </x:c>
      <x:c r="AA235" s="26" t="n">
        <x:v>1</x:v>
      </x:c>
      <x:c r="AB235" s="26" t="str">
        <x:v>CANDIDATE</x:v>
      </x:c>
      <x:c r="AC235" s="26" t="str">
        <x:v>NOT_DOWNLOADED</x:v>
      </x:c>
      <x:c r="AD235" s="26" t="str">
        <x:v>REQUIRES_ITEM_REVIEW</x:v>
      </x:c>
      <x:c r="AE235" s="26" t="str">
        <x:v>NOT_REVIEWED</x:v>
      </x:c>
      <x:c r="AF235" s="26" t="str">
        <x:v>NOT_TESTED</x:v>
      </x:c>
      <x:c r="AG235" s="26" t="str"/>
      <x:c r="AH235" s="26" t="str"/>
      <x:c r="AI235" s="26" t="str"/>
      <x:c r="AJ235" s="26" t="str"/>
      <x:c r="AK235" s="57" t="n">
        <x:f>MAX(0,MIN(100,ROUND(((Q235*'Overview'!$B$18)+(R235*'Overview'!$B$19)+(S235*'Overview'!$B$20)+(T235*'Overview'!$B$21)+(U235*'Overview'!$B$22)+(V235*'Overview'!$B$23)+(W235*'Overview'!$B$24)+(X235*'Overview'!$B$25)-(Y235*'Overview'!$B$26)-(Z235*'Overview'!$B$27)-(AA235*'Overview'!$B$28))/5*100,0)))</x:f>
        <x:v>67</x:v>
      </x:c>
      <x:c r="AL235" s="26" t="str">
        <x:v>[SUPPLEMENTAL_RESEARCH] Exact patch/security status; platform/ABI; OpenSSL/Tk/readline notices; compiler bootstrap; tests</x:v>
      </x:c>
    </x:row>
    <x:row r="236">
      <x:c r="A236" s="53" t="str">
        <x:v>SUP-MDE-014</x:v>
      </x:c>
      <x:c r="B236" s="53" t="str">
        <x:v>COMP|ARCH</x:v>
      </x:c>
      <x:c r="C236" s="53" t="str">
        <x:v>pip wheelhouse and PEP 503-style local package set</x:v>
      </x:c>
      <x:c r="D236" s="53" t="str">
        <x:v>pip.pypa.io</x:v>
      </x:c>
      <x:c r="E236" s="53" t="str">
        <x:v>Практический источник для групп COMP|ARCH</x:v>
      </x:c>
      <x:c r="F236" s="53" t="str">
        <x:v>https://pip.pypa.io/</x:v>
      </x:c>
      <x:c r="G236" s="53" t="str">
        <x:v>https://pip.pypa.io/</x:v>
      </x:c>
      <x:c r="H236" s="53" t="str">
        <x:v>https://pip.pypa.io/</x:v>
      </x:c>
      <x:c r="I236" s="53" t="str">
        <x:v>pip itself is MIT; every wheel/sdist and bundled dependency has its own license; PyPI availability is not redistribution clearance</x:v>
      </x:c>
      <x:c r="J236" s="53" t="str">
        <x:v>package metadata mostly EN; code languages vary</x:v>
      </x:c>
      <x:c r="K236" s="53" t="str">
        <x:v>International/reference</x:v>
      </x:c>
      <x:c r="L236" s="53" t="str">
        <x:v>Wheels;sdists;simple-index HTML or flat directory;requirements/constraints;hashes</x:v>
      </x:c>
      <x:c r="M236" s="53" t="str">
        <x:v>Use pip download/wheel for explicit target Python/OS/ABI; preserve wheels plus sdists and build dependencies; install with no-index/find-links and require-hashes</x:v>
      </x:c>
      <x:c r="N236" s="53" t="str">
        <x:v>L2</x:v>
      </x:c>
      <x:c r="O236" s="53" t="str">
        <x:v>S1_LOW_RISK_HOUSEHOLD</x:v>
      </x:c>
      <x:c r="P236" s="53" t="str">
        <x:v>ANNUAL_OR_EDITION</x:v>
      </x:c>
      <x:c r="Q236" s="53" t="n">
        <x:v>4</x:v>
      </x:c>
      <x:c r="R236" s="53" t="n">
        <x:v>4</x:v>
      </x:c>
      <x:c r="S236" s="53" t="n">
        <x:v>3</x:v>
      </x:c>
      <x:c r="T236" s="53" t="n">
        <x:v>4</x:v>
      </x:c>
      <x:c r="U236" s="53" t="n">
        <x:v>4</x:v>
      </x:c>
      <x:c r="V236" s="53" t="n">
        <x:v>3</x:v>
      </x:c>
      <x:c r="W236" s="53" t="n">
        <x:v>2</x:v>
      </x:c>
      <x:c r="X236" s="53" t="n">
        <x:v>3</x:v>
      </x:c>
      <x:c r="Y236" s="53" t="n">
        <x:v>0</x:v>
      </x:c>
      <x:c r="Z236" s="53" t="n">
        <x:v>2</x:v>
      </x:c>
      <x:c r="AA236" s="53" t="n">
        <x:v>1</x:v>
      </x:c>
      <x:c r="AB236" s="53" t="str">
        <x:v>CANDIDATE</x:v>
      </x:c>
      <x:c r="AC236" s="53" t="str">
        <x:v>NOT_DOWNLOADED</x:v>
      </x:c>
      <x:c r="AD236" s="53" t="str">
        <x:v>REQUIRES_ITEM_REVIEW</x:v>
      </x:c>
      <x:c r="AE236" s="53" t="str">
        <x:v>NOT_REVIEWED</x:v>
      </x:c>
      <x:c r="AF236" s="53" t="str">
        <x:v>NOT_TESTED</x:v>
      </x:c>
      <x:c r="AG236" s="53" t="str"/>
      <x:c r="AH236" s="53" t="str"/>
      <x:c r="AI236" s="53" t="str"/>
      <x:c r="AJ236" s="53" t="str"/>
      <x:c r="AK236" s="57" t="n">
        <x:f>MAX(0,MIN(100,ROUND(((Q236*'Overview'!$B$18)+(R236*'Overview'!$B$19)+(S236*'Overview'!$B$20)+(T236*'Overview'!$B$21)+(U236*'Overview'!$B$22)+(V236*'Overview'!$B$23)+(W236*'Overview'!$B$24)+(X236*'Overview'!$B$25)-(Y236*'Overview'!$B$26)-(Z236*'Overview'!$B$27)-(AA236*'Overview'!$B$28))/5*100,0)))</x:f>
        <x:v>67</x:v>
      </x:c>
      <x:c r="AL236" s="53" t="str">
        <x:v>[SUPPLEMENTAL_RESEARCH] Hashes;licenses/SBOM;platform matrix;sdist reproducibility;dependency confusion prevention;malware scan</x:v>
      </x:c>
    </x:row>
    <x:row r="237">
      <x:c r="A237" s="26" t="str">
        <x:v>SUP-MDE-015</x:v>
      </x:c>
      <x:c r="B237" s="26" t="str">
        <x:v>COMP|METH</x:v>
      </x:c>
      <x:c r="C237" s="26" t="str">
        <x:v>JupyterLab local notebook environment</x:v>
      </x:c>
      <x:c r="D237" s="26" t="str">
        <x:v>jupyterlab.readthedocs.io</x:v>
      </x:c>
      <x:c r="E237" s="26" t="str">
        <x:v>Практический источник для групп COMP|METH</x:v>
      </x:c>
      <x:c r="F237" s="26" t="str">
        <x:v>https://jupyterlab.readthedocs.io/</x:v>
      </x:c>
      <x:c r="G237" s="26" t="str">
        <x:v>https://jupyterlab.readthedocs.io/</x:v>
      </x:c>
      <x:c r="H237" s="26" t="str">
        <x:v>https://jupyterlab.readthedocs.io/</x:v>
      </x:c>
      <x:c r="I237" s="26" t="str">
        <x:v>JupyterLab core is BSD-3-Clause; extensions, kernels and npm/Python dependencies are separate</x:v>
      </x:c>
      <x:c r="J237" s="26" t="str">
        <x:v>UI localized;docs mostly EN</x:v>
      </x:c>
      <x:c r="K237" s="26" t="str">
        <x:v>International/reference</x:v>
      </x:c>
      <x:c r="L237" s="26" t="str">
        <x:v>Python packages/wheels;source;prebuilt web assets;HTML docs;notebooks</x:v>
      </x:c>
      <x:c r="M237" s="26" t="str">
        <x:v>Freeze Lab, server, kernel and extension set via lockfiles/wheelhouse; bind locally; export HTML; verify notebook execution from clean environment</x:v>
      </x:c>
      <x:c r="N237" s="26" t="str">
        <x:v>L2</x:v>
      </x:c>
      <x:c r="O237" s="26" t="str">
        <x:v>S1_LOW_RISK_HOUSEHOLD</x:v>
      </x:c>
      <x:c r="P237" s="26" t="str">
        <x:v>ANNUAL_OR_EDITION</x:v>
      </x:c>
      <x:c r="Q237" s="26" t="n">
        <x:v>4</x:v>
      </x:c>
      <x:c r="R237" s="26" t="n">
        <x:v>4</x:v>
      </x:c>
      <x:c r="S237" s="26" t="n">
        <x:v>3</x:v>
      </x:c>
      <x:c r="T237" s="26" t="n">
        <x:v>4</x:v>
      </x:c>
      <x:c r="U237" s="26" t="n">
        <x:v>4</x:v>
      </x:c>
      <x:c r="V237" s="26" t="n">
        <x:v>3</x:v>
      </x:c>
      <x:c r="W237" s="26" t="n">
        <x:v>2</x:v>
      </x:c>
      <x:c r="X237" s="26" t="n">
        <x:v>3</x:v>
      </x:c>
      <x:c r="Y237" s="26" t="n">
        <x:v>0</x:v>
      </x:c>
      <x:c r="Z237" s="26" t="n">
        <x:v>2</x:v>
      </x:c>
      <x:c r="AA237" s="26" t="n">
        <x:v>1</x:v>
      </x:c>
      <x:c r="AB237" s="26" t="str">
        <x:v>CANDIDATE</x:v>
      </x:c>
      <x:c r="AC237" s="26" t="str">
        <x:v>NOT_DOWNLOADED</x:v>
      </x:c>
      <x:c r="AD237" s="26" t="str">
        <x:v>REQUIRES_ITEM_REVIEW</x:v>
      </x:c>
      <x:c r="AE237" s="26" t="str">
        <x:v>NOT_REVIEWED</x:v>
      </x:c>
      <x:c r="AF237" s="26" t="str">
        <x:v>NOT_TESTED</x:v>
      </x:c>
      <x:c r="AG237" s="26" t="str"/>
      <x:c r="AH237" s="26" t="str"/>
      <x:c r="AI237" s="26" t="str"/>
      <x:c r="AJ237" s="26" t="str"/>
      <x:c r="AK237" s="57" t="n">
        <x:f>MAX(0,MIN(100,ROUND(((Q237*'Overview'!$B$18)+(R237*'Overview'!$B$19)+(S237*'Overview'!$B$20)+(T237*'Overview'!$B$21)+(U237*'Overview'!$B$22)+(V237*'Overview'!$B$23)+(W237*'Overview'!$B$24)+(X237*'Overview'!$B$25)-(Y237*'Overview'!$B$26)-(Z237*'Overview'!$B$27)-(AA237*'Overview'!$B$28))/5*100,0)))</x:f>
        <x:v>67</x:v>
      </x:c>
      <x:c r="AL237" s="26" t="str">
        <x:v>[SUPPLEMENTAL_RESEARCH] Do not use unmaintained desktop wrapper as default; extension rights/security; token/auth; deterministic kernel; outputs scrubbed</x:v>
      </x:c>
    </x:row>
    <x:row r="238">
      <x:c r="A238" s="53" t="str">
        <x:v>SUP-MDE-016</x:v>
      </x:c>
      <x:c r="B238" s="53" t="str">
        <x:v>MATH|METH|COMP</x:v>
      </x:c>
      <x:c r="C238" s="53" t="str">
        <x:v>Scientific Python stack</x:v>
      </x:c>
      <x:c r="D238" s="53" t="str">
        <x:v>numpy.org</x:v>
      </x:c>
      <x:c r="E238" s="53" t="str">
        <x:v>Практический источник для групп MATH|METH|COMP</x:v>
      </x:c>
      <x:c r="F238" s="53" t="str">
        <x:v>https://numpy.org/|https://scipy.org/|https://pandas.pydata.org/|https://matplotlib.org/|https://www.sympy.org/|https://scikit-learn.org/</x:v>
      </x:c>
      <x:c r="G238" s="53" t="str">
        <x:v>https://numpy.org/|https://scipy.org/|https://pandas.pydata.org/|https://matplotlib.org/|https://www.sympy.org/|https://scikit-learn.org/</x:v>
      </x:c>
      <x:c r="H238" s="53" t="str">
        <x:v>https://numpy.org/|https://scipy.org/|https://pandas.pydata.org/|https://matplotlib.org/|https://www.sympy.org/|https://scikit-learn.org/</x:v>
      </x:c>
      <x:c r="I238" s="53" t="str">
        <x:v>Core projects are permissive BSD/PSF-compatible but exact packages and compiled dependencies differ; family requires component SPDX and notices</x:v>
      </x:c>
      <x:c r="J238" s="53" t="str">
        <x:v>docs mostly EN; generated outputs language-neutral</x:v>
      </x:c>
      <x:c r="K238" s="53" t="str">
        <x:v>International/reference</x:v>
      </x:c>
      <x:c r="L238" s="53" t="str">
        <x:v>NumPy/SciPy/pandas/Matplotlib/SymPy/scikit-learn wheels and sdists;docs/examples</x:v>
      </x:c>
      <x:c r="M238" s="53" t="str">
        <x:v>Create bounded, hashed wheelhouse for exact Python/OS/ABI; include sdists, BLAS/LAPACK/runtime notices, docs and known-answer numerical tests</x:v>
      </x:c>
      <x:c r="N238" s="53" t="str">
        <x:v>L2</x:v>
      </x:c>
      <x:c r="O238" s="53" t="str">
        <x:v>S1_LOW_RISK_HOUSEHOLD</x:v>
      </x:c>
      <x:c r="P238" s="53" t="str">
        <x:v>ANNUAL_OR_EDITION</x:v>
      </x:c>
      <x:c r="Q238" s="53" t="n">
        <x:v>4</x:v>
      </x:c>
      <x:c r="R238" s="53" t="n">
        <x:v>4</x:v>
      </x:c>
      <x:c r="S238" s="53" t="n">
        <x:v>3</x:v>
      </x:c>
      <x:c r="T238" s="53" t="n">
        <x:v>4</x:v>
      </x:c>
      <x:c r="U238" s="53" t="n">
        <x:v>4</x:v>
      </x:c>
      <x:c r="V238" s="53" t="n">
        <x:v>3</x:v>
      </x:c>
      <x:c r="W238" s="53" t="n">
        <x:v>2</x:v>
      </x:c>
      <x:c r="X238" s="53" t="n">
        <x:v>3</x:v>
      </x:c>
      <x:c r="Y238" s="53" t="n">
        <x:v>0</x:v>
      </x:c>
      <x:c r="Z238" s="53" t="n">
        <x:v>2</x:v>
      </x:c>
      <x:c r="AA238" s="53" t="n">
        <x:v>1</x:v>
      </x:c>
      <x:c r="AB238" s="53" t="str">
        <x:v>CANDIDATE</x:v>
      </x:c>
      <x:c r="AC238" s="53" t="str">
        <x:v>NOT_DOWNLOADED</x:v>
      </x:c>
      <x:c r="AD238" s="53" t="str">
        <x:v>REQUIRES_ITEM_REVIEW</x:v>
      </x:c>
      <x:c r="AE238" s="53" t="str">
        <x:v>NOT_REVIEWED</x:v>
      </x:c>
      <x:c r="AF238" s="53" t="str">
        <x:v>NOT_TESTED</x:v>
      </x:c>
      <x:c r="AG238" s="53" t="str"/>
      <x:c r="AH238" s="53" t="str"/>
      <x:c r="AI238" s="53" t="str"/>
      <x:c r="AJ238" s="53" t="str"/>
      <x:c r="AK238" s="57" t="n">
        <x:f>MAX(0,MIN(100,ROUND(((Q238*'Overview'!$B$18)+(R238*'Overview'!$B$19)+(S238*'Overview'!$B$20)+(T238*'Overview'!$B$21)+(U238*'Overview'!$B$22)+(V238*'Overview'!$B$23)+(W238*'Overview'!$B$24)+(X238*'Overview'!$B$25)-(Y238*'Overview'!$B$26)-(Z238*'Overview'!$B$27)-(AA238*'Overview'!$B$28))/5*100,0)))</x:f>
        <x:v>67</x:v>
      </x:c>
      <x:c r="AL238" s="53" t="str">
        <x:v>[SUPPLEMENTAL_RESEARCH] Per-component licenses; compiled-library ABI; numeric tolerance; CPU architecture; model/data licenses excluded unless explicit</x:v>
      </x:c>
    </x:row>
    <x:row r="239">
      <x:c r="A239" s="26" t="str">
        <x:v>SUP-MDE-017</x:v>
      </x:c>
      <x:c r="B239" s="26" t="str">
        <x:v>MATH|METH</x:v>
      </x:c>
      <x:c r="C239" s="26" t="str">
        <x:v>R plus curated CRAN snapshot</x:v>
      </x:c>
      <x:c r="D239" s="26" t="str">
        <x:v>www.r-project.org</x:v>
      </x:c>
      <x:c r="E239" s="26" t="str">
        <x:v>Практический источник для групп MATH|METH</x:v>
      </x:c>
      <x:c r="F239" s="26" t="str">
        <x:v>https://www.r-project.org/</x:v>
      </x:c>
      <x:c r="G239" s="26" t="str">
        <x:v>https://www.r-project.org/</x:v>
      </x:c>
      <x:c r="H239" s="26" t="str">
        <x:v>https://www.r-project.org/</x:v>
      </x:c>
      <x:c r="I239" s="26" t="str">
        <x:v>R is GPL-2 | GPL-3; CRAN package licenses and external data/system dependencies are package-specific</x:v>
      </x:c>
      <x:c r="J239" s="26" t="str">
        <x:v>base/docs primarily EN; translations and packages vary</x:v>
      </x:c>
      <x:c r="K239" s="26" t="str">
        <x:v>International/reference</x:v>
      </x:c>
      <x:c r="L239" s="26" t="str">
        <x:v>R source and binaries;package tarballs/binaries;PACKAGES indexes;manuals;renv lock/cache</x:v>
      </x:c>
      <x:c r="M239" s="26" t="str">
        <x:v>Freeze R version, explicit package list and source snapshot; retain renv.lock or equivalent, PACKAGES indexes, sources and platform binaries; install with network denied</x:v>
      </x:c>
      <x:c r="N239" s="26" t="str">
        <x:v>L2</x:v>
      </x:c>
      <x:c r="O239" s="26" t="str">
        <x:v>S1_LOW_RISK_HOUSEHOLD</x:v>
      </x:c>
      <x:c r="P239" s="26" t="str">
        <x:v>ANNUAL_OR_EDITION</x:v>
      </x:c>
      <x:c r="Q239" s="26" t="n">
        <x:v>4</x:v>
      </x:c>
      <x:c r="R239" s="26" t="n">
        <x:v>4</x:v>
      </x:c>
      <x:c r="S239" s="26" t="n">
        <x:v>3</x:v>
      </x:c>
      <x:c r="T239" s="26" t="n">
        <x:v>4</x:v>
      </x:c>
      <x:c r="U239" s="26" t="n">
        <x:v>4</x:v>
      </x:c>
      <x:c r="V239" s="26" t="n">
        <x:v>3</x:v>
      </x:c>
      <x:c r="W239" s="26" t="n">
        <x:v>2</x:v>
      </x:c>
      <x:c r="X239" s="26" t="n">
        <x:v>3</x:v>
      </x:c>
      <x:c r="Y239" s="26" t="n">
        <x:v>0</x:v>
      </x:c>
      <x:c r="Z239" s="26" t="n">
        <x:v>2</x:v>
      </x:c>
      <x:c r="AA239" s="26" t="n">
        <x:v>1</x:v>
      </x:c>
      <x:c r="AB239" s="26" t="str">
        <x:v>CANDIDATE</x:v>
      </x:c>
      <x:c r="AC239" s="26" t="str">
        <x:v>NOT_DOWNLOADED</x:v>
      </x:c>
      <x:c r="AD239" s="26" t="str">
        <x:v>REQUIRES_ITEM_REVIEW</x:v>
      </x:c>
      <x:c r="AE239" s="26" t="str">
        <x:v>NOT_REVIEWED</x:v>
      </x:c>
      <x:c r="AF239" s="26" t="str">
        <x:v>NOT_TESTED</x:v>
      </x:c>
      <x:c r="AG239" s="26" t="str"/>
      <x:c r="AH239" s="26" t="str"/>
      <x:c r="AI239" s="26" t="str"/>
      <x:c r="AJ239" s="26" t="str"/>
      <x:c r="AK239" s="57" t="n">
        <x:f>MAX(0,MIN(100,ROUND(((Q239*'Overview'!$B$18)+(R239*'Overview'!$B$19)+(S239*'Overview'!$B$20)+(T239*'Overview'!$B$21)+(U239*'Overview'!$B$22)+(V239*'Overview'!$B$23)+(W239*'Overview'!$B$24)+(X239*'Overview'!$B$25)-(Y239*'Overview'!$B$26)-(Z239*'Overview'!$B$27)-(AA239*'Overview'!$B$28))/5*100,0)))</x:f>
        <x:v>67</x:v>
      </x:c>
      <x:c r="AL239" s="26" t="str">
        <x:v>[SUPPLEMENTAL_RESEARCH] Package license fields are not sufficient alone; system deps; archived packages; exact repository snapshot; build tests</x:v>
      </x:c>
    </x:row>
    <x:row r="240">
      <x:c r="A240" s="53" t="str">
        <x:v>SUP-MDE-018</x:v>
      </x:c>
      <x:c r="B240" s="53" t="str">
        <x:v>MATH|COMP</x:v>
      </x:c>
      <x:c r="C240" s="53" t="str">
        <x:v>GNU Octave plus selected packages</x:v>
      </x:c>
      <x:c r="D240" s="53" t="str">
        <x:v>octave.org</x:v>
      </x:c>
      <x:c r="E240" s="53" t="str">
        <x:v>Практический источник для групп MATH|COMP</x:v>
      </x:c>
      <x:c r="F240" s="53" t="str">
        <x:v>https://octave.org/</x:v>
      </x:c>
      <x:c r="G240" s="53" t="str">
        <x:v>https://octave.org/</x:v>
      </x:c>
      <x:c r="H240" s="53" t="str">
        <x:v>https://octave.org/</x:v>
      </x:c>
      <x:c r="I240" s="53" t="str">
        <x:v>Octave is GPL-3-or-later; add-on packages and bundled libraries each require review</x:v>
      </x:c>
      <x:c r="J240" s="53" t="str">
        <x:v>UI/docs mostly EN</x:v>
      </x:c>
      <x:c r="K240" s="53" t="str">
        <x:v>International/reference</x:v>
      </x:c>
      <x:c r="L240" s="53" t="str">
        <x:v>Source tarball;official installers where offered;manual HTML/PDF;Octave Forge package sources</x:v>
      </x:c>
      <x:c r="M240" s="53" t="str">
        <x:v>Preserve exact source/installers, package archives, manuals, test suite and native numerical libraries; run known-answer suite offline</x:v>
      </x:c>
      <x:c r="N240" s="53" t="str">
        <x:v>L2</x:v>
      </x:c>
      <x:c r="O240" s="53" t="str">
        <x:v>S1_LOW_RISK_HOUSEHOLD</x:v>
      </x:c>
      <x:c r="P240" s="53" t="str">
        <x:v>ANNUAL_OR_EDITION</x:v>
      </x:c>
      <x:c r="Q240" s="53" t="n">
        <x:v>4</x:v>
      </x:c>
      <x:c r="R240" s="53" t="n">
        <x:v>4</x:v>
      </x:c>
      <x:c r="S240" s="53" t="n">
        <x:v>3</x:v>
      </x:c>
      <x:c r="T240" s="53" t="n">
        <x:v>4</x:v>
      </x:c>
      <x:c r="U240" s="53" t="n">
        <x:v>4</x:v>
      </x:c>
      <x:c r="V240" s="53" t="n">
        <x:v>3</x:v>
      </x:c>
      <x:c r="W240" s="53" t="n">
        <x:v>2</x:v>
      </x:c>
      <x:c r="X240" s="53" t="n">
        <x:v>3</x:v>
      </x:c>
      <x:c r="Y240" s="53" t="n">
        <x:v>0</x:v>
      </x:c>
      <x:c r="Z240" s="53" t="n">
        <x:v>2</x:v>
      </x:c>
      <x:c r="AA240" s="53" t="n">
        <x:v>1</x:v>
      </x:c>
      <x:c r="AB240" s="53" t="str">
        <x:v>CANDIDATE</x:v>
      </x:c>
      <x:c r="AC240" s="53" t="str">
        <x:v>NOT_DOWNLOADED</x:v>
      </x:c>
      <x:c r="AD240" s="53" t="str">
        <x:v>REQUIRES_ITEM_REVIEW</x:v>
      </x:c>
      <x:c r="AE240" s="53" t="str">
        <x:v>NOT_REVIEWED</x:v>
      </x:c>
      <x:c r="AF240" s="53" t="str">
        <x:v>NOT_TESTED</x:v>
      </x:c>
      <x:c r="AG240" s="53" t="str"/>
      <x:c r="AH240" s="53" t="str"/>
      <x:c r="AI240" s="53" t="str"/>
      <x:c r="AJ240" s="53" t="str"/>
      <x:c r="AK240" s="57" t="n">
        <x:f>MAX(0,MIN(100,ROUND(((Q240*'Overview'!$B$18)+(R240*'Overview'!$B$19)+(S240*'Overview'!$B$20)+(T240*'Overview'!$B$21)+(U240*'Overview'!$B$22)+(V240*'Overview'!$B$23)+(W240*'Overview'!$B$24)+(X240*'Overview'!$B$25)-(Y240*'Overview'!$B$26)-(Z240*'Overview'!$B$27)-(AA240*'Overview'!$B$28))/5*100,0)))</x:f>
        <x:v>67</x:v>
      </x:c>
      <x:c r="AL240" s="53" t="str">
        <x:v>[SUPPLEMENTAL_RESEARCH] Package/component licenses; BLAS/GUI dependencies; numeric compatibility is not MATLAB equivalence; platform test</x:v>
      </x:c>
    </x:row>
    <x:row r="241">
      <x:c r="A241" s="26" t="str">
        <x:v>SUP-MDE-019</x:v>
      </x:c>
      <x:c r="B241" s="26" t="str">
        <x:v>MATH|COMP</x:v>
      </x:c>
      <x:c r="C241" s="26" t="str">
        <x:v>SageMath source distribution</x:v>
      </x:c>
      <x:c r="D241" s="26" t="str">
        <x:v>www.sagemath.org</x:v>
      </x:c>
      <x:c r="E241" s="26" t="str">
        <x:v>Практический источник для групп MATH|COMP</x:v>
      </x:c>
      <x:c r="F241" s="26" t="str">
        <x:v>https://www.sagemath.org/</x:v>
      </x:c>
      <x:c r="G241" s="26" t="str">
        <x:v>https://www.sagemath.org/</x:v>
      </x:c>
      <x:c r="H241" s="26" t="str">
        <x:v>https://www.sagemath.org/</x:v>
      </x:c>
      <x:c r="I241" s="26" t="str">
        <x:v>Sage core GPL-2-or-later; assembled distribution contains many compatible components with their own notices</x:v>
      </x:c>
      <x:c r="J241" s="26" t="str">
        <x:v>docs primarily EN</x:v>
      </x:c>
      <x:c r="K241" s="26" t="str">
        <x:v>International/reference</x:v>
      </x:c>
      <x:c r="L241" s="26" t="str">
        <x:v>Release source tarball;source-with-standard-packages;docs;optional binaries</x:v>
      </x:c>
      <x:c r="M241" s="26" t="str">
        <x:v>Preserve official release source distribution including upstream package source archives, not only git clone; include bootstrap compiler/deps and run Sage test suite offline</x:v>
      </x:c>
      <x:c r="N241" s="26" t="str">
        <x:v>L2</x:v>
      </x:c>
      <x:c r="O241" s="26" t="str">
        <x:v>S1_LOW_RISK_HOUSEHOLD</x:v>
      </x:c>
      <x:c r="P241" s="26" t="str">
        <x:v>ANNUAL_OR_EDITION</x:v>
      </x:c>
      <x:c r="Q241" s="26" t="n">
        <x:v>4</x:v>
      </x:c>
      <x:c r="R241" s="26" t="n">
        <x:v>4</x:v>
      </x:c>
      <x:c r="S241" s="26" t="n">
        <x:v>3</x:v>
      </x:c>
      <x:c r="T241" s="26" t="n">
        <x:v>4</x:v>
      </x:c>
      <x:c r="U241" s="26" t="n">
        <x:v>4</x:v>
      </x:c>
      <x:c r="V241" s="26" t="n">
        <x:v>3</x:v>
      </x:c>
      <x:c r="W241" s="26" t="n">
        <x:v>2</x:v>
      </x:c>
      <x:c r="X241" s="26" t="n">
        <x:v>3</x:v>
      </x:c>
      <x:c r="Y241" s="26" t="n">
        <x:v>0</x:v>
      </x:c>
      <x:c r="Z241" s="26" t="n">
        <x:v>2</x:v>
      </x:c>
      <x:c r="AA241" s="26" t="n">
        <x:v>1</x:v>
      </x:c>
      <x:c r="AB241" s="26" t="str">
        <x:v>CANDIDATE</x:v>
      </x:c>
      <x:c r="AC241" s="26" t="str">
        <x:v>NOT_DOWNLOADED</x:v>
      </x:c>
      <x:c r="AD241" s="26" t="str">
        <x:v>REQUIRES_ITEM_REVIEW</x:v>
      </x:c>
      <x:c r="AE241" s="26" t="str">
        <x:v>NOT_REVIEWED</x:v>
      </x:c>
      <x:c r="AF241" s="26" t="str">
        <x:v>NOT_TESTED</x:v>
      </x:c>
      <x:c r="AG241" s="26" t="str"/>
      <x:c r="AH241" s="26" t="str"/>
      <x:c r="AI241" s="26" t="str"/>
      <x:c r="AJ241" s="26" t="str"/>
      <x:c r="AK241" s="57" t="n">
        <x:f>MAX(0,MIN(100,ROUND(((Q241*'Overview'!$B$18)+(R241*'Overview'!$B$19)+(S241*'Overview'!$B$20)+(T241*'Overview'!$B$21)+(U241*'Overview'!$B$22)+(V241*'Overview'!$B$23)+(W241*'Overview'!$B$24)+(X241*'Overview'!$B$25)-(Y241*'Overview'!$B$26)-(Z241*'Overview'!$B$27)-(AA241*'Overview'!$B$28))/5*100,0)))</x:f>
        <x:v>67</x:v>
      </x:c>
      <x:c r="AL241" s="26" t="str">
        <x:v>[SUPPLEMENTAL_RESEARCH] Large dependency closure; component licenses; build time/storage; CPU/platform; reproducible test subset</x:v>
      </x:c>
    </x:row>
    <x:row r="242">
      <x:c r="A242" s="53" t="str">
        <x:v>SUP-MDE-020</x:v>
      </x:c>
      <x:c r="B242" s="53" t="str">
        <x:v>MATH|METH|COMP</x:v>
      </x:c>
      <x:c r="C242" s="53" t="str">
        <x:v>Julia and curated package/artifact depot</x:v>
      </x:c>
      <x:c r="D242" s="53" t="str">
        <x:v>julialang.org</x:v>
      </x:c>
      <x:c r="E242" s="53" t="str">
        <x:v>Практический источник для групп MATH|METH|COMP</x:v>
      </x:c>
      <x:c r="F242" s="53" t="str">
        <x:v>https://julialang.org/</x:v>
      </x:c>
      <x:c r="G242" s="53" t="str">
        <x:v>https://julialang.org/</x:v>
      </x:c>
      <x:c r="H242" s="53" t="str">
        <x:v>https://julialang.org/</x:v>
      </x:c>
      <x:c r="I242" s="53" t="str">
        <x:v>Julia core MIT; bundled dependencies and each package/artifact have separate terms; exact signing metadata is release-specific</x:v>
      </x:c>
      <x:c r="J242" s="53" t="str">
        <x:v>docs primarily EN</x:v>
      </x:c>
      <x:c r="K242" s="53" t="str">
        <x:v>International/reference</x:v>
      </x:c>
      <x:c r="L242" s="53" t="str">
        <x:v>Portable binaries;source tarball;source-with-dependencies;Project.toml;Manifest.toml;registry/packages/artifacts</x:v>
      </x:c>
      <x:c r="M242" s="53" t="str">
        <x:v>Choose source-with-dependencies plus target binaries; preserve Project/Manifest, pinned registries, package source and artifacts; use Pkg offline mode; execute tests with network denied</x:v>
      </x:c>
      <x:c r="N242" s="53" t="str">
        <x:v>L2</x:v>
      </x:c>
      <x:c r="O242" s="53" t="str">
        <x:v>S1_LOW_RISK_HOUSEHOLD</x:v>
      </x:c>
      <x:c r="P242" s="53" t="str">
        <x:v>ANNUAL_OR_EDITION</x:v>
      </x:c>
      <x:c r="Q242" s="53" t="n">
        <x:v>4</x:v>
      </x:c>
      <x:c r="R242" s="53" t="n">
        <x:v>4</x:v>
      </x:c>
      <x:c r="S242" s="53" t="n">
        <x:v>3</x:v>
      </x:c>
      <x:c r="T242" s="53" t="n">
        <x:v>4</x:v>
      </x:c>
      <x:c r="U242" s="53" t="n">
        <x:v>4</x:v>
      </x:c>
      <x:c r="V242" s="53" t="n">
        <x:v>3</x:v>
      </x:c>
      <x:c r="W242" s="53" t="n">
        <x:v>2</x:v>
      </x:c>
      <x:c r="X242" s="53" t="n">
        <x:v>3</x:v>
      </x:c>
      <x:c r="Y242" s="53" t="n">
        <x:v>0</x:v>
      </x:c>
      <x:c r="Z242" s="53" t="n">
        <x:v>2</x:v>
      </x:c>
      <x:c r="AA242" s="53" t="n">
        <x:v>1</x:v>
      </x:c>
      <x:c r="AB242" s="53" t="str">
        <x:v>CANDIDATE</x:v>
      </x:c>
      <x:c r="AC242" s="53" t="str">
        <x:v>NOT_DOWNLOADED</x:v>
      </x:c>
      <x:c r="AD242" s="53" t="str">
        <x:v>REQUIRES_ITEM_REVIEW</x:v>
      </x:c>
      <x:c r="AE242" s="53" t="str">
        <x:v>NOT_REVIEWED</x:v>
      </x:c>
      <x:c r="AF242" s="53" t="str">
        <x:v>NOT_TESTED</x:v>
      </x:c>
      <x:c r="AG242" s="53" t="str"/>
      <x:c r="AH242" s="53" t="str"/>
      <x:c r="AI242" s="53" t="str"/>
      <x:c r="AJ242" s="53" t="str"/>
      <x:c r="AK242" s="57" t="n">
        <x:f>MAX(0,MIN(100,ROUND(((Q242*'Overview'!$B$18)+(R242*'Overview'!$B$19)+(S242*'Overview'!$B$20)+(T242*'Overview'!$B$21)+(U242*'Overview'!$B$22)+(V242*'Overview'!$B$23)+(W242*'Overview'!$B$24)+(X242*'Overview'!$B$25)-(Y242*'Overview'!$B$26)-(Z242*'Overview'!$B$27)-(AA242*'Overview'!$B$28))/5*100,0)))</x:f>
        <x:v>67</x:v>
      </x:c>
      <x:c r="AL242" s="53" t="str">
        <x:v>[SUPPLEMENTAL_RESEARCH] SHA/signature and current key fingerprint; package/artifact licenses; platform triples; no mutable registry refs</x:v>
      </x:c>
    </x:row>
    <x:row r="243">
      <x:c r="A243" s="26" t="str">
        <x:v>SUP-MDE-021</x:v>
      </x:c>
      <x:c r="B243" s="26" t="str">
        <x:v>COMP|OPS|ARCH</x:v>
      </x:c>
      <x:c r="C243" s="26" t="str">
        <x:v>SQLite</x:v>
      </x:c>
      <x:c r="D243" s="26" t="str">
        <x:v>sqlite.org</x:v>
      </x:c>
      <x:c r="E243" s="26" t="str">
        <x:v>Практический источник для групп COMP|OPS|ARCH</x:v>
      </x:c>
      <x:c r="F243" s="26" t="str">
        <x:v>https://sqlite.org/</x:v>
      </x:c>
      <x:c r="G243" s="26" t="str">
        <x:v>https://sqlite.org/</x:v>
      </x:c>
      <x:c r="H243" s="26" t="str">
        <x:v>https://sqlite.org/</x:v>
      </x:c>
      <x:c r="I243" s="26" t="str">
        <x:v>SQLite source is dedicated to the public domain; warranty/license option and bundled shell dependencies still need exact-artifact review</x:v>
      </x:c>
      <x:c r="J243" s="26" t="str">
        <x:v>docs EN;data language-neutral</x:v>
      </x:c>
      <x:c r="K243" s="26" t="str">
        <x:v>International/reference</x:v>
      </x:c>
      <x:c r="L243" s="26" t="str">
        <x:v>Amalgamation;source tree;CLI binaries;HTML docs;single-file databases</x:v>
      </x:c>
      <x:c r="M243" s="26" t="str">
        <x:v>Preserve amalgamation and full source, CLI, docs, compile options and test fixtures; use backup API/dump plus integrity_check and restore comparison</x:v>
      </x:c>
      <x:c r="N243" s="26" t="str">
        <x:v>L2</x:v>
      </x:c>
      <x:c r="O243" s="26" t="str">
        <x:v>S1_LOW_RISK_HOUSEHOLD</x:v>
      </x:c>
      <x:c r="P243" s="26" t="str">
        <x:v>ANNUAL_OR_EDITION</x:v>
      </x:c>
      <x:c r="Q243" s="26" t="n">
        <x:v>4</x:v>
      </x:c>
      <x:c r="R243" s="26" t="n">
        <x:v>4</x:v>
      </x:c>
      <x:c r="S243" s="26" t="n">
        <x:v>3</x:v>
      </x:c>
      <x:c r="T243" s="26" t="n">
        <x:v>4</x:v>
      </x:c>
      <x:c r="U243" s="26" t="n">
        <x:v>4</x:v>
      </x:c>
      <x:c r="V243" s="26" t="n">
        <x:v>3</x:v>
      </x:c>
      <x:c r="W243" s="26" t="n">
        <x:v>2</x:v>
      </x:c>
      <x:c r="X243" s="26" t="n">
        <x:v>3</x:v>
      </x:c>
      <x:c r="Y243" s="26" t="n">
        <x:v>0</x:v>
      </x:c>
      <x:c r="Z243" s="26" t="n">
        <x:v>2</x:v>
      </x:c>
      <x:c r="AA243" s="26" t="n">
        <x:v>1</x:v>
      </x:c>
      <x:c r="AB243" s="26" t="str">
        <x:v>CANDIDATE</x:v>
      </x:c>
      <x:c r="AC243" s="26" t="str">
        <x:v>NOT_DOWNLOADED</x:v>
      </x:c>
      <x:c r="AD243" s="26" t="str">
        <x:v>REQUIRES_ITEM_REVIEW</x:v>
      </x:c>
      <x:c r="AE243" s="26" t="str">
        <x:v>NOT_REVIEWED</x:v>
      </x:c>
      <x:c r="AF243" s="26" t="str">
        <x:v>NOT_TESTED</x:v>
      </x:c>
      <x:c r="AG243" s="26" t="str"/>
      <x:c r="AH243" s="26" t="str"/>
      <x:c r="AI243" s="26" t="str"/>
      <x:c r="AJ243" s="26" t="str"/>
      <x:c r="AK243" s="57" t="n">
        <x:f>MAX(0,MIN(100,ROUND(((Q243*'Overview'!$B$18)+(R243*'Overview'!$B$19)+(S243*'Overview'!$B$20)+(T243*'Overview'!$B$21)+(U243*'Overview'!$B$22)+(V243*'Overview'!$B$23)+(W243*'Overview'!$B$24)+(X243*'Overview'!$B$25)-(Y243*'Overview'!$B$26)-(Z243*'Overview'!$B$27)-(AA243*'Overview'!$B$28))/5*100,0)))</x:f>
        <x:v>67</x:v>
      </x:c>
      <x:c r="AL243" s="26" t="str">
        <x:v>[SUPPLEMENTAL_RESEARCH] Compile options; extensions; public-domain treatment outside US; database migrations; corruption/restore test</x:v>
      </x:c>
    </x:row>
    <x:row r="244">
      <x:c r="A244" s="53" t="str">
        <x:v>SUP-MDE-022</x:v>
      </x:c>
      <x:c r="B244" s="53" t="str">
        <x:v>COMP|ARCH</x:v>
      </x:c>
      <x:c r="C244" s="53" t="str">
        <x:v>Git and Pro Git reference</x:v>
      </x:c>
      <x:c r="D244" s="53" t="str">
        <x:v>git-scm.com</x:v>
      </x:c>
      <x:c r="E244" s="53" t="str">
        <x:v>Практический источник для групп COMP|ARCH</x:v>
      </x:c>
      <x:c r="F244" s="53" t="str">
        <x:v>https://git-scm.com/|https://git-scm.com/book/en/v2</x:v>
      </x:c>
      <x:c r="G244" s="53" t="str">
        <x:v>https://git-scm.com/|https://git-scm.com/book/en/v2</x:v>
      </x:c>
      <x:c r="H244" s="53" t="str">
        <x:v>https://git-scm.com/|https://git-scm.com/book/en/v2</x:v>
      </x:c>
      <x:c r="I244" s="53" t="str">
        <x:v>Git is GPL-2.0-only with project exceptions/notices; Pro Git book is CC-BY-NC-SA-3.0; bundled platform tools differ</x:v>
      </x:c>
      <x:c r="J244" s="53" t="str">
        <x:v>software/docs mostly EN;Pro Git translations available</x:v>
      </x:c>
      <x:c r="K244" s="53" t="str">
        <x:v>International/reference</x:v>
      </x:c>
      <x:c r="L244" s="53" t="str">
        <x:v>Source tarball;platform installers;manpages/HTML docs;git bundle;Pro Git EPUB/PDF/HTML</x:v>
      </x:c>
      <x:c r="M244" s="53" t="str">
        <x:v>Preserve exact Git source and installers, docs and independently licensed book; make full-ref bundles, clone offline, run fsck and compare refs/objects</x:v>
      </x:c>
      <x:c r="N244" s="53" t="str">
        <x:v>L2</x:v>
      </x:c>
      <x:c r="O244" s="53" t="str">
        <x:v>S1_LOW_RISK_HOUSEHOLD</x:v>
      </x:c>
      <x:c r="P244" s="53" t="str">
        <x:v>ANNUAL_OR_EDITION</x:v>
      </x:c>
      <x:c r="Q244" s="53" t="n">
        <x:v>4</x:v>
      </x:c>
      <x:c r="R244" s="53" t="n">
        <x:v>4</x:v>
      </x:c>
      <x:c r="S244" s="53" t="n">
        <x:v>3</x:v>
      </x:c>
      <x:c r="T244" s="53" t="n">
        <x:v>4</x:v>
      </x:c>
      <x:c r="U244" s="53" t="n">
        <x:v>4</x:v>
      </x:c>
      <x:c r="V244" s="53" t="n">
        <x:v>3</x:v>
      </x:c>
      <x:c r="W244" s="53" t="n">
        <x:v>2</x:v>
      </x:c>
      <x:c r="X244" s="53" t="n">
        <x:v>3</x:v>
      </x:c>
      <x:c r="Y244" s="53" t="n">
        <x:v>0</x:v>
      </x:c>
      <x:c r="Z244" s="53" t="n">
        <x:v>2</x:v>
      </x:c>
      <x:c r="AA244" s="53" t="n">
        <x:v>1</x:v>
      </x:c>
      <x:c r="AB244" s="53" t="str">
        <x:v>CANDIDATE</x:v>
      </x:c>
      <x:c r="AC244" s="53" t="str">
        <x:v>NOT_DOWNLOADED</x:v>
      </x:c>
      <x:c r="AD244" s="53" t="str">
        <x:v>REQUIRES_ITEM_REVIEW</x:v>
      </x:c>
      <x:c r="AE244" s="53" t="str">
        <x:v>NOT_REVIEWED</x:v>
      </x:c>
      <x:c r="AF244" s="53" t="str">
        <x:v>NOT_TESTED</x:v>
      </x:c>
      <x:c r="AG244" s="53" t="str"/>
      <x:c r="AH244" s="53" t="str"/>
      <x:c r="AI244" s="53" t="str"/>
      <x:c r="AJ244" s="53" t="str"/>
      <x:c r="AK244" s="57" t="n">
        <x:f>MAX(0,MIN(100,ROUND(((Q244*'Overview'!$B$18)+(R244*'Overview'!$B$19)+(S244*'Overview'!$B$20)+(T244*'Overview'!$B$21)+(U244*'Overview'!$B$22)+(V244*'Overview'!$B$23)+(W244*'Overview'!$B$24)+(X244*'Overview'!$B$25)-(Y244*'Overview'!$B$26)-(Z244*'Overview'!$B$27)-(AA244*'Overview'!$B$28))/5*100,0)))</x:f>
        <x:v>67</x:v>
      </x:c>
      <x:c r="AL244" s="53" t="str">
        <x:v>[SUPPLEMENTAL_RESEARCH] All refs/tags included; LFS/submodules not implied by bundle; signatures and keys; installer dependencies; book NC/SA</x:v>
      </x:c>
    </x:row>
    <x:row r="245">
      <x:c r="A245" s="26" t="str">
        <x:v>SUP-MDE-023</x:v>
      </x:c>
      <x:c r="B245" s="26" t="str">
        <x:v>COMP|ARCH</x:v>
      </x:c>
      <x:c r="C245" s="26" t="str">
        <x:v>Native C/C++ build and debug chain</x:v>
      </x:c>
      <x:c r="D245" s="26" t="str">
        <x:v>gcc.gnu.org</x:v>
      </x:c>
      <x:c r="E245" s="26" t="str">
        <x:v>Практический источник для групп COMP|ARCH</x:v>
      </x:c>
      <x:c r="F245" s="26" t="str">
        <x:v>https://gcc.gnu.org/|https://sourceware.org/binutils/|https://sourceware.org/gdb/|https://www.gnu.org/software/make/|https://cmake.org/|https://github.com/ninja-build/ninja</x:v>
      </x:c>
      <x:c r="G245" s="26" t="str">
        <x:v>https://gcc.gnu.org/|https://sourceware.org/binutils/|https://sourceware.org/gdb/|https://www.gnu.org/software/make/|https://cmake.org/|https://github.com/ninja-build/ninja</x:v>
      </x:c>
      <x:c r="H245" s="26" t="str">
        <x:v>https://gcc.gnu.org/|https://sourceware.org/binutils/|https://sourceware.org/gdb/|https://www.gnu.org/software/make/|https://cmake.org/|https://github.com/ninja-build/ninja</x:v>
      </x:c>
      <x:c r="I245" s="26" t="str">
        <x:v>Mixed: GCC GPL-3+ with GCC Runtime Library Exception for specified runtime components; binutils/GDB/make GPL-family; CMake BSD-3-Clause; Ninja Apache-2.0; manuals may be GFDL</x:v>
      </x:c>
      <x:c r="J245" s="26" t="str">
        <x:v>docs mostly EN</x:v>
      </x:c>
      <x:c r="K245" s="26" t="str">
        <x:v>International/reference</x:v>
      </x:c>
      <x:c r="L245" s="26" t="str">
        <x:v>GCC;binutils;GDB;GNU make;CMake;Ninja sources/binaries/docs;sysroot/headers/libraries</x:v>
      </x:c>
      <x:c r="M245" s="26" t="str">
        <x:v>Define each component/version as its own manifest record; preserve source, bootstrap binaries, sysroot, libc/headers, build generators and tests for at least two viable architectures</x:v>
      </x:c>
      <x:c r="N245" s="26" t="str">
        <x:v>L2</x:v>
      </x:c>
      <x:c r="O245" s="26" t="str">
        <x:v>S1_LOW_RISK_HOUSEHOLD</x:v>
      </x:c>
      <x:c r="P245" s="26" t="str">
        <x:v>ANNUAL_OR_EDITION</x:v>
      </x:c>
      <x:c r="Q245" s="26" t="n">
        <x:v>4</x:v>
      </x:c>
      <x:c r="R245" s="26" t="n">
        <x:v>4</x:v>
      </x:c>
      <x:c r="S245" s="26" t="n">
        <x:v>3</x:v>
      </x:c>
      <x:c r="T245" s="26" t="n">
        <x:v>4</x:v>
      </x:c>
      <x:c r="U245" s="26" t="n">
        <x:v>4</x:v>
      </x:c>
      <x:c r="V245" s="26" t="n">
        <x:v>3</x:v>
      </x:c>
      <x:c r="W245" s="26" t="n">
        <x:v>2</x:v>
      </x:c>
      <x:c r="X245" s="26" t="n">
        <x:v>3</x:v>
      </x:c>
      <x:c r="Y245" s="26" t="n">
        <x:v>0</x:v>
      </x:c>
      <x:c r="Z245" s="26" t="n">
        <x:v>2</x:v>
      </x:c>
      <x:c r="AA245" s="26" t="n">
        <x:v>1</x:v>
      </x:c>
      <x:c r="AB245" s="26" t="str">
        <x:v>CANDIDATE</x:v>
      </x:c>
      <x:c r="AC245" s="26" t="str">
        <x:v>NOT_DOWNLOADED</x:v>
      </x:c>
      <x:c r="AD245" s="26" t="str">
        <x:v>REQUIRES_ITEM_REVIEW</x:v>
      </x:c>
      <x:c r="AE245" s="26" t="str">
        <x:v>NOT_REVIEWED</x:v>
      </x:c>
      <x:c r="AF245" s="26" t="str">
        <x:v>NOT_TESTED</x:v>
      </x:c>
      <x:c r="AG245" s="26" t="str"/>
      <x:c r="AH245" s="26" t="str"/>
      <x:c r="AI245" s="26" t="str"/>
      <x:c r="AJ245" s="26" t="str"/>
      <x:c r="AK245" s="57" t="n">
        <x:f>MAX(0,MIN(100,ROUND(((Q245*'Overview'!$B$18)+(R245*'Overview'!$B$19)+(S245*'Overview'!$B$20)+(T245*'Overview'!$B$21)+(U245*'Overview'!$B$22)+(V245*'Overview'!$B$23)+(W245*'Overview'!$B$24)+(X245*'Overview'!$B$25)-(Y245*'Overview'!$B$26)-(Z245*'Overview'!$B$27)-(AA245*'Overview'!$B$28))/5*100,0)))</x:f>
        <x:v>67</x:v>
      </x:c>
      <x:c r="AL245" s="26" t="str">
        <x:v>[SUPPLEMENTAL_RESEARCH] Compiler bootstrap; runtime exception scope; libc/sysroot rights; target triple; binutils compatibility; no family-level blanket license</x:v>
      </x:c>
    </x:row>
    <x:row r="246">
      <x:c r="A246" s="53" t="str">
        <x:v>SUP-MDE-024</x:v>
      </x:c>
      <x:c r="B246" s="53" t="str">
        <x:v>COMP|ELEC</x:v>
      </x:c>
      <x:c r="C246" s="53" t="str">
        <x:v>LLVM/Clang toolchain</x:v>
      </x:c>
      <x:c r="D246" s="53" t="str">
        <x:v>llvm.org</x:v>
      </x:c>
      <x:c r="E246" s="53" t="str">
        <x:v>Практический источник для групп COMP|ELEC</x:v>
      </x:c>
      <x:c r="F246" s="53" t="str">
        <x:v>https://llvm.org/</x:v>
      </x:c>
      <x:c r="G246" s="53" t="str">
        <x:v>https://llvm.org/</x:v>
      </x:c>
      <x:c r="H246" s="53" t="str">
        <x:v>https://llvm.org/</x:v>
      </x:c>
      <x:c r="I246" s="53" t="str">
        <x:v>Apache-2.0 WITH LLVM-exception for current LLVM project code; bundled/runtime/third-party components require notice review</x:v>
      </x:c>
      <x:c r="J246" s="53" t="str">
        <x:v>docs primarily EN</x:v>
      </x:c>
      <x:c r="K246" s="53" t="str">
        <x:v>International/reference</x:v>
      </x:c>
      <x:c r="L246" s="53" t="str">
        <x:v>Signed source releases;tool binaries where offered;Clang/LLD/LLDB;HTML docs;test suites</x:v>
      </x:c>
      <x:c r="M246" s="53" t="str">
        <x:v>Preserve exact release sources, signatures, target binaries, runtimes/sysroot and tests; build compiler from a recorded bootstrap compiler and run offline smoke suite</x:v>
      </x:c>
      <x:c r="N246" s="53" t="str">
        <x:v>L2</x:v>
      </x:c>
      <x:c r="O246" s="53" t="str">
        <x:v>S1_LOW_RISK_HOUSEHOLD</x:v>
      </x:c>
      <x:c r="P246" s="53" t="str">
        <x:v>ANNUAL_OR_EDITION</x:v>
      </x:c>
      <x:c r="Q246" s="53" t="n">
        <x:v>4</x:v>
      </x:c>
      <x:c r="R246" s="53" t="n">
        <x:v>4</x:v>
      </x:c>
      <x:c r="S246" s="53" t="n">
        <x:v>3</x:v>
      </x:c>
      <x:c r="T246" s="53" t="n">
        <x:v>4</x:v>
      </x:c>
      <x:c r="U246" s="53" t="n">
        <x:v>4</x:v>
      </x:c>
      <x:c r="V246" s="53" t="n">
        <x:v>3</x:v>
      </x:c>
      <x:c r="W246" s="53" t="n">
        <x:v>2</x:v>
      </x:c>
      <x:c r="X246" s="53" t="n">
        <x:v>3</x:v>
      </x:c>
      <x:c r="Y246" s="53" t="n">
        <x:v>0</x:v>
      </x:c>
      <x:c r="Z246" s="53" t="n">
        <x:v>2</x:v>
      </x:c>
      <x:c r="AA246" s="53" t="n">
        <x:v>1</x:v>
      </x:c>
      <x:c r="AB246" s="53" t="str">
        <x:v>CANDIDATE</x:v>
      </x:c>
      <x:c r="AC246" s="53" t="str">
        <x:v>NOT_DOWNLOADED</x:v>
      </x:c>
      <x:c r="AD246" s="53" t="str">
        <x:v>REQUIRES_ITEM_REVIEW</x:v>
      </x:c>
      <x:c r="AE246" s="53" t="str">
        <x:v>NOT_REVIEWED</x:v>
      </x:c>
      <x:c r="AF246" s="53" t="str">
        <x:v>NOT_TESTED</x:v>
      </x:c>
      <x:c r="AG246" s="53" t="str"/>
      <x:c r="AH246" s="53" t="str"/>
      <x:c r="AI246" s="53" t="str"/>
      <x:c r="AJ246" s="53" t="str"/>
      <x:c r="AK246" s="57" t="n">
        <x:f>MAX(0,MIN(100,ROUND(((Q246*'Overview'!$B$18)+(R246*'Overview'!$B$19)+(S246*'Overview'!$B$20)+(T246*'Overview'!$B$21)+(U246*'Overview'!$B$22)+(V246*'Overview'!$B$23)+(W246*'Overview'!$B$24)+(X246*'Overview'!$B$25)-(Y246*'Overview'!$B$26)-(Z246*'Overview'!$B$27)-(AA246*'Overview'!$B$28))/5*100,0)))</x:f>
        <x:v>67</x:v>
      </x:c>
      <x:c r="AL246" s="53" t="str">
        <x:v>[SUPPLEMENTAL_RESEARCH] Release key; bootstrap chain; runtimes/libc++; target support; third-party notices; reproducible flags</x:v>
      </x:c>
    </x:row>
    <x:row r="247">
      <x:c r="A247" s="26" t="str">
        <x:v>SUP-MDE-025</x:v>
      </x:c>
      <x:c r="B247" s="26" t="str">
        <x:v>COMP|ARCH</x:v>
      </x:c>
      <x:c r="C247" s="26" t="str">
        <x:v>Rust standalone toolchain and vendored crates</x:v>
      </x:c>
      <x:c r="D247" s="26" t="str">
        <x:v>www.rust-lang.org</x:v>
      </x:c>
      <x:c r="E247" s="26" t="str">
        <x:v>Практический источник для групп COMP|ARCH</x:v>
      </x:c>
      <x:c r="F247" s="26" t="str">
        <x:v>https://www.rust-lang.org/</x:v>
      </x:c>
      <x:c r="G247" s="26" t="str">
        <x:v>https://www.rust-lang.org/</x:v>
      </x:c>
      <x:c r="H247" s="26" t="str">
        <x:v>https://www.rust-lang.org/</x:v>
      </x:c>
      <x:c r="I247" s="26" t="str">
        <x:v>Rust project code generally MIT OR Apache-2.0; crates, LLVM and bundled tools have independent licenses</x:v>
      </x:c>
      <x:c r="J247" s="26" t="str">
        <x:v>docs primarily EN</x:v>
      </x:c>
      <x:c r="K247" s="26" t="str">
        <x:v>International/reference</x:v>
      </x:c>
      <x:c r="L247" s="26" t="str">
        <x:v>Standalone installers;source;rustc/cargo/rustdoc/std/docs;Cargo.lock;vendor directory;crates</x:v>
      </x:c>
      <x:c r="M247" s="26" t="str">
        <x:v>Preserve official standalone installers and source for exact host/targets; cargo vendor with Cargo.lock; build using locked/offline or frozen mode; retain target std components</x:v>
      </x:c>
      <x:c r="N247" s="26" t="str">
        <x:v>L2</x:v>
      </x:c>
      <x:c r="O247" s="26" t="str">
        <x:v>S1_LOW_RISK_HOUSEHOLD</x:v>
      </x:c>
      <x:c r="P247" s="26" t="str">
        <x:v>ANNUAL_OR_EDITION</x:v>
      </x:c>
      <x:c r="Q247" s="26" t="n">
        <x:v>4</x:v>
      </x:c>
      <x:c r="R247" s="26" t="n">
        <x:v>4</x:v>
      </x:c>
      <x:c r="S247" s="26" t="n">
        <x:v>3</x:v>
      </x:c>
      <x:c r="T247" s="26" t="n">
        <x:v>4</x:v>
      </x:c>
      <x:c r="U247" s="26" t="n">
        <x:v>4</x:v>
      </x:c>
      <x:c r="V247" s="26" t="n">
        <x:v>3</x:v>
      </x:c>
      <x:c r="W247" s="26" t="n">
        <x:v>2</x:v>
      </x:c>
      <x:c r="X247" s="26" t="n">
        <x:v>3</x:v>
      </x:c>
      <x:c r="Y247" s="26" t="n">
        <x:v>0</x:v>
      </x:c>
      <x:c r="Z247" s="26" t="n">
        <x:v>2</x:v>
      </x:c>
      <x:c r="AA247" s="26" t="n">
        <x:v>1</x:v>
      </x:c>
      <x:c r="AB247" s="26" t="str">
        <x:v>CANDIDATE</x:v>
      </x:c>
      <x:c r="AC247" s="26" t="str">
        <x:v>NOT_DOWNLOADED</x:v>
      </x:c>
      <x:c r="AD247" s="26" t="str">
        <x:v>REQUIRES_ITEM_REVIEW</x:v>
      </x:c>
      <x:c r="AE247" s="26" t="str">
        <x:v>NOT_REVIEWED</x:v>
      </x:c>
      <x:c r="AF247" s="26" t="str">
        <x:v>NOT_TESTED</x:v>
      </x:c>
      <x:c r="AG247" s="26" t="str"/>
      <x:c r="AH247" s="26" t="str"/>
      <x:c r="AI247" s="26" t="str"/>
      <x:c r="AJ247" s="26" t="str"/>
      <x:c r="AK247" s="57" t="n">
        <x:f>MAX(0,MIN(100,ROUND(((Q247*'Overview'!$B$18)+(R247*'Overview'!$B$19)+(S247*'Overview'!$B$20)+(T247*'Overview'!$B$21)+(U247*'Overview'!$B$22)+(V247*'Overview'!$B$23)+(W247*'Overview'!$B$24)+(X247*'Overview'!$B$25)-(Y247*'Overview'!$B$26)-(Z247*'Overview'!$B$27)-(AA247*'Overview'!$B$28))/5*100,0)))</x:f>
        <x:v>67</x:v>
      </x:c>
      <x:c r="AL247" s="26" t="str">
        <x:v>[SUPPLEMENTAL_RESEARCH] Target triples; rustup channel mutability avoided; crate licenses/SBOM; build scripts; native dependencies; offline tests</x:v>
      </x:c>
    </x:row>
    <x:row r="248">
      <x:c r="A248" s="53" t="str">
        <x:v>SUP-MDE-026</x:v>
      </x:c>
      <x:c r="B248" s="53" t="str">
        <x:v>COMP|ARCH</x:v>
      </x:c>
      <x:c r="C248" s="53" t="str">
        <x:v>Go toolchain and vendored modules</x:v>
      </x:c>
      <x:c r="D248" s="53" t="str">
        <x:v>go.dev</x:v>
      </x:c>
      <x:c r="E248" s="53" t="str">
        <x:v>Практический источник для групп COMP|ARCH</x:v>
      </x:c>
      <x:c r="F248" s="53" t="str">
        <x:v>https://go.dev/</x:v>
      </x:c>
      <x:c r="G248" s="53" t="str">
        <x:v>https://go.dev/</x:v>
      </x:c>
      <x:c r="H248" s="53" t="str">
        <x:v>https://go.dev/</x:v>
      </x:c>
      <x:c r="I248" s="53" t="str">
        <x:v>Go distribution uses BSD-style license; module dependencies and generated/vendor content have independent rights</x:v>
      </x:c>
      <x:c r="J248" s="53" t="str">
        <x:v>docs primarily EN</x:v>
      </x:c>
      <x:c r="K248" s="53" t="str">
        <x:v>International/reference</x:v>
      </x:c>
      <x:c r="L248" s="53" t="str">
        <x:v>Source archive;official binaries;docs;go.mod;go.sum;vendor tree;modules.txt</x:v>
      </x:c>
      <x:c r="M248" s="53" t="str">
        <x:v>Preserve source plus binaries for host targets; pin toolchain; go mod vendor and retain go.mod/go.sum/vendor/modules.txt; build with vendor and network denied</x:v>
      </x:c>
      <x:c r="N248" s="53" t="str">
        <x:v>L2</x:v>
      </x:c>
      <x:c r="O248" s="53" t="str">
        <x:v>S1_LOW_RISK_HOUSEHOLD</x:v>
      </x:c>
      <x:c r="P248" s="53" t="str">
        <x:v>ANNUAL_OR_EDITION</x:v>
      </x:c>
      <x:c r="Q248" s="53" t="n">
        <x:v>4</x:v>
      </x:c>
      <x:c r="R248" s="53" t="n">
        <x:v>4</x:v>
      </x:c>
      <x:c r="S248" s="53" t="n">
        <x:v>3</x:v>
      </x:c>
      <x:c r="T248" s="53" t="n">
        <x:v>4</x:v>
      </x:c>
      <x:c r="U248" s="53" t="n">
        <x:v>4</x:v>
      </x:c>
      <x:c r="V248" s="53" t="n">
        <x:v>3</x:v>
      </x:c>
      <x:c r="W248" s="53" t="n">
        <x:v>2</x:v>
      </x:c>
      <x:c r="X248" s="53" t="n">
        <x:v>3</x:v>
      </x:c>
      <x:c r="Y248" s="53" t="n">
        <x:v>0</x:v>
      </x:c>
      <x:c r="Z248" s="53" t="n">
        <x:v>2</x:v>
      </x:c>
      <x:c r="AA248" s="53" t="n">
        <x:v>1</x:v>
      </x:c>
      <x:c r="AB248" s="53" t="str">
        <x:v>CANDIDATE</x:v>
      </x:c>
      <x:c r="AC248" s="53" t="str">
        <x:v>NOT_DOWNLOADED</x:v>
      </x:c>
      <x:c r="AD248" s="53" t="str">
        <x:v>REQUIRES_ITEM_REVIEW</x:v>
      </x:c>
      <x:c r="AE248" s="53" t="str">
        <x:v>NOT_REVIEWED</x:v>
      </x:c>
      <x:c r="AF248" s="53" t="str">
        <x:v>NOT_TESTED</x:v>
      </x:c>
      <x:c r="AG248" s="53" t="str"/>
      <x:c r="AH248" s="53" t="str"/>
      <x:c r="AI248" s="53" t="str"/>
      <x:c r="AJ248" s="53" t="str"/>
      <x:c r="AK248" s="57" t="n">
        <x:f>MAX(0,MIN(100,ROUND(((Q248*'Overview'!$B$18)+(R248*'Overview'!$B$19)+(S248*'Overview'!$B$20)+(T248*'Overview'!$B$21)+(U248*'Overview'!$B$22)+(V248*'Overview'!$B$23)+(W248*'Overview'!$B$24)+(X248*'Overview'!$B$25)-(Y248*'Overview'!$B$26)-(Z248*'Overview'!$B$27)-(AA248*'Overview'!$B$28))/5*100,0)))</x:f>
        <x:v>67</x:v>
      </x:c>
      <x:c r="AL248" s="53" t="str">
        <x:v>[SUPPLEMENTAL_RESEARCH] Bootstrap Go version; module replacements; cgo/native libs; module licenses; sum database is not offline availability proof</x:v>
      </x:c>
    </x:row>
    <x:row r="249">
      <x:c r="A249" s="26" t="str">
        <x:v>SUP-MDE-027</x:v>
      </x:c>
      <x:c r="B249" s="26" t="str">
        <x:v>ELEC|ARCH</x:v>
      </x:c>
      <x:c r="C249" s="26" t="str">
        <x:v>KiCad EDA</x:v>
      </x:c>
      <x:c r="D249" s="26" t="str">
        <x:v>www.kicad.org</x:v>
      </x:c>
      <x:c r="E249" s="26" t="str">
        <x:v>Практический источник для групп ELEC|ARCH</x:v>
      </x:c>
      <x:c r="F249" s="26" t="str">
        <x:v>https://www.kicad.org/</x:v>
      </x:c>
      <x:c r="G249" s="26" t="str">
        <x:v>https://www.kicad.org/</x:v>
      </x:c>
      <x:c r="H249" s="26" t="str">
        <x:v>https://www.kicad.org/</x:v>
      </x:c>
      <x:c r="I249" s="26" t="str">
        <x:v>Program mostly GPL-3-or-later; docs GPL-3-or-later or CC-BY-3.0; official libraries CC-BY-SA-4.0 with stated library exception; plugins/third-party libraries differ</x:v>
      </x:c>
      <x:c r="J249" s="26" t="str">
        <x:v>UI/docs localized including Portuguese to varying degree</x:v>
      </x:c>
      <x:c r="K249" s="26" t="str">
        <x:v>International/reference</x:v>
      </x:c>
      <x:c r="L249" s="26" t="str">
        <x:v>Installers;source;schematic/PCB formats;official symbol/footprint/3D libraries;docs</x:v>
      </x:c>
      <x:c r="M249" s="26" t="str">
        <x:v>Preserve exact installer/source, official library releases and docs; local ERC/DRC test project; outputs are educational artefacts, not certified safe designs</x:v>
      </x:c>
      <x:c r="N249" s="26" t="str">
        <x:v>L2</x:v>
      </x:c>
      <x:c r="O249" s="26" t="str">
        <x:v>S2_TRAINED_SUPERVISED</x:v>
      </x:c>
      <x:c r="P249" s="26" t="str">
        <x:v>ANNUAL_OR_EDITION</x:v>
      </x:c>
      <x:c r="Q249" s="26" t="n">
        <x:v>4</x:v>
      </x:c>
      <x:c r="R249" s="26" t="n">
        <x:v>4</x:v>
      </x:c>
      <x:c r="S249" s="26" t="n">
        <x:v>3</x:v>
      </x:c>
      <x:c r="T249" s="26" t="n">
        <x:v>4</x:v>
      </x:c>
      <x:c r="U249" s="26" t="n">
        <x:v>4</x:v>
      </x:c>
      <x:c r="V249" s="26" t="n">
        <x:v>3</x:v>
      </x:c>
      <x:c r="W249" s="26" t="n">
        <x:v>2</x:v>
      </x:c>
      <x:c r="X249" s="26" t="n">
        <x:v>3</x:v>
      </x:c>
      <x:c r="Y249" s="26" t="n">
        <x:v>2</x:v>
      </x:c>
      <x:c r="Z249" s="26" t="n">
        <x:v>2</x:v>
      </x:c>
      <x:c r="AA249" s="26" t="n">
        <x:v>1</x:v>
      </x:c>
      <x:c r="AB249" s="26" t="str">
        <x:v>CANDIDATE</x:v>
      </x:c>
      <x:c r="AC249" s="26" t="str">
        <x:v>NOT_DOWNLOADED</x:v>
      </x:c>
      <x:c r="AD249" s="26" t="str">
        <x:v>REQUIRES_ITEM_REVIEW</x:v>
      </x:c>
      <x:c r="AE249" s="26" t="str">
        <x:v>NOT_REVIEWED</x:v>
      </x:c>
      <x:c r="AF249" s="26" t="str">
        <x:v>NOT_TESTED</x:v>
      </x:c>
      <x:c r="AG249" s="26" t="str"/>
      <x:c r="AH249" s="26" t="str"/>
      <x:c r="AI249" s="26" t="str"/>
      <x:c r="AJ249" s="26" t="str"/>
      <x:c r="AK249" s="57" t="n">
        <x:f>MAX(0,MIN(100,ROUND(((Q249*'Overview'!$B$18)+(R249*'Overview'!$B$19)+(S249*'Overview'!$B$20)+(T249*'Overview'!$B$21)+(U249*'Overview'!$B$22)+(V249*'Overview'!$B$23)+(W249*'Overview'!$B$24)+(X249*'Overview'!$B$25)-(Y249*'Overview'!$B$26)-(Z249*'Overview'!$B$27)-(AA249*'Overview'!$B$28))/5*100,0)))</x:f>
        <x:v>61</x:v>
      </x:c>
      <x:c r="AL249" s="26" t="str">
        <x:v>[SUPPLEMENTAL_RESEARCH] Library version binding; plugin ban/review; model/component licensing; ERC rules; no mains/RF/high-energy design release</x:v>
      </x:c>
    </x:row>
    <x:row r="250">
      <x:c r="A250" s="53" t="str">
        <x:v>SUP-MDE-028</x:v>
      </x:c>
      <x:c r="B250" s="53" t="str">
        <x:v>ELEC|COMP|ARCH</x:v>
      </x:c>
      <x:c r="C250" s="53" t="str">
        <x:v>Arduino CLI/IDE plus exact board cores</x:v>
      </x:c>
      <x:c r="D250" s="53" t="str">
        <x:v>docs.arduino.cc</x:v>
      </x:c>
      <x:c r="E250" s="53" t="str">
        <x:v>Практический источник для групп ELEC|COMP|ARCH</x:v>
      </x:c>
      <x:c r="F250" s="53" t="str">
        <x:v>https://docs.arduino.cc/arduino-cli/|https://github.com/arduino/arduino-ide</x:v>
      </x:c>
      <x:c r="G250" s="53" t="str">
        <x:v>https://docs.arduino.cc/arduino-cli/|https://github.com/arduino/arduino-ide</x:v>
      </x:c>
      <x:c r="H250" s="53" t="str">
        <x:v>https://docs.arduino.cc/arduino-cli/|https://github.com/arduino/arduino-ide</x:v>
      </x:c>
      <x:c r="I250" s="53" t="str">
        <x:v>Arduino tools, IDE generations, cores, vendor toolchains and libraries are separately licensed; package index availability does not grant redistribution rights</x:v>
      </x:c>
      <x:c r="J250" s="53" t="str">
        <x:v>UI/docs and libraries vary; verify PT resources separately</x:v>
      </x:c>
      <x:c r="K250" s="53" t="str">
        <x:v>International/reference</x:v>
      </x:c>
      <x:c r="L250" s="53" t="str">
        <x:v>CLI/IDE;package indexes;board cores;compiler/uploader tools;libraries;examples;source</x:v>
      </x:c>
      <x:c r="M250" s="53" t="str">
        <x:v>Freeze CLI/IDE version, package_index and each referenced archive/checksum; select exact boards/cores/libs; retain toolchains, datasheets and licenses; compile offline before any ELV bench use</x:v>
      </x:c>
      <x:c r="N250" s="53" t="str">
        <x:v>L2</x:v>
      </x:c>
      <x:c r="O250" s="53" t="str">
        <x:v>S2_TRAINED_SUPERVISED</x:v>
      </x:c>
      <x:c r="P250" s="53" t="str">
        <x:v>ANNUAL_OR_EDITION</x:v>
      </x:c>
      <x:c r="Q250" s="53" t="n">
        <x:v>4</x:v>
      </x:c>
      <x:c r="R250" s="53" t="n">
        <x:v>4</x:v>
      </x:c>
      <x:c r="S250" s="53" t="n">
        <x:v>3</x:v>
      </x:c>
      <x:c r="T250" s="53" t="n">
        <x:v>4</x:v>
      </x:c>
      <x:c r="U250" s="53" t="n">
        <x:v>4</x:v>
      </x:c>
      <x:c r="V250" s="53" t="n">
        <x:v>3</x:v>
      </x:c>
      <x:c r="W250" s="53" t="n">
        <x:v>4</x:v>
      </x:c>
      <x:c r="X250" s="53" t="n">
        <x:v>3</x:v>
      </x:c>
      <x:c r="Y250" s="53" t="n">
        <x:v>2</x:v>
      </x:c>
      <x:c r="Z250" s="53" t="n">
        <x:v>2</x:v>
      </x:c>
      <x:c r="AA250" s="53" t="n">
        <x:v>1</x:v>
      </x:c>
      <x:c r="AB250" s="53" t="str">
        <x:v>CANDIDATE</x:v>
      </x:c>
      <x:c r="AC250" s="53" t="str">
        <x:v>NOT_DOWNLOADED</x:v>
      </x:c>
      <x:c r="AD250" s="53" t="str">
        <x:v>REQUIRES_ITEM_REVIEW</x:v>
      </x:c>
      <x:c r="AE250" s="53" t="str">
        <x:v>NOT_REVIEWED</x:v>
      </x:c>
      <x:c r="AF250" s="53" t="str">
        <x:v>NOT_TESTED</x:v>
      </x:c>
      <x:c r="AG250" s="53" t="str"/>
      <x:c r="AH250" s="53" t="str"/>
      <x:c r="AI250" s="53" t="str"/>
      <x:c r="AJ250" s="53" t="str"/>
      <x:c r="AK250" s="57" t="n">
        <x:f>MAX(0,MIN(100,ROUND(((Q250*'Overview'!$B$18)+(R250*'Overview'!$B$19)+(S250*'Overview'!$B$20)+(T250*'Overview'!$B$21)+(U250*'Overview'!$B$22)+(V250*'Overview'!$B$23)+(W250*'Overview'!$B$24)+(X250*'Overview'!$B$25)-(Y250*'Overview'!$B$26)-(Z250*'Overview'!$B$27)-(AA250*'Overview'!$B$28))/5*100,0)))</x:f>
        <x:v>63</x:v>
      </x:c>
      <x:c r="AL250" s="53" t="str">
        <x:v>[SUPPLEMENTAL_RESEARCH] Board package rights; toolchain closure; bootloader/uploader; USB drivers; no RF transmit; no mains/battery-pack/actuation</x:v>
      </x:c>
    </x:row>
    <x:row r="251">
      <x:c r="A251" s="26" t="str">
        <x:v>SUP-MDE-029</x:v>
      </x:c>
      <x:c r="B251" s="26" t="str">
        <x:v>ELEC|COMP</x:v>
      </x:c>
      <x:c r="C251" s="26" t="str">
        <x:v>ngspice</x:v>
      </x:c>
      <x:c r="D251" s="26" t="str">
        <x:v>ngspice.sourceforge.io</x:v>
      </x:c>
      <x:c r="E251" s="26" t="str">
        <x:v>Практический источник для групп ELEC|COMP</x:v>
      </x:c>
      <x:c r="F251" s="26" t="str">
        <x:v>https://ngspice.sourceforge.io/</x:v>
      </x:c>
      <x:c r="G251" s="26" t="str">
        <x:v>https://ngspice.sourceforge.io/</x:v>
      </x:c>
      <x:c r="H251" s="26" t="str">
        <x:v>https://ngspice.sourceforge.io/</x:v>
      </x:c>
      <x:c r="I251" s="26" t="str">
        <x:v>Core is BSD-3-Clause; tclspice/numparam and XSPICE portions have other terms; semiconductor models are separately licensed</x:v>
      </x:c>
      <x:c r="J251" s="26" t="str">
        <x:v>docs EN</x:v>
      </x:c>
      <x:c r="K251" s="26" t="str">
        <x:v>International/reference</x:v>
      </x:c>
      <x:c r="L251" s="26" t="str">
        <x:v>Source tarball;platform binaries where offered;manual PDF;SPICE models/netlists</x:v>
      </x:c>
      <x:c r="M251" s="26" t="str">
        <x:v>Preserve exact source/binary/manual and only cleared device models; run canonical DC/AC/transient fixture suite offline; simulation does not authorize construction</x:v>
      </x:c>
      <x:c r="N251" s="26" t="str">
        <x:v>L2</x:v>
      </x:c>
      <x:c r="O251" s="26" t="str">
        <x:v>S1_LOW_RISK_HOUSEHOLD</x:v>
      </x:c>
      <x:c r="P251" s="26" t="str">
        <x:v>ANNUAL_OR_EDITION</x:v>
      </x:c>
      <x:c r="Q251" s="26" t="n">
        <x:v>4</x:v>
      </x:c>
      <x:c r="R251" s="26" t="n">
        <x:v>4</x:v>
      </x:c>
      <x:c r="S251" s="26" t="n">
        <x:v>3</x:v>
      </x:c>
      <x:c r="T251" s="26" t="n">
        <x:v>4</x:v>
      </x:c>
      <x:c r="U251" s="26" t="n">
        <x:v>4</x:v>
      </x:c>
      <x:c r="V251" s="26" t="n">
        <x:v>3</x:v>
      </x:c>
      <x:c r="W251" s="26" t="n">
        <x:v>2</x:v>
      </x:c>
      <x:c r="X251" s="26" t="n">
        <x:v>3</x:v>
      </x:c>
      <x:c r="Y251" s="26" t="n">
        <x:v>0</x:v>
      </x:c>
      <x:c r="Z251" s="26" t="n">
        <x:v>2</x:v>
      </x:c>
      <x:c r="AA251" s="26" t="n">
        <x:v>1</x:v>
      </x:c>
      <x:c r="AB251" s="26" t="str">
        <x:v>CANDIDATE</x:v>
      </x:c>
      <x:c r="AC251" s="26" t="str">
        <x:v>NOT_DOWNLOADED</x:v>
      </x:c>
      <x:c r="AD251" s="26" t="str">
        <x:v>REQUIRES_ITEM_REVIEW</x:v>
      </x:c>
      <x:c r="AE251" s="26" t="str">
        <x:v>NOT_REVIEWED</x:v>
      </x:c>
      <x:c r="AF251" s="26" t="str">
        <x:v>NOT_TESTED</x:v>
      </x:c>
      <x:c r="AG251" s="26" t="str"/>
      <x:c r="AH251" s="26" t="str"/>
      <x:c r="AI251" s="26" t="str"/>
      <x:c r="AJ251" s="26" t="str"/>
      <x:c r="AK251" s="57" t="n">
        <x:f>MAX(0,MIN(100,ROUND(((Q251*'Overview'!$B$18)+(R251*'Overview'!$B$19)+(S251*'Overview'!$B$20)+(T251*'Overview'!$B$21)+(U251*'Overview'!$B$22)+(V251*'Overview'!$B$23)+(W251*'Overview'!$B$24)+(X251*'Overview'!$B$25)-(Y251*'Overview'!$B$26)-(Z251*'Overview'!$B$27)-(AA251*'Overview'!$B$28))/5*100,0)))</x:f>
        <x:v>67</x:v>
      </x:c>
      <x:c r="AL251" s="26" t="str">
        <x:v>[SUPPLEMENTAL_RESEARCH] Component notices; model redistribution; convergence/validity limits; known-answer tests; no physical safety claim</x:v>
      </x:c>
    </x:row>
    <x:row r="252">
      <x:c r="A252" s="53" t="str">
        <x:v>SUP-MDE-030</x:v>
      </x:c>
      <x:c r="B252" s="53" t="str">
        <x:v>ELEC|COMP</x:v>
      </x:c>
      <x:c r="C252" s="53" t="str">
        <x:v>HDL simulation family: Icarus Verilog, GHDL, Verilator</x:v>
      </x:c>
      <x:c r="D252" s="53" t="str">
        <x:v>github.com</x:v>
      </x:c>
      <x:c r="E252" s="53" t="str">
        <x:v>Практический источник для групп ELEC|COMP</x:v>
      </x:c>
      <x:c r="F252" s="53" t="str">
        <x:v>https://github.com/steveicarus/iverilog|https://github.com/ghdl/ghdl|https://verilator.org/</x:v>
      </x:c>
      <x:c r="G252" s="53" t="str">
        <x:v>https://github.com/steveicarus/iverilog|https://github.com/ghdl/ghdl|https://verilator.org/</x:v>
      </x:c>
      <x:c r="H252" s="53" t="str">
        <x:v>https://github.com/steveicarus/iverilog|https://github.com/ghdl/ghdl|https://verilator.org/</x:v>
      </x:c>
      <x:c r="I252" s="53" t="str">
        <x:v>Mixed: Icarus GPL-2.0; GHDL core GPL-2.0-or-later but bundled library/file notices need specific review; Verilator dual LGPL-3.0 or Artistic-2.0; test IP separate</x:v>
      </x:c>
      <x:c r="J252" s="53" t="str">
        <x:v>docs primarily EN</x:v>
      </x:c>
      <x:c r="K252" s="53" t="str">
        <x:v>International/reference</x:v>
      </x:c>
      <x:c r="L252" s="53" t="str">
        <x:v>Source;release archives;executables;manuals;VPI/VHPI;waveforms</x:v>
      </x:c>
      <x:c r="M252" s="53" t="str">
        <x:v>Treat three tools as separate component records; preserve exact releases and source; compile small IEEE-language testbenches; export VCD/FST and compare assertions offline</x:v>
      </x:c>
      <x:c r="N252" s="53" t="str">
        <x:v>L2</x:v>
      </x:c>
      <x:c r="O252" s="53" t="str">
        <x:v>S1_LOW_RISK_HOUSEHOLD</x:v>
      </x:c>
      <x:c r="P252" s="53" t="str">
        <x:v>ANNUAL_OR_EDITION</x:v>
      </x:c>
      <x:c r="Q252" s="53" t="n">
        <x:v>4</x:v>
      </x:c>
      <x:c r="R252" s="53" t="n">
        <x:v>4</x:v>
      </x:c>
      <x:c r="S252" s="53" t="n">
        <x:v>3</x:v>
      </x:c>
      <x:c r="T252" s="53" t="n">
        <x:v>4</x:v>
      </x:c>
      <x:c r="U252" s="53" t="n">
        <x:v>4</x:v>
      </x:c>
      <x:c r="V252" s="53" t="n">
        <x:v>3</x:v>
      </x:c>
      <x:c r="W252" s="53" t="n">
        <x:v>2</x:v>
      </x:c>
      <x:c r="X252" s="53" t="n">
        <x:v>3</x:v>
      </x:c>
      <x:c r="Y252" s="53" t="n">
        <x:v>0</x:v>
      </x:c>
      <x:c r="Z252" s="53" t="n">
        <x:v>2</x:v>
      </x:c>
      <x:c r="AA252" s="53" t="n">
        <x:v>1</x:v>
      </x:c>
      <x:c r="AB252" s="53" t="str">
        <x:v>CANDIDATE</x:v>
      </x:c>
      <x:c r="AC252" s="53" t="str">
        <x:v>NOT_DOWNLOADED</x:v>
      </x:c>
      <x:c r="AD252" s="53" t="str">
        <x:v>REQUIRES_ITEM_REVIEW</x:v>
      </x:c>
      <x:c r="AE252" s="53" t="str">
        <x:v>NOT_REVIEWED</x:v>
      </x:c>
      <x:c r="AF252" s="53" t="str">
        <x:v>NOT_TESTED</x:v>
      </x:c>
      <x:c r="AG252" s="53" t="str"/>
      <x:c r="AH252" s="53" t="str"/>
      <x:c r="AI252" s="53" t="str"/>
      <x:c r="AJ252" s="53" t="str"/>
      <x:c r="AK252" s="57" t="n">
        <x:f>MAX(0,MIN(100,ROUND(((Q252*'Overview'!$B$18)+(R252*'Overview'!$B$19)+(S252*'Overview'!$B$20)+(T252*'Overview'!$B$21)+(U252*'Overview'!$B$22)+(V252*'Overview'!$B$23)+(W252*'Overview'!$B$24)+(X252*'Overview'!$B$25)-(Y252*'Overview'!$B$26)-(Z252*'Overview'!$B$27)-(AA252*'Overview'!$B$28))/5*100,0)))</x:f>
        <x:v>67</x:v>
      </x:c>
      <x:c r="AL252" s="53" t="str">
        <x:v>[SUPPLEMENTAL_RESEARCH] FILE_LEVEL_RIGHTS_REVIEW; standard-library/tool dependencies; waveform viewer separate; no third-party HDL IP without license</x:v>
      </x:c>
    </x:row>
    <x:row r="253">
      <x:c r="A253" s="26" t="str">
        <x:v>SUP-MDE-031</x:v>
      </x:c>
      <x:c r="B253" s="26" t="str">
        <x:v>ELEC|COMP</x:v>
      </x:c>
      <x:c r="C253" s="26" t="str">
        <x:v>Yosys and nextpnr open synthesis/place-route</x:v>
      </x:c>
      <x:c r="D253" s="26" t="str">
        <x:v>github.com</x:v>
      </x:c>
      <x:c r="E253" s="26" t="str">
        <x:v>Практический источник для групп ELEC|COMP</x:v>
      </x:c>
      <x:c r="F253" s="26" t="str">
        <x:v>https://github.com/YosysHQ/yosys|https://github.com/YosysHQ/nextpnr</x:v>
      </x:c>
      <x:c r="G253" s="26" t="str">
        <x:v>https://github.com/YosysHQ/yosys|https://github.com/YosysHQ/nextpnr</x:v>
      </x:c>
      <x:c r="H253" s="26" t="str">
        <x:v>https://github.com/YosysHQ/yosys|https://github.com/YosysHQ/nextpnr</x:v>
      </x:c>
      <x:c r="I253" s="26" t="str">
        <x:v>Yosys and nextpnr cores use ISC; submodules, device/chip databases, vendor tools and bundled distributions have separate licenses</x:v>
      </x:c>
      <x:c r="J253" s="26" t="str">
        <x:v>docs primarily EN</x:v>
      </x:c>
      <x:c r="K253" s="26" t="str">
        <x:v>International/reference</x:v>
      </x:c>
      <x:c r="L253" s="26" t="str">
        <x:v>Source;submodules;device databases;constraints;JSON/netlists;reports</x:v>
      </x:c>
      <x:c r="M253" s="26" t="str">
        <x:v>Pin commits/releases plus recursive submodules; retain exact device data and constraints; run simulation-before-synthesis and deterministic report comparison where feasible</x:v>
      </x:c>
      <x:c r="N253" s="26" t="str">
        <x:v>L2</x:v>
      </x:c>
      <x:c r="O253" s="26" t="str">
        <x:v>S1_LOW_RISK_HOUSEHOLD</x:v>
      </x:c>
      <x:c r="P253" s="26" t="str">
        <x:v>ANNUAL_OR_EDITION</x:v>
      </x:c>
      <x:c r="Q253" s="26" t="n">
        <x:v>4</x:v>
      </x:c>
      <x:c r="R253" s="26" t="n">
        <x:v>4</x:v>
      </x:c>
      <x:c r="S253" s="26" t="n">
        <x:v>3</x:v>
      </x:c>
      <x:c r="T253" s="26" t="n">
        <x:v>4</x:v>
      </x:c>
      <x:c r="U253" s="26" t="n">
        <x:v>4</x:v>
      </x:c>
      <x:c r="V253" s="26" t="n">
        <x:v>3</x:v>
      </x:c>
      <x:c r="W253" s="26" t="n">
        <x:v>2</x:v>
      </x:c>
      <x:c r="X253" s="26" t="n">
        <x:v>3</x:v>
      </x:c>
      <x:c r="Y253" s="26" t="n">
        <x:v>0</x:v>
      </x:c>
      <x:c r="Z253" s="26" t="n">
        <x:v>2</x:v>
      </x:c>
      <x:c r="AA253" s="26" t="n">
        <x:v>1</x:v>
      </x:c>
      <x:c r="AB253" s="26" t="str">
        <x:v>CANDIDATE</x:v>
      </x:c>
      <x:c r="AC253" s="26" t="str">
        <x:v>NOT_DOWNLOADED</x:v>
      </x:c>
      <x:c r="AD253" s="26" t="str">
        <x:v>REQUIRES_ITEM_REVIEW</x:v>
      </x:c>
      <x:c r="AE253" s="26" t="str">
        <x:v>NOT_REVIEWED</x:v>
      </x:c>
      <x:c r="AF253" s="26" t="str">
        <x:v>NOT_TESTED</x:v>
      </x:c>
      <x:c r="AG253" s="26" t="str"/>
      <x:c r="AH253" s="26" t="str"/>
      <x:c r="AI253" s="26" t="str"/>
      <x:c r="AJ253" s="26" t="str"/>
      <x:c r="AK253" s="57" t="n">
        <x:f>MAX(0,MIN(100,ROUND(((Q253*'Overview'!$B$18)+(R253*'Overview'!$B$19)+(S253*'Overview'!$B$20)+(T253*'Overview'!$B$21)+(U253*'Overview'!$B$22)+(V253*'Overview'!$B$23)+(W253*'Overview'!$B$24)+(X253*'Overview'!$B$25)-(Y253*'Overview'!$B$26)-(Z253*'Overview'!$B$27)-(AA253*'Overview'!$B$28))/5*100,0)))</x:f>
        <x:v>67</x:v>
      </x:c>
      <x:c r="AL253" s="26" t="str">
        <x:v>[SUPPLEMENTAL_RESEARCH] Device-db provenance; vendor bitstream/tool terms; submodules; no hardware programming in candidate project; output is not safety proof</x:v>
      </x:c>
    </x:row>
    <x:row r="254">
      <x:c r="A254" s="53" t="str">
        <x:v>SUP-MDE-032</x:v>
      </x:c>
      <x:c r="B254" s="53" t="str">
        <x:v>ELEC|COMP</x:v>
      </x:c>
      <x:c r="C254" s="53" t="str">
        <x:v>Zephyr RTOS resolved west workspace</x:v>
      </x:c>
      <x:c r="D254" s="53" t="str">
        <x:v>www.zephyrproject.org</x:v>
      </x:c>
      <x:c r="E254" s="53" t="str">
        <x:v>Практический источник для групп ELEC|COMP</x:v>
      </x:c>
      <x:c r="F254" s="53" t="str">
        <x:v>https://www.zephyrproject.org/</x:v>
      </x:c>
      <x:c r="G254" s="53" t="str">
        <x:v>https://www.zephyrproject.org/</x:v>
      </x:c>
      <x:c r="H254" s="53" t="str">
        <x:v>https://www.zephyrproject.org/</x:v>
      </x:c>
      <x:c r="I254" s="53" t="str">
        <x:v>Zephyr core Apache-2.0; west modules, HALs, SDKs, blobs and boards each keep their own licenses</x:v>
      </x:c>
      <x:c r="J254" s="53" t="str">
        <x:v>docs mostly EN</x:v>
      </x:c>
      <x:c r="K254" s="53" t="str">
        <x:v>International/reference</x:v>
      </x:c>
      <x:c r="L254" s="53" t="str">
        <x:v>Core source;west manifest/modules;SDK/toolchains;board DTS/HAL;docs;tests</x:v>
      </x:c>
      <x:c r="M254" s="53" t="str">
        <x:v>Use a tagged release and resolved west manifest with immutable SHAs, never rolling main; archive every module/source/SDK; build only emulated or benign ELV samples offline</x:v>
      </x:c>
      <x:c r="N254" s="53" t="str">
        <x:v>L2</x:v>
      </x:c>
      <x:c r="O254" s="53" t="str">
        <x:v>S3_LICENSED_PROFESSIONAL</x:v>
      </x:c>
      <x:c r="P254" s="53" t="str">
        <x:v>ANNUAL_OR_EDITION</x:v>
      </x:c>
      <x:c r="Q254" s="53" t="n">
        <x:v>4</x:v>
      </x:c>
      <x:c r="R254" s="53" t="n">
        <x:v>4</x:v>
      </x:c>
      <x:c r="S254" s="53" t="n">
        <x:v>3</x:v>
      </x:c>
      <x:c r="T254" s="53" t="n">
        <x:v>4</x:v>
      </x:c>
      <x:c r="U254" s="53" t="n">
        <x:v>4</x:v>
      </x:c>
      <x:c r="V254" s="53" t="n">
        <x:v>3</x:v>
      </x:c>
      <x:c r="W254" s="53" t="n">
        <x:v>2</x:v>
      </x:c>
      <x:c r="X254" s="53" t="n">
        <x:v>3</x:v>
      </x:c>
      <x:c r="Y254" s="53" t="n">
        <x:v>4</x:v>
      </x:c>
      <x:c r="Z254" s="53" t="n">
        <x:v>2</x:v>
      </x:c>
      <x:c r="AA254" s="53" t="n">
        <x:v>1</x:v>
      </x:c>
      <x:c r="AB254" s="53" t="str">
        <x:v>CANDIDATE</x:v>
      </x:c>
      <x:c r="AC254" s="53" t="str">
        <x:v>NOT_DOWNLOADED</x:v>
      </x:c>
      <x:c r="AD254" s="53" t="str">
        <x:v>REQUIRES_ITEM_REVIEW</x:v>
      </x:c>
      <x:c r="AE254" s="53" t="str">
        <x:v>NOT_REVIEWED</x:v>
      </x:c>
      <x:c r="AF254" s="53" t="str">
        <x:v>NOT_TESTED</x:v>
      </x:c>
      <x:c r="AG254" s="53" t="str"/>
      <x:c r="AH254" s="53" t="str"/>
      <x:c r="AI254" s="53" t="str"/>
      <x:c r="AJ254" s="53" t="str"/>
      <x:c r="AK254" s="57" t="n">
        <x:f>MAX(0,MIN(100,ROUND(((Q254*'Overview'!$B$18)+(R254*'Overview'!$B$19)+(S254*'Overview'!$B$20)+(T254*'Overview'!$B$21)+(U254*'Overview'!$B$22)+(V254*'Overview'!$B$23)+(W254*'Overview'!$B$24)+(X254*'Overview'!$B$25)-(Y254*'Overview'!$B$26)-(Z254*'Overview'!$B$27)-(AA254*'Overview'!$B$28))/5*100,0)))</x:f>
        <x:v>55</x:v>
      </x:c>
      <x:c r="AL254" s="53" t="str">
        <x:v>[SUPPLEMENTAL_RESEARCH] Resolved SHAs; module/component rights; blobs; SDK; board errata; no safety certification or actuation claim</x:v>
      </x:c>
    </x:row>
    <x:row r="255">
      <x:c r="A255" s="26" t="str">
        <x:v>SUP-MDE-033</x:v>
      </x:c>
      <x:c r="B255" s="26" t="str">
        <x:v>ELEC|ARCH</x:v>
      </x:c>
      <x:c r="C255" s="26" t="str">
        <x:v>Renode emulation</x:v>
      </x:c>
      <x:c r="D255" s="26" t="str">
        <x:v>renode.io</x:v>
      </x:c>
      <x:c r="E255" s="26" t="str">
        <x:v>Практический источник для групп ELEC|ARCH</x:v>
      </x:c>
      <x:c r="F255" s="26" t="str">
        <x:v>https://renode.io/</x:v>
      </x:c>
      <x:c r="G255" s="26" t="str">
        <x:v>https://renode.io/</x:v>
      </x:c>
      <x:c r="H255" s="26" t="str">
        <x:v>https://renode.io/</x:v>
      </x:c>
      <x:c r="I255" s="26" t="str">
        <x:v>Renode core is MIT; platform descriptions, firmware images, CPU/peripheral models and test payloads may carry separate rights</x:v>
      </x:c>
      <x:c r="J255" s="26" t="str">
        <x:v>docs primarily EN</x:v>
      </x:c>
      <x:c r="K255" s="26" t="str">
        <x:v>International/reference</x:v>
      </x:c>
      <x:c r="L255" s="26" t="str">
        <x:v>Portable releases;source;platform descriptions;Robot tests;docs;traces</x:v>
      </x:c>
      <x:c r="M255" s="26" t="str">
        <x:v>Preserve exact emulator/source plus only cleared platform and firmware artefacts; execute fault/timing tests offline; label emulation gaps and never equate them with physical-device proof</x:v>
      </x:c>
      <x:c r="N255" s="26" t="str">
        <x:v>L2</x:v>
      </x:c>
      <x:c r="O255" s="26" t="str">
        <x:v>S1_LOW_RISK_HOUSEHOLD</x:v>
      </x:c>
      <x:c r="P255" s="26" t="str">
        <x:v>ANNUAL_OR_EDITION</x:v>
      </x:c>
      <x:c r="Q255" s="26" t="n">
        <x:v>4</x:v>
      </x:c>
      <x:c r="R255" s="26" t="n">
        <x:v>4</x:v>
      </x:c>
      <x:c r="S255" s="26" t="n">
        <x:v>3</x:v>
      </x:c>
      <x:c r="T255" s="26" t="n">
        <x:v>4</x:v>
      </x:c>
      <x:c r="U255" s="26" t="n">
        <x:v>4</x:v>
      </x:c>
      <x:c r="V255" s="26" t="n">
        <x:v>3</x:v>
      </x:c>
      <x:c r="W255" s="26" t="n">
        <x:v>2</x:v>
      </x:c>
      <x:c r="X255" s="26" t="n">
        <x:v>3</x:v>
      </x:c>
      <x:c r="Y255" s="26" t="n">
        <x:v>0</x:v>
      </x:c>
      <x:c r="Z255" s="26" t="n">
        <x:v>2</x:v>
      </x:c>
      <x:c r="AA255" s="26" t="n">
        <x:v>1</x:v>
      </x:c>
      <x:c r="AB255" s="26" t="str">
        <x:v>CANDIDATE</x:v>
      </x:c>
      <x:c r="AC255" s="26" t="str">
        <x:v>NOT_DOWNLOADED</x:v>
      </x:c>
      <x:c r="AD255" s="26" t="str">
        <x:v>REQUIRES_ITEM_REVIEW</x:v>
      </x:c>
      <x:c r="AE255" s="26" t="str">
        <x:v>NOT_REVIEWED</x:v>
      </x:c>
      <x:c r="AF255" s="26" t="str">
        <x:v>NOT_TESTED</x:v>
      </x:c>
      <x:c r="AG255" s="26" t="str"/>
      <x:c r="AH255" s="26" t="str"/>
      <x:c r="AI255" s="26" t="str"/>
      <x:c r="AJ255" s="26" t="str"/>
      <x:c r="AK255" s="57" t="n">
        <x:f>MAX(0,MIN(100,ROUND(((Q255*'Overview'!$B$18)+(R255*'Overview'!$B$19)+(S255*'Overview'!$B$20)+(T255*'Overview'!$B$21)+(U255*'Overview'!$B$22)+(V255*'Overview'!$B$23)+(W255*'Overview'!$B$24)+(X255*'Overview'!$B$25)-(Y255*'Overview'!$B$26)-(Z255*'Overview'!$B$27)-(AA255*'Overview'!$B$28))/5*100,0)))</x:f>
        <x:v>67</x:v>
      </x:c>
      <x:c r="AL255" s="26" t="str">
        <x:v>[SUPPLEMENTAL_RESEARCH] Firmware/ROM rights; model fidelity; time/peripheral limits; host dependencies; physical verification remains separate</x:v>
      </x:c>
    </x:row>
    <x:row r="256">
      <x:c r="A256" s="53" t="str">
        <x:v>SUP-MDE-034</x:v>
      </x:c>
      <x:c r="B256" s="53" t="str">
        <x:v>EARTH|COMP|ARCH</x:v>
      </x:c>
      <x:c r="C256" s="53" t="str">
        <x:v>QGIS LTR/standalone desktop</x:v>
      </x:c>
      <x:c r="D256" s="53" t="str">
        <x:v>qgis.org</x:v>
      </x:c>
      <x:c r="E256" s="53" t="str">
        <x:v>Практический источник для групп EARTH|COMP|ARCH</x:v>
      </x:c>
      <x:c r="F256" s="53" t="str">
        <x:v>https://qgis.org/</x:v>
      </x:c>
      <x:c r="G256" s="53" t="str">
        <x:v>https://qgis.org/</x:v>
      </x:c>
      <x:c r="H256" s="53" t="str">
        <x:v>https://qgis.org/</x:v>
      </x:c>
      <x:c r="I256" s="53" t="str">
        <x:v>QGIS is GPL-2.0-or-later with the stated Qt linking exception; providers, bundled dependencies, plugins and docs require exact package notices</x:v>
      </x:c>
      <x:c r="J256" s="53" t="str">
        <x:v>UI and docs multilingual including Portuguese coverage that varies by release</x:v>
      </x:c>
      <x:c r="K256" s="53" t="str">
        <x:v>International/reference</x:v>
      </x:c>
      <x:c r="L256" s="53" t="str">
        <x:v>Standalone installers;source;projects/styles;GeoPackage/GeoTIFF readers;HTML/PDF docs</x:v>
      </x:c>
      <x:c r="M256" s="53" t="str">
        <x:v>Prefer a supported LTR plus source and matching docs; disable unreviewed plugins/network services; package required PROJ grids separately because standalone installer may omit optional grids</x:v>
      </x:c>
      <x:c r="N256" s="53" t="str">
        <x:v>L2</x:v>
      </x:c>
      <x:c r="O256" s="53" t="str">
        <x:v>S3_LICENSED_PROFESSIONAL</x:v>
      </x:c>
      <x:c r="P256" s="53" t="str">
        <x:v>ANNUAL_OR_EDITION</x:v>
      </x:c>
      <x:c r="Q256" s="53" t="n">
        <x:v>4</x:v>
      </x:c>
      <x:c r="R256" s="53" t="n">
        <x:v>4</x:v>
      </x:c>
      <x:c r="S256" s="53" t="n">
        <x:v>3</x:v>
      </x:c>
      <x:c r="T256" s="53" t="n">
        <x:v>4</x:v>
      </x:c>
      <x:c r="U256" s="53" t="n">
        <x:v>4</x:v>
      </x:c>
      <x:c r="V256" s="53" t="n">
        <x:v>3</x:v>
      </x:c>
      <x:c r="W256" s="53" t="n">
        <x:v>4</x:v>
      </x:c>
      <x:c r="X256" s="53" t="n">
        <x:v>3</x:v>
      </x:c>
      <x:c r="Y256" s="53" t="n">
        <x:v>4</x:v>
      </x:c>
      <x:c r="Z256" s="53" t="n">
        <x:v>2</x:v>
      </x:c>
      <x:c r="AA256" s="53" t="n">
        <x:v>1</x:v>
      </x:c>
      <x:c r="AB256" s="53" t="str">
        <x:v>CANDIDATE</x:v>
      </x:c>
      <x:c r="AC256" s="53" t="str">
        <x:v>NOT_DOWNLOADED</x:v>
      </x:c>
      <x:c r="AD256" s="53" t="str">
        <x:v>REQUIRES_ITEM_REVIEW</x:v>
      </x:c>
      <x:c r="AE256" s="53" t="str">
        <x:v>NOT_REVIEWED</x:v>
      </x:c>
      <x:c r="AF256" s="53" t="str">
        <x:v>NOT_TESTED</x:v>
      </x:c>
      <x:c r="AG256" s="53" t="str"/>
      <x:c r="AH256" s="53" t="str"/>
      <x:c r="AI256" s="53" t="str"/>
      <x:c r="AJ256" s="53" t="str"/>
      <x:c r="AK256" s="57" t="n">
        <x:f>MAX(0,MIN(100,ROUND(((Q256*'Overview'!$B$18)+(R256*'Overview'!$B$19)+(S256*'Overview'!$B$20)+(T256*'Overview'!$B$21)+(U256*'Overview'!$B$22)+(V256*'Overview'!$B$23)+(W256*'Overview'!$B$24)+(X256*'Overview'!$B$25)-(Y256*'Overview'!$B$26)-(Z256*'Overview'!$B$27)-(AA256*'Overview'!$B$28))/5*100,0)))</x:f>
        <x:v>57</x:v>
      </x:c>
      <x:c r="AL256" s="53" t="str">
        <x:v>[SUPPLEMENTAL_RESEARCH] LTR/security state; Qt/plugins/providers; projection grids; CRS tests; maps dated and not authoritative emergency navigation</x:v>
      </x:c>
    </x:row>
    <x:row r="257">
      <x:c r="A257" s="26" t="str">
        <x:v>SUP-MDE-035</x:v>
      </x:c>
      <x:c r="B257" s="26" t="str">
        <x:v>EARTH|COMP</x:v>
      </x:c>
      <x:c r="C257" s="26" t="str">
        <x:v>GDAL plus PROJ/proj-data</x:v>
      </x:c>
      <x:c r="D257" s="26" t="str">
        <x:v>gdal.org</x:v>
      </x:c>
      <x:c r="E257" s="26" t="str">
        <x:v>Практический источник для групп EARTH|COMP</x:v>
      </x:c>
      <x:c r="F257" s="26" t="str">
        <x:v>https://gdal.org/|https://proj.org/</x:v>
      </x:c>
      <x:c r="G257" s="26" t="str">
        <x:v>https://gdal.org/|https://proj.org/</x:v>
      </x:c>
      <x:c r="H257" s="26" t="str">
        <x:v>https://gdal.org/|https://proj.org/</x:v>
      </x:c>
      <x:c r="I257" s="26" t="str">
        <x:v>GDAL core is MIT/X-style; PROJ uses permissive MIT/X-style terms; optional drivers/dependencies and transformation grids have distinct notices</x:v>
      </x:c>
      <x:c r="J257" s="26" t="str">
        <x:v>docs EN;data language-neutral</x:v>
      </x:c>
      <x:c r="K257" s="26" t="str">
        <x:v>International/reference</x:v>
      </x:c>
      <x:c r="L257" s="26" t="str">
        <x:v>Source releases;CLI/libs;format drivers;proj.db;proj-data grids;docs</x:v>
      </x:c>
      <x:c r="M257" s="26" t="str">
        <x:v>Preserve exact GDAL/PROJ sources and binaries, enabled-driver list, proj.db and explicitly licensed proj-data grids; disable network grid fetch; run CRS and format round trips</x:v>
      </x:c>
      <x:c r="N257" s="26" t="str">
        <x:v>L2</x:v>
      </x:c>
      <x:c r="O257" s="26" t="str">
        <x:v>S3_LICENSED_PROFESSIONAL</x:v>
      </x:c>
      <x:c r="P257" s="26" t="str">
        <x:v>ANNUAL_OR_EDITION</x:v>
      </x:c>
      <x:c r="Q257" s="26" t="n">
        <x:v>4</x:v>
      </x:c>
      <x:c r="R257" s="26" t="n">
        <x:v>4</x:v>
      </x:c>
      <x:c r="S257" s="26" t="n">
        <x:v>3</x:v>
      </x:c>
      <x:c r="T257" s="26" t="n">
        <x:v>4</x:v>
      </x:c>
      <x:c r="U257" s="26" t="n">
        <x:v>4</x:v>
      </x:c>
      <x:c r="V257" s="26" t="n">
        <x:v>3</x:v>
      </x:c>
      <x:c r="W257" s="26" t="n">
        <x:v>2</x:v>
      </x:c>
      <x:c r="X257" s="26" t="n">
        <x:v>3</x:v>
      </x:c>
      <x:c r="Y257" s="26" t="n">
        <x:v>4</x:v>
      </x:c>
      <x:c r="Z257" s="26" t="n">
        <x:v>2</x:v>
      </x:c>
      <x:c r="AA257" s="26" t="n">
        <x:v>1</x:v>
      </x:c>
      <x:c r="AB257" s="26" t="str">
        <x:v>CANDIDATE</x:v>
      </x:c>
      <x:c r="AC257" s="26" t="str">
        <x:v>NOT_DOWNLOADED</x:v>
      </x:c>
      <x:c r="AD257" s="26" t="str">
        <x:v>REQUIRES_ITEM_REVIEW</x:v>
      </x:c>
      <x:c r="AE257" s="26" t="str">
        <x:v>NOT_REVIEWED</x:v>
      </x:c>
      <x:c r="AF257" s="26" t="str">
        <x:v>NOT_TESTED</x:v>
      </x:c>
      <x:c r="AG257" s="26" t="str"/>
      <x:c r="AH257" s="26" t="str"/>
      <x:c r="AI257" s="26" t="str"/>
      <x:c r="AJ257" s="26" t="str"/>
      <x:c r="AK257" s="57" t="n">
        <x:f>MAX(0,MIN(100,ROUND(((Q257*'Overview'!$B$18)+(R257*'Overview'!$B$19)+(S257*'Overview'!$B$20)+(T257*'Overview'!$B$21)+(U257*'Overview'!$B$22)+(V257*'Overview'!$B$23)+(W257*'Overview'!$B$24)+(X257*'Overview'!$B$25)-(Y257*'Overview'!$B$26)-(Z257*'Overview'!$B$27)-(AA257*'Overview'!$B$28))/5*100,0)))</x:f>
        <x:v>55</x:v>
      </x:c>
      <x:c r="AL257" s="26" t="str">
        <x:v>[SUPPLEMENTAL_RESEARCH] Driver/dependency licenses; grid provenance; EPSG database/version; axis order; lossy format conversion; accuracy metadata</x:v>
      </x:c>
    </x:row>
    <x:row r="258">
      <x:c r="A258" s="53" t="str">
        <x:v>SUP-MDE-036</x:v>
      </x:c>
      <x:c r="B258" s="53" t="str">
        <x:v>ARCH|METH|COMP</x:v>
      </x:c>
      <x:c r="C258" s="53" t="str">
        <x:v>Archivematica preservation pipeline</x:v>
      </x:c>
      <x:c r="D258" s="53" t="str">
        <x:v>www.archivematica.org</x:v>
      </x:c>
      <x:c r="E258" s="53" t="str">
        <x:v>Практический источник для групп ARCH|METH|COMP</x:v>
      </x:c>
      <x:c r="F258" s="53" t="str">
        <x:v>https://www.archivematica.org/|https://github.com/artefactual/archivematica</x:v>
      </x:c>
      <x:c r="G258" s="53" t="str">
        <x:v>https://www.archivematica.org/|https://github.com/artefactual/archivematica</x:v>
      </x:c>
      <x:c r="H258" s="53" t="str">
        <x:v>https://www.archivematica.org/|https://github.com/artefactual/archivematica</x:v>
      </x:c>
      <x:c r="I258" s="53" t="str">
        <x:v>Archivematica code is AGPL-3.0 and official documentation CC-BY-SA-4.0; Storage Service, FPR, external preservation tools and OS dependencies retain separate licences</x:v>
      </x:c>
      <x:c r="J258" s="53" t="str">
        <x:v>UI/docs primarily EN with community localisation varying by release</x:v>
      </x:c>
      <x:c r="K258" s="53" t="str">
        <x:v>International/reference</x:v>
      </x:c>
      <x:c r="L258" s="53" t="str">
        <x:v>Source;deployment roles/packages;SIP/AIP;METS/PREMIS metadata;processing reports</x:v>
      </x:c>
      <x:c r="M258" s="53" t="str">
        <x:v>Freeze an exact supported release and full deployment closure for a documented Linux target; retain Storage Service/FPR state and every external tool; ingest and restore a tiny synthetic package with all network access denied</x:v>
      </x:c>
      <x:c r="N258" s="53" t="str">
        <x:v>L2</x:v>
      </x:c>
      <x:c r="O258" s="53" t="str">
        <x:v>S1_LOW_RISK_HOUSEHOLD</x:v>
      </x:c>
      <x:c r="P258" s="53" t="str">
        <x:v>ANNUAL_OR_EDITION</x:v>
      </x:c>
      <x:c r="Q258" s="53" t="n">
        <x:v>4</x:v>
      </x:c>
      <x:c r="R258" s="53" t="n">
        <x:v>4</x:v>
      </x:c>
      <x:c r="S258" s="53" t="n">
        <x:v>3</x:v>
      </x:c>
      <x:c r="T258" s="53" t="n">
        <x:v>4</x:v>
      </x:c>
      <x:c r="U258" s="53" t="n">
        <x:v>4</x:v>
      </x:c>
      <x:c r="V258" s="53" t="n">
        <x:v>3</x:v>
      </x:c>
      <x:c r="W258" s="53" t="n">
        <x:v>2</x:v>
      </x:c>
      <x:c r="X258" s="53" t="n">
        <x:v>3</x:v>
      </x:c>
      <x:c r="Y258" s="53" t="n">
        <x:v>0</x:v>
      </x:c>
      <x:c r="Z258" s="53" t="n">
        <x:v>2</x:v>
      </x:c>
      <x:c r="AA258" s="53" t="n">
        <x:v>1</x:v>
      </x:c>
      <x:c r="AB258" s="53" t="str">
        <x:v>CANDIDATE</x:v>
      </x:c>
      <x:c r="AC258" s="53" t="str">
        <x:v>NOT_DOWNLOADED</x:v>
      </x:c>
      <x:c r="AD258" s="53" t="str">
        <x:v>REQUIRES_ITEM_REVIEW</x:v>
      </x:c>
      <x:c r="AE258" s="53" t="str">
        <x:v>NOT_REVIEWED</x:v>
      </x:c>
      <x:c r="AF258" s="53" t="str">
        <x:v>NOT_TESTED</x:v>
      </x:c>
      <x:c r="AG258" s="53" t="str"/>
      <x:c r="AH258" s="53" t="str"/>
      <x:c r="AI258" s="53" t="str"/>
      <x:c r="AJ258" s="53" t="str"/>
      <x:c r="AK258" s="57" t="n">
        <x:f>MAX(0,MIN(100,ROUND(((Q258*'Overview'!$B$18)+(R258*'Overview'!$B$19)+(S258*'Overview'!$B$20)+(T258*'Overview'!$B$21)+(U258*'Overview'!$B$22)+(V258*'Overview'!$B$23)+(W258*'Overview'!$B$24)+(X258*'Overview'!$B$25)-(Y258*'Overview'!$B$26)-(Z258*'Overview'!$B$27)-(AA258*'Overview'!$B$28))/5*100,0)))</x:f>
        <x:v>67</x:v>
      </x:c>
      <x:c r="AL258" s="53" t="str">
        <x:v>[SUPPLEMENTAL_RESEARCH] Heavy multi-service dependency closure; AGPL/source duties; external-tool rights; FPR freshness; secrets; backup/restore; software does not replace multiple independent copies</x:v>
      </x:c>
    </x:row>
    <x:row r="259">
      <x:c r="A259" s="26" t="str">
        <x:v>SUP-MDE-037</x:v>
      </x:c>
      <x:c r="B259" s="26" t="str">
        <x:v>EARTH|COMP|OPS</x:v>
      </x:c>
      <x:c r="C259" s="26" t="str">
        <x:v>OpenStreetMap bounded Portugal extract</x:v>
      </x:c>
      <x:c r="D259" s="26" t="str">
        <x:v>www.openstreetmap.org</x:v>
      </x:c>
      <x:c r="E259" s="26" t="str">
        <x:v>Практический источник для групп EARTH|COMP|OPS</x:v>
      </x:c>
      <x:c r="F259" s="26" t="str">
        <x:v>https://www.openstreetmap.org/copyright</x:v>
      </x:c>
      <x:c r="G259" s="26" t="str">
        <x:v>https://www.openstreetmap.org/copyright</x:v>
      </x:c>
      <x:c r="H259" s="26" t="str">
        <x:v>https://www.openstreetmap.org/copyright</x:v>
      </x:c>
      <x:c r="I259" s="26" t="str">
        <x:v>OpenStreetMap database is ODbL-1.0 with attribution and share-alike obligations for derived databases; extract-provider terms, individual contents and produced works need classification</x:v>
      </x:c>
      <x:c r="J259" s="26" t="str">
        <x:v>global multilingual names; completeness varies</x:v>
      </x:c>
      <x:c r="K259" s="26" t="str">
        <x:v>International/reference</x:v>
      </x:c>
      <x:c r="L259" s="26" t="str">
        <x:v>PBF/XML planet or separately produced regional extract;state/replication metadata;checksums;locally rendered tiles</x:v>
      </x:c>
      <x:c r="M259" s="26" t="str">
        <x:v>Use official planet only if capacity permits, otherwise a separately reviewed primary regional extract provider; retain extract date, attribution and change metadata; do not bulk-cache the standard tile service or depend on public API offline</x:v>
      </x:c>
      <x:c r="N259" s="26" t="str">
        <x:v>L2</x:v>
      </x:c>
      <x:c r="O259" s="26" t="str">
        <x:v>S3_LICENSED_PROFESSIONAL</x:v>
      </x:c>
      <x:c r="P259" s="26" t="str">
        <x:v>ANNUAL_OR_EDITION</x:v>
      </x:c>
      <x:c r="Q259" s="26" t="n">
        <x:v>4</x:v>
      </x:c>
      <x:c r="R259" s="26" t="n">
        <x:v>4</x:v>
      </x:c>
      <x:c r="S259" s="26" t="n">
        <x:v>3</x:v>
      </x:c>
      <x:c r="T259" s="26" t="n">
        <x:v>4</x:v>
      </x:c>
      <x:c r="U259" s="26" t="n">
        <x:v>4</x:v>
      </x:c>
      <x:c r="V259" s="26" t="n">
        <x:v>3</x:v>
      </x:c>
      <x:c r="W259" s="26" t="n">
        <x:v>4</x:v>
      </x:c>
      <x:c r="X259" s="26" t="n">
        <x:v>3</x:v>
      </x:c>
      <x:c r="Y259" s="26" t="n">
        <x:v>4</x:v>
      </x:c>
      <x:c r="Z259" s="26" t="n">
        <x:v>2</x:v>
      </x:c>
      <x:c r="AA259" s="26" t="n">
        <x:v>1</x:v>
      </x:c>
      <x:c r="AB259" s="26" t="str">
        <x:v>CANDIDATE</x:v>
      </x:c>
      <x:c r="AC259" s="26" t="str">
        <x:v>NOT_DOWNLOADED</x:v>
      </x:c>
      <x:c r="AD259" s="26" t="str">
        <x:v>REQUIRES_ITEM_REVIEW</x:v>
      </x:c>
      <x:c r="AE259" s="26" t="str">
        <x:v>NOT_REVIEWED</x:v>
      </x:c>
      <x:c r="AF259" s="26" t="str">
        <x:v>NOT_TESTED</x:v>
      </x:c>
      <x:c r="AG259" s="26" t="str"/>
      <x:c r="AH259" s="26" t="str"/>
      <x:c r="AI259" s="26" t="str"/>
      <x:c r="AJ259" s="26" t="str"/>
      <x:c r="AK259" s="57" t="n">
        <x:f>MAX(0,MIN(100,ROUND(((Q259*'Overview'!$B$18)+(R259*'Overview'!$B$19)+(S259*'Overview'!$B$20)+(T259*'Overview'!$B$21)+(U259*'Overview'!$B$22)+(V259*'Overview'!$B$23)+(W259*'Overview'!$B$24)+(X259*'Overview'!$B$25)-(Y259*'Overview'!$B$26)-(Z259*'Overview'!$B$27)-(AA259*'Overview'!$B$28))/5*100,0)))</x:f>
        <x:v>57</x:v>
      </x:c>
      <x:c r="AL259" s="26" t="str">
        <x:v>[SUPPLEMENTAL_RESEARCH] ODbL and extract-provider terms; produced/derived classification; attribution; freshness/completeness; no emergency route authority; privacy-sensitive mapping review</x:v>
      </x:c>
    </x:row>
    <x:row r="260">
      <x:c r="A260" s="53" t="str">
        <x:v>SUP-MDE-038</x:v>
      </x:c>
      <x:c r="B260" s="53" t="str">
        <x:v>METH|ARCH|COMP</x:v>
      </x:c>
      <x:c r="C260" s="53" t="str">
        <x:v>ReproZip</x:v>
      </x:c>
      <x:c r="D260" s="53" t="str">
        <x:v>www.reprozip.org</x:v>
      </x:c>
      <x:c r="E260" s="53" t="str">
        <x:v>Практический источник для групп METH|ARCH|COMP</x:v>
      </x:c>
      <x:c r="F260" s="53" t="str">
        <x:v>https://www.reprozip.org/</x:v>
      </x:c>
      <x:c r="G260" s="53" t="str">
        <x:v>https://www.reprozip.org/</x:v>
      </x:c>
      <x:c r="H260" s="53" t="str">
        <x:v>https://www.reprozip.org/</x:v>
      </x:c>
      <x:c r="I260" s="53" t="str">
        <x:v>ReproZip is BSD-3-Clause; captured files, binaries, datasets and container/runtime dependencies retain their own rights</x:v>
      </x:c>
      <x:c r="J260" s="53" t="str">
        <x:v>docs EN</x:v>
      </x:c>
      <x:c r="K260" s="53" t="str">
        <x:v>International/reference</x:v>
      </x:c>
      <x:c r="L260" s="53" t="str">
        <x:v>Source/packages;rpz bundle;YAML config;Docker/Vagrant/other unpacker backends where supported</x:v>
      </x:c>
      <x:c r="M260" s="53" t="str">
        <x:v>Trace only a sanitized non-secret run on supported Linux; inspect generated config and payload; unpack on clean isolated host; compare outputs; never assume remote services are captured</x:v>
      </x:c>
      <x:c r="N260" s="53" t="str">
        <x:v>L2</x:v>
      </x:c>
      <x:c r="O260" s="53" t="str">
        <x:v>S1_LOW_RISK_HOUSEHOLD</x:v>
      </x:c>
      <x:c r="P260" s="53" t="str">
        <x:v>ANNUAL_OR_EDITION</x:v>
      </x:c>
      <x:c r="Q260" s="53" t="n">
        <x:v>4</x:v>
      </x:c>
      <x:c r="R260" s="53" t="n">
        <x:v>4</x:v>
      </x:c>
      <x:c r="S260" s="53" t="n">
        <x:v>3</x:v>
      </x:c>
      <x:c r="T260" s="53" t="n">
        <x:v>4</x:v>
      </x:c>
      <x:c r="U260" s="53" t="n">
        <x:v>4</x:v>
      </x:c>
      <x:c r="V260" s="53" t="n">
        <x:v>3</x:v>
      </x:c>
      <x:c r="W260" s="53" t="n">
        <x:v>2</x:v>
      </x:c>
      <x:c r="X260" s="53" t="n">
        <x:v>3</x:v>
      </x:c>
      <x:c r="Y260" s="53" t="n">
        <x:v>0</x:v>
      </x:c>
      <x:c r="Z260" s="53" t="n">
        <x:v>2</x:v>
      </x:c>
      <x:c r="AA260" s="53" t="n">
        <x:v>1</x:v>
      </x:c>
      <x:c r="AB260" s="53" t="str">
        <x:v>CANDIDATE</x:v>
      </x:c>
      <x:c r="AC260" s="53" t="str">
        <x:v>NOT_DOWNLOADED</x:v>
      </x:c>
      <x:c r="AD260" s="53" t="str">
        <x:v>REQUIRES_ITEM_REVIEW</x:v>
      </x:c>
      <x:c r="AE260" s="53" t="str">
        <x:v>NOT_REVIEWED</x:v>
      </x:c>
      <x:c r="AF260" s="53" t="str">
        <x:v>NOT_TESTED</x:v>
      </x:c>
      <x:c r="AG260" s="53" t="str"/>
      <x:c r="AH260" s="53" t="str"/>
      <x:c r="AI260" s="53" t="str"/>
      <x:c r="AJ260" s="53" t="str"/>
      <x:c r="AK260" s="57" t="n">
        <x:f>MAX(0,MIN(100,ROUND(((Q260*'Overview'!$B$18)+(R260*'Overview'!$B$19)+(S260*'Overview'!$B$20)+(T260*'Overview'!$B$21)+(U260*'Overview'!$B$22)+(V260*'Overview'!$B$23)+(W260*'Overview'!$B$24)+(X260*'Overview'!$B$25)-(Y260*'Overview'!$B$26)-(Z260*'Overview'!$B$27)-(AA260*'Overview'!$B$28))/5*100,0)))</x:f>
        <x:v>67</x:v>
      </x:c>
      <x:c r="AL260" s="53" t="str">
        <x:v>[SUPPLEMENTAL_RESEARCH] Secret scan; redistribution rights of captured closure; kernel/architecture; external services; backend availability; restore test</x:v>
      </x:c>
    </x:row>
    <x:row r="261">
      <x:c r="A261" s="26" t="str">
        <x:v>SUP-MDE-039</x:v>
      </x:c>
      <x:c r="B261" s="26" t="str">
        <x:v>COMP|ARCH</x:v>
      </x:c>
      <x:c r="C261" s="26" t="str">
        <x:v>Nix plus signed local binary/source cache</x:v>
      </x:c>
      <x:c r="D261" s="26" t="str">
        <x:v>nixos.org</x:v>
      </x:c>
      <x:c r="E261" s="26" t="str">
        <x:v>Практический источник для групп COMP|ARCH</x:v>
      </x:c>
      <x:c r="F261" s="26" t="str">
        <x:v>https://nixos.org/</x:v>
      </x:c>
      <x:c r="G261" s="26" t="str">
        <x:v>https://nixos.org/</x:v>
      </x:c>
      <x:c r="H261" s="26" t="str">
        <x:v>https://nixos.org/</x:v>
      </x:c>
      <x:c r="I261" s="26" t="str">
        <x:v>Current Nix COPYING applies LGPL-2.1-or-later; Nixpkgs recipes, packages and cached binaries have per-package licenses; a cache does not inherit Nix's license</x:v>
      </x:c>
      <x:c r="J261" s="26" t="str">
        <x:v>docs mostly EN</x:v>
      </x:c>
      <x:c r="K261" s="26" t="str">
        <x:v>International/reference</x:v>
      </x:c>
      <x:c r="L261" s="26" t="str">
        <x:v>Nix source/binaries;flake.lock;derivations;store paths;NAR files;narinfo;source closures</x:v>
      </x:c>
      <x:c r="M261" s="26" t="str">
        <x:v>Pin Nix and nixpkgs revisions; copy complete build and source closures into local binary cache; sign cache with documented key; rebuild/realise with substituters restricted to local cache</x:v>
      </x:c>
      <x:c r="N261" s="26" t="str">
        <x:v>L2</x:v>
      </x:c>
      <x:c r="O261" s="26" t="str">
        <x:v>S1_LOW_RISK_HOUSEHOLD</x:v>
      </x:c>
      <x:c r="P261" s="26" t="str">
        <x:v>ANNUAL_OR_EDITION</x:v>
      </x:c>
      <x:c r="Q261" s="26" t="n">
        <x:v>4</x:v>
      </x:c>
      <x:c r="R261" s="26" t="n">
        <x:v>4</x:v>
      </x:c>
      <x:c r="S261" s="26" t="n">
        <x:v>3</x:v>
      </x:c>
      <x:c r="T261" s="26" t="n">
        <x:v>4</x:v>
      </x:c>
      <x:c r="U261" s="26" t="n">
        <x:v>4</x:v>
      </x:c>
      <x:c r="V261" s="26" t="n">
        <x:v>3</x:v>
      </x:c>
      <x:c r="W261" s="26" t="n">
        <x:v>2</x:v>
      </x:c>
      <x:c r="X261" s="26" t="n">
        <x:v>3</x:v>
      </x:c>
      <x:c r="Y261" s="26" t="n">
        <x:v>0</x:v>
      </x:c>
      <x:c r="Z261" s="26" t="n">
        <x:v>2</x:v>
      </x:c>
      <x:c r="AA261" s="26" t="n">
        <x:v>1</x:v>
      </x:c>
      <x:c r="AB261" s="26" t="str">
        <x:v>CANDIDATE</x:v>
      </x:c>
      <x:c r="AC261" s="26" t="str">
        <x:v>NOT_DOWNLOADED</x:v>
      </x:c>
      <x:c r="AD261" s="26" t="str">
        <x:v>REQUIRES_ITEM_REVIEW</x:v>
      </x:c>
      <x:c r="AE261" s="26" t="str">
        <x:v>NOT_REVIEWED</x:v>
      </x:c>
      <x:c r="AF261" s="26" t="str">
        <x:v>NOT_TESTED</x:v>
      </x:c>
      <x:c r="AG261" s="26" t="str"/>
      <x:c r="AH261" s="26" t="str"/>
      <x:c r="AI261" s="26" t="str"/>
      <x:c r="AJ261" s="26" t="str"/>
      <x:c r="AK261" s="57" t="n">
        <x:f>MAX(0,MIN(100,ROUND(((Q261*'Overview'!$B$18)+(R261*'Overview'!$B$19)+(S261*'Overview'!$B$20)+(T261*'Overview'!$B$21)+(U261*'Overview'!$B$22)+(V261*'Overview'!$B$23)+(W261*'Overview'!$B$24)+(X261*'Overview'!$B$25)-(Y261*'Overview'!$B$26)-(Z261*'Overview'!$B$27)-(AA261*'Overview'!$B$28))/5*100,0)))</x:f>
        <x:v>67</x:v>
      </x:c>
      <x:c r="AL261" s="26" t="str">
        <x:v>[SUPPLEMENTAL_RESEARCH] Exact source LICENSE; package licenses/unfree flags; source closure; cache-key custody; architecture; GC roots; no network proof</x:v>
      </x:c>
    </x:row>
    <x:row r="262">
      <x:c r="A262" s="53" t="str">
        <x:v>SUP-MDE-040</x:v>
      </x:c>
      <x:c r="B262" s="53" t="str">
        <x:v>COMP|ARCH</x:v>
      </x:c>
      <x:c r="C262" s="53" t="str">
        <x:v>Debian installation media and bounded APT source/binary mirror</x:v>
      </x:c>
      <x:c r="D262" s="53" t="str">
        <x:v>www.debian.org</x:v>
      </x:c>
      <x:c r="E262" s="53" t="str">
        <x:v>Практический источник для групп COMP|ARCH</x:v>
      </x:c>
      <x:c r="F262" s="53" t="str">
        <x:v>https://www.debian.org/</x:v>
      </x:c>
      <x:c r="G262" s="53" t="str">
        <x:v>https://www.debian.org/</x:v>
      </x:c>
      <x:c r="H262" s="53" t="str">
        <x:v>https://www.debian.org/</x:v>
      </x:c>
      <x:c r="I262" s="53" t="str">
        <x:v>Debian aggregate contains packages under many licenses; main/non-free-firmware/non-free/contrib classification and each package copyright file matter; mirror metadata has separate notices</x:v>
      </x:c>
      <x:c r="J262" s="53" t="str">
        <x:v>installer/docs/packages multilingual</x:v>
      </x:c>
      <x:c r="K262" s="53" t="str">
        <x:v>International/reference</x:v>
      </x:c>
      <x:c r="L262" s="53" t="str">
        <x:v>Signed ISO;deb;dsc/source tar;Packages/Sources;Release/InRelease;archive keyring;snapshot metadata</x:v>
      </x:c>
      <x:c r="M262" s="53" t="str">
        <x:v>Select exact supported release/architectures and bounded packages; retain ISO, binary and corresponding source packages, signed metadata/keyring and mirror tooling; install/upgrade with only local mirror</x:v>
      </x:c>
      <x:c r="N262" s="53" t="str">
        <x:v>L2</x:v>
      </x:c>
      <x:c r="O262" s="53" t="str">
        <x:v>S1_LOW_RISK_HOUSEHOLD</x:v>
      </x:c>
      <x:c r="P262" s="53" t="str">
        <x:v>ANNUAL_OR_EDITION</x:v>
      </x:c>
      <x:c r="Q262" s="53" t="n">
        <x:v>4</x:v>
      </x:c>
      <x:c r="R262" s="53" t="n">
        <x:v>4</x:v>
      </x:c>
      <x:c r="S262" s="53" t="n">
        <x:v>3</x:v>
      </x:c>
      <x:c r="T262" s="53" t="n">
        <x:v>4</x:v>
      </x:c>
      <x:c r="U262" s="53" t="n">
        <x:v>4</x:v>
      </x:c>
      <x:c r="V262" s="53" t="n">
        <x:v>3</x:v>
      </x:c>
      <x:c r="W262" s="53" t="n">
        <x:v>4</x:v>
      </x:c>
      <x:c r="X262" s="53" t="n">
        <x:v>3</x:v>
      </x:c>
      <x:c r="Y262" s="53" t="n">
        <x:v>0</x:v>
      </x:c>
      <x:c r="Z262" s="53" t="n">
        <x:v>2</x:v>
      </x:c>
      <x:c r="AA262" s="53" t="n">
        <x:v>1</x:v>
      </x:c>
      <x:c r="AB262" s="53" t="str">
        <x:v>CANDIDATE</x:v>
      </x:c>
      <x:c r="AC262" s="53" t="str">
        <x:v>NOT_DOWNLOADED</x:v>
      </x:c>
      <x:c r="AD262" s="53" t="str">
        <x:v>REQUIRES_ITEM_REVIEW</x:v>
      </x:c>
      <x:c r="AE262" s="53" t="str">
        <x:v>NOT_REVIEWED</x:v>
      </x:c>
      <x:c r="AF262" s="53" t="str">
        <x:v>NOT_TESTED</x:v>
      </x:c>
      <x:c r="AG262" s="53" t="str"/>
      <x:c r="AH262" s="53" t="str"/>
      <x:c r="AI262" s="53" t="str"/>
      <x:c r="AJ262" s="53" t="str"/>
      <x:c r="AK262" s="57" t="n">
        <x:f>MAX(0,MIN(100,ROUND(((Q262*'Overview'!$B$18)+(R262*'Overview'!$B$19)+(S262*'Overview'!$B$20)+(T262*'Overview'!$B$21)+(U262*'Overview'!$B$22)+(V262*'Overview'!$B$23)+(W262*'Overview'!$B$24)+(X262*'Overview'!$B$25)-(Y262*'Overview'!$B$26)-(Z262*'Overview'!$B$27)-(AA262*'Overview'!$B$28))/5*100,0)))</x:f>
        <x:v>69</x:v>
      </x:c>
      <x:c r="AL262" s="53" t="str">
        <x:v>[SUPPLEMENTAL_RESEARCH] Security support dates; signatures/key expiry; complete source correspondence; installer boot test; firmware rights; snapshot is not indefinitely secure</x:v>
      </x:c>
    </x:row>
  </x:sheetData>
  <x:mergeCells>
    <x:mergeCell ref="A1:AL1"/>
    <x:mergeCell ref="A2:AL2"/>
  </x:mergeCells>
  <x:conditionalFormatting sqref="AK4:AK262">
    <x:cfRule type="cellIs" dxfId="0" priority="1" operator="greaterThanOrEqual">
      <x:formula>70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8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28" hidden="0" customWidth="1"/>
    <x:col min="10" max="10" width="28" hidden="0" customWidth="1"/>
    <x:col min="11" max="11" width="28" hidden="0" customWidth="1"/>
    <x:col min="12" max="12" width="1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24" hidden="0" customWidth="1"/>
    <x:col min="18" max="18" width="24" hidden="0" customWidth="1"/>
    <x:col min="19" max="19" width="24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</x:cols>
  <x:sheetData>
    <x:row r="1" ht="32" customHeight="1">
      <x:c r="A1" s="42" t="str">
        <x:v>ПРАКТИЧЕСКИЕ ПРОЕКТЫ И ДОКАЗАТЕЛЬСТВА</x:v>
      </x:c>
      <x:c r="B1" s="3" t="str">
        <x:v>ПРАКТИЧЕСКИЕ ПРОЕКТЫ И ДОКАЗАТЕЛЬСТВА</x:v>
      </x:c>
      <x:c r="C1" s="3" t="str">
        <x:v>ПРАКТИЧЕСКИЕ ПРОЕКТЫ И ДОКАЗАТЕЛЬСТВА</x:v>
      </x:c>
      <x:c r="D1" s="3" t="str">
        <x:v>ПРАКТИЧЕСКИЕ ПРОЕКТЫ И ДОКАЗАТЕЛЬСТВА</x:v>
      </x:c>
      <x:c r="E1" s="3" t="str">
        <x:v>ПРАКТИЧЕСКИЕ ПРОЕКТЫ И ДОКАЗАТЕЛЬСТВА</x:v>
      </x:c>
      <x:c r="F1" s="3" t="str">
        <x:v>ПРАКТИЧЕСКИЕ ПРОЕКТЫ И ДОКАЗАТЕЛЬСТВА</x:v>
      </x:c>
      <x:c r="G1" s="3" t="str">
        <x:v>ПРАКТИЧЕСКИЕ ПРОЕКТЫ И ДОКАЗАТЕЛЬСТВА</x:v>
      </x:c>
      <x:c r="H1" s="3" t="str">
        <x:v>ПРАКТИЧЕСКИЕ ПРОЕКТЫ И ДОКАЗАТЕЛЬСТВА</x:v>
      </x:c>
      <x:c r="I1" s="3" t="str">
        <x:v>ПРАКТИЧЕСКИЕ ПРОЕКТЫ И ДОКАЗАТЕЛЬСТВА</x:v>
      </x:c>
      <x:c r="J1" s="3" t="str">
        <x:v>ПРАКТИЧЕСКИЕ ПРОЕКТЫ И ДОКАЗАТЕЛЬСТВА</x:v>
      </x:c>
      <x:c r="K1" s="3" t="str">
        <x:v>ПРАКТИЧЕСКИЕ ПРОЕКТЫ И ДОКАЗАТЕЛЬСТВА</x:v>
      </x:c>
      <x:c r="L1" s="3" t="str">
        <x:v>ПРАКТИЧЕСКИЕ ПРОЕКТЫ И ДОКАЗАТЕЛЬСТВА</x:v>
      </x:c>
      <x:c r="M1" s="3" t="str">
        <x:v>ПРАКТИЧЕСКИЕ ПРОЕКТЫ И ДОКАЗАТЕЛЬСТВА</x:v>
      </x:c>
      <x:c r="N1" s="3" t="str">
        <x:v>ПРАКТИЧЕСКИЕ ПРОЕКТЫ И ДОКАЗАТЕЛЬСТВА</x:v>
      </x:c>
      <x:c r="O1" s="3" t="str">
        <x:v>ПРАКТИЧЕСКИЕ ПРОЕКТЫ И ДОКАЗАТЕЛЬСТВА</x:v>
      </x:c>
      <x:c r="P1" s="3" t="str">
        <x:v>ПРАКТИЧЕСКИЕ ПРОЕКТЫ И ДОКАЗАТЕЛЬСТВА</x:v>
      </x:c>
      <x:c r="Q1" s="3" t="str">
        <x:v>ПРАКТИЧЕСКИЕ ПРОЕКТЫ И ДОКАЗАТЕЛЬСТВА</x:v>
      </x:c>
      <x:c r="R1" s="3" t="str">
        <x:v>ПРАКТИЧЕСКИЕ ПРОЕКТЫ И ДОКАЗАТЕЛЬСТВА</x:v>
      </x:c>
      <x:c r="S1" s="3" t="str">
        <x:v>ПРАКТИЧЕСКИЕ ПРОЕКТЫ И ДОКАЗАТЕЛЬСТВА</x:v>
      </x:c>
      <x:c r="T1" s="3" t="str">
        <x:v>ПРАКТИЧЕСКИЕ ПРОЕКТЫ И ДОКАЗАТЕЛЬСТВА</x:v>
      </x:c>
      <x:c r="U1" s="3" t="str">
        <x:v>ПРАКТИЧЕСКИЕ ПРОЕКТЫ И ДОКАЗАТЕЛЬСТВА</x:v>
      </x:c>
      <x:c r="V1" s="3" t="str">
        <x:v>ПРАКТИЧЕСКИЕ ПРОЕКТЫ И ДОКАЗАТЕЛЬСТВА</x:v>
      </x:c>
      <x:c r="W1" s="3" t="str">
        <x:v>ПРАКТИЧЕСКИЕ ПРОЕКТЫ И ДОКАЗАТЕЛЬСТВА</x:v>
      </x:c>
      <x:c r="X1" s="3" t="str">
        <x:v>ПРАКТИЧЕСКИЕ ПРОЕКТЫ И ДОКАЗАТЕЛЬСТВА</x:v>
      </x:c>
      <x:c r="Y1" s="3" t="str">
        <x:v>ПРАКТИЧЕСКИЕ ПРОЕКТЫ И ДОКАЗАТЕЛЬСТВА</x:v>
      </x:c>
      <x:c r="Z1" s="3" t="str">
        <x:v>ПРАКТИЧЕСКИЕ ПРОЕКТЫ И ДОКАЗАТЕЛЬСТВА</x:v>
      </x:c>
      <x:c r="AA1" s="3" t="str">
        <x:v>ПРАКТИЧЕСКИЕ ПРОЕКТЫ И ДОКАЗАТЕЛЬСТВА</x:v>
      </x:c>
      <x:c r="AB1" s="3" t="str">
        <x:v>ПРАКТИЧЕСКИЕ ПРОЕКТЫ И ДОКАЗАТЕЛЬСТВА</x:v>
      </x:c>
      <x:c r="AC1" s="3" t="str">
        <x:v>ПРАКТИЧЕСКИЕ ПРОЕКТЫ И ДОКАЗАТЕЛЬСТВА</x:v>
      </x:c>
    </x:row>
    <x:row r="2" ht="38" customHeight="1">
      <x:c r="A2" s="7" t="str">
        <x:v>239 проектов · все execution gates BLOCKED до точного method/source/safety/local review</x:v>
      </x:c>
      <x:c r="B2" s="7" t="str">
        <x:v>239 проектов · все execution gates BLOCKED до точного method/source/safety/local review</x:v>
      </x:c>
      <x:c r="C2" s="7" t="str">
        <x:v>239 проектов · все execution gates BLOCKED до точного method/source/safety/local review</x:v>
      </x:c>
      <x:c r="D2" s="7" t="str">
        <x:v>239 проектов · все execution gates BLOCKED до точного method/source/safety/local review</x:v>
      </x:c>
      <x:c r="E2" s="7" t="str">
        <x:v>239 проектов · все execution gates BLOCKED до точного method/source/safety/local review</x:v>
      </x:c>
      <x:c r="F2" s="7" t="str">
        <x:v>239 проектов · все execution gates BLOCKED до точного method/source/safety/local review</x:v>
      </x:c>
      <x:c r="G2" s="7" t="str">
        <x:v>239 проектов · все execution gates BLOCKED до точного method/source/safety/local review</x:v>
      </x:c>
      <x:c r="H2" s="7" t="str">
        <x:v>239 проектов · все execution gates BLOCKED до точного method/source/safety/local review</x:v>
      </x:c>
      <x:c r="I2" s="7" t="str">
        <x:v>239 проектов · все execution gates BLOCKED до точного method/source/safety/local review</x:v>
      </x:c>
      <x:c r="J2" s="7" t="str">
        <x:v>239 проектов · все execution gates BLOCKED до точного method/source/safety/local review</x:v>
      </x:c>
      <x:c r="K2" s="7" t="str">
        <x:v>239 проектов · все execution gates BLOCKED до точного method/source/safety/local review</x:v>
      </x:c>
      <x:c r="L2" s="7" t="str">
        <x:v>239 проектов · все execution gates BLOCKED до точного method/source/safety/local review</x:v>
      </x:c>
      <x:c r="M2" s="7" t="str">
        <x:v>239 проектов · все execution gates BLOCKED до точного method/source/safety/local review</x:v>
      </x:c>
      <x:c r="N2" s="7" t="str">
        <x:v>239 проектов · все execution gates BLOCKED до точного method/source/safety/local review</x:v>
      </x:c>
      <x:c r="O2" s="7" t="str">
        <x:v>239 проектов · все execution gates BLOCKED до точного method/source/safety/local review</x:v>
      </x:c>
      <x:c r="P2" s="7" t="str">
        <x:v>239 проектов · все execution gates BLOCKED до точного method/source/safety/local review</x:v>
      </x:c>
      <x:c r="Q2" s="7" t="str">
        <x:v>239 проектов · все execution gates BLOCKED до точного method/source/safety/local review</x:v>
      </x:c>
      <x:c r="R2" s="7" t="str">
        <x:v>239 проектов · все execution gates BLOCKED до точного method/source/safety/local review</x:v>
      </x:c>
      <x:c r="S2" s="7" t="str">
        <x:v>239 проектов · все execution gates BLOCKED до точного method/source/safety/local review</x:v>
      </x:c>
      <x:c r="T2" s="7" t="str">
        <x:v>239 проектов · все execution gates BLOCKED до точного method/source/safety/local review</x:v>
      </x:c>
      <x:c r="U2" s="7" t="str">
        <x:v>239 проектов · все execution gates BLOCKED до точного method/source/safety/local review</x:v>
      </x:c>
      <x:c r="V2" s="7" t="str">
        <x:v>239 проектов · все execution gates BLOCKED до точного method/source/safety/local review</x:v>
      </x:c>
      <x:c r="W2" s="7" t="str">
        <x:v>239 проектов · все execution gates BLOCKED до точного method/source/safety/local review</x:v>
      </x:c>
      <x:c r="X2" s="7" t="str">
        <x:v>239 проектов · все execution gates BLOCKED до точного method/source/safety/local review</x:v>
      </x:c>
      <x:c r="Y2" s="7" t="str">
        <x:v>239 проектов · все execution gates BLOCKED до точного method/source/safety/local review</x:v>
      </x:c>
      <x:c r="Z2" s="7" t="str">
        <x:v>239 проектов · все execution gates BLOCKED до точного method/source/safety/local review</x:v>
      </x:c>
      <x:c r="AA2" s="7" t="str">
        <x:v>239 проектов · все execution gates BLOCKED до точного method/source/safety/local review</x:v>
      </x:c>
      <x:c r="AB2" s="7" t="str">
        <x:v>239 проектов · все execution gates BLOCKED до точного method/source/safety/local review</x:v>
      </x:c>
      <x:c r="AC2" s="7" t="str">
        <x:v>239 проектов · все execution gates BLOCKED до точного method/source/safety/local review</x:v>
      </x:c>
    </x:row>
    <x:row r="3" ht="34" customHeight="1">
      <x:c r="A3" s="52" t="str">
        <x:v>project_id</x:v>
      </x:c>
      <x:c r="B3" s="52" t="str">
        <x:v>domain_id</x:v>
      </x:c>
      <x:c r="C3" s="52" t="str">
        <x:v>group_code</x:v>
      </x:c>
      <x:c r="D3" s="52" t="str">
        <x:v>title_ru</x:v>
      </x:c>
      <x:c r="E3" s="52" t="str">
        <x:v>mode</x:v>
      </x:c>
      <x:c r="F3" s="52" t="str">
        <x:v>purpose</x:v>
      </x:c>
      <x:c r="G3" s="52" t="str">
        <x:v>prerequisites</x:v>
      </x:c>
      <x:c r="H3" s="52" t="str">
        <x:v>inputs_tools</x:v>
      </x:c>
      <x:c r="I3" s="52" t="str">
        <x:v>protocol_summary</x:v>
      </x:c>
      <x:c r="J3" s="52" t="str">
        <x:v>raw_measurements</x:v>
      </x:c>
      <x:c r="K3" s="52" t="str">
        <x:v>units</x:v>
      </x:c>
      <x:c r="L3" s="52" t="str">
        <x:v>expected_pattern</x:v>
      </x:c>
      <x:c r="M3" s="52" t="str">
        <x:v>success_evidence</x:v>
      </x:c>
      <x:c r="N3" s="52" t="str">
        <x:v>repetitions</x:v>
      </x:c>
      <x:c r="O3" s="52" t="str">
        <x:v>uncertainty_method</x:v>
      </x:c>
      <x:c r="P3" s="52" t="str">
        <x:v>hazards</x:v>
      </x:c>
      <x:c r="Q3" s="52" t="str">
        <x:v>stop_conditions</x:v>
      </x:c>
      <x:c r="R3" s="52" t="str">
        <x:v>waste_disposal</x:v>
      </x:c>
      <x:c r="S3" s="52" t="str">
        <x:v>safety_class</x:v>
      </x:c>
      <x:c r="T3" s="52" t="str">
        <x:v>supervision</x:v>
      </x:c>
      <x:c r="U3" s="52" t="str">
        <x:v>duration_hours</x:v>
      </x:c>
      <x:c r="V3" s="52" t="str">
        <x:v>seasonal_window</x:v>
      </x:c>
      <x:c r="W3" s="52" t="str">
        <x:v>output_artifact</x:v>
      </x:c>
      <x:c r="X3" s="52" t="str">
        <x:v>linked_package_ids</x:v>
      </x:c>
      <x:c r="Y3" s="52" t="str">
        <x:v>source_binding_state</x:v>
      </x:c>
      <x:c r="Z3" s="52" t="str">
        <x:v>execution_gate</x:v>
      </x:c>
      <x:c r="AA3" s="52" t="str">
        <x:v>status</x:v>
      </x:c>
      <x:c r="AB3" s="52" t="str">
        <x:v>successor_demo</x:v>
      </x:c>
      <x:c r="AC3" s="52" t="str">
        <x:v>release_version</x:v>
      </x:c>
    </x:row>
    <x:row r="4">
      <x:c r="A4" s="53" t="str">
        <x:v>PRJ-001</x:v>
      </x:c>
      <x:c r="B4" s="53" t="str">
        <x:v>SCI-METH-01</x:v>
      </x:c>
      <x:c r="C4" s="53" t="str">
        <x:v>METH</x:v>
      </x:c>
      <x:c r="D4" s="53" t="str">
        <x:v>Практическая проверка: Постановка проверяемого вопроса и фальсифицируемость</x:v>
      </x:c>
      <x:c r="E4" s="53" t="str">
        <x:v>OBSERVATION_DATA_OR_CALCULATION</x:v>
      </x:c>
      <x:c r="F4" s="53" t="str">
        <x:v>Объяснить базовую модель, выполнить допустимую для класса риска проверку и документировать пределы по теме «Постановка проверяемого вопроса и фальсифицируемость».</x:v>
      </x:c>
      <x:c r="G4" s="53" t="str">
        <x:v>|право остановить опыт|инструкция оборудования</x:v>
      </x:c>
      <x:c r="H4" s="53" t="str">
        <x:v>TBD_NON_EXECUTABLE: точные item/model/material/range/PPE для протокол/неопределённость должны быть утверждены до начала</x:v>
      </x:c>
      <x:c r="I4" s="53" t="str">
        <x:v>Сформулировать вопрос; записать метод и единицы; выполнить формулировка вопроса, проверяемого наблюдением; сохранить сырые данные; повторить; оценить неопределённость; сделать ограниченный вывод.</x:v>
      </x:c>
      <x:c r="J4" s="53" t="str">
        <x:v>формулировка вопроса, проверяемого наблюдением</x:v>
      </x:c>
      <x:c r="K4" s="53" t="str">
        <x:v>SI или явно названный стандарт</x:v>
      </x:c>
      <x:c r="L4" s="53" t="str">
        <x:v>TBD_BEFORE_EXECUTION_FROM_EXACT_METHOD: диапазон/критерий фиксируется до результата; post-hoc подгонка запрещена.</x:v>
      </x:c>
      <x:c r="M4" s="53" t="str">
        <x:v>сырые данные + фото/скриншот при допустимости + расчёт + uncertainty + подпись reviewer + hash пакета</x:v>
      </x:c>
      <x:c r="N4" s="53" t="n">
        <x:v>2</x:v>
      </x:c>
      <x:c r="O4" s="53" t="str">
        <x:v>TBD_METHOD_SPECIFIC: range/resolution/bias/repeat spread/operator effects утверждаются до execution</x:v>
      </x:c>
      <x:c r="P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4" s="53" t="str">
        <x:v>STOP при неясных правах, происхождении данных, этическом конфликте или невозможности сохранить исходные данные.</x:v>
      </x:c>
      <x:c r="R4" s="53" t="str">
        <x:v>TBD_ITEM_SPECIFIC_AND_LOCAL: пока маршрут отходов не утверждён, физическое выполнение блокировано.</x:v>
      </x:c>
      <x:c r="S4" s="53" t="str">
        <x:v>S0_OBSERVE_READ</x:v>
      </x:c>
      <x:c r="T4" s="53" t="str">
        <x:v>Самостоятельно после проверки источника; опасное действие из текста не выполняется.</x:v>
      </x:c>
      <x:c r="U4" s="53" t="n">
        <x:v>3</x:v>
      </x:c>
      <x:c r="V4" s="53" t="str">
        <x:v>ANY_SAFE_PERIOD</x:v>
      </x:c>
      <x:c r="W4" s="53" t="str">
        <x:v>records/science/SCI-METH-01/YYYY-MM-DD/</x:v>
      </x:c>
      <x:c r="X4" s="53" t="str">
        <x:v>PSP-001</x:v>
      </x:c>
      <x:c r="Y4" s="53" t="str">
        <x:v>PROVISIONAL_TOPIC_CANDIDATES_NOT_METHOD_REVIEWED</x:v>
      </x:c>
      <x:c r="Z4" s="53" t="str">
        <x:v>BLOCKED_UNTIL_EXACT_METHOD_SOURCE_SAFETY_AND_LOCAL_REVIEW</x:v>
      </x:c>
      <x:c r="AA4" s="53" t="str">
        <x:v>DESIGN_ONLY_NOT_EXECUTED</x:v>
      </x:c>
      <x:c r="AB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" s="53" t="str">
        <x:v>0.4</x:v>
      </x:c>
    </x:row>
    <x:row r="5">
      <x:c r="A5" s="26" t="str">
        <x:v>PRJ-002</x:v>
      </x:c>
      <x:c r="B5" s="26" t="str">
        <x:v>SCI-METH-02</x:v>
      </x:c>
      <x:c r="C5" s="26" t="str">
        <x:v>METH</x:v>
      </x:c>
      <x:c r="D5" s="26" t="str">
        <x:v>Практическая проверка: Иерархия источников, происхождение и конфликт интересов</x:v>
      </x:c>
      <x:c r="E5" s="26" t="str">
        <x:v>OBSERVATION_DATA_OR_CALCULATION</x:v>
      </x:c>
      <x:c r="F5" s="26" t="str">
        <x:v>Объяснить базовую модель, выполнить допустимую для класса риска проверку и документировать пределы по теме «Иерархия источников, происхождение и конфликт интересов».</x:v>
      </x:c>
      <x:c r="G5" s="26" t="str">
        <x:v>SCI-METH-01|право остановить опыт|инструкция оборудования</x:v>
      </x:c>
      <x:c r="H5" s="26" t="str">
        <x:v>TBD_NON_EXECUTABLE: точные item/model/material/range/PPE для протокол/неопределённость должны быть утверждены до начала</x:v>
      </x:c>
      <x:c r="I5" s="26" t="str">
        <x:v>Сформулировать вопрос; записать метод и единицы; выполнить карта утверждение → первичный источник → дата → права; сохранить сырые данные; повторить; оценить неопределённость; сделать ограниченный вывод.</x:v>
      </x:c>
      <x:c r="J5" s="26" t="str">
        <x:v>карта утверждение → первичный источник → дата → права</x:v>
      </x:c>
      <x:c r="K5" s="26" t="str">
        <x:v>SI или явно названный стандарт</x:v>
      </x:c>
      <x:c r="L5" s="26" t="str">
        <x:v>TBD_BEFORE_EXECUTION_FROM_EXACT_METHOD: диапазон/критерий фиксируется до результата; post-hoc подгонка запрещена.</x:v>
      </x:c>
      <x:c r="M5" s="26" t="str">
        <x:v>сырые данные + фото/скриншот при допустимости + расчёт + uncertainty + подпись reviewer + hash пакета</x:v>
      </x:c>
      <x:c r="N5" s="26" t="n">
        <x:v>2</x:v>
      </x:c>
      <x:c r="O5" s="26" t="str">
        <x:v>TBD_METHOD_SPECIFIC: range/resolution/bias/repeat spread/operator effects утверждаются до execution</x:v>
      </x:c>
      <x:c r="P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5" s="26" t="str">
        <x:v>STOP при неясных правах, происхождении данных, этическом конфликте или невозможности сохранить исходные данные.</x:v>
      </x:c>
      <x:c r="R5" s="26" t="str">
        <x:v>TBD_ITEM_SPECIFIC_AND_LOCAL: пока маршрут отходов не утверждён, физическое выполнение блокировано.</x:v>
      </x:c>
      <x:c r="S5" s="26" t="str">
        <x:v>S0_OBSERVE_READ</x:v>
      </x:c>
      <x:c r="T5" s="26" t="str">
        <x:v>Самостоятельно после проверки источника; опасное действие из текста не выполняется.</x:v>
      </x:c>
      <x:c r="U5" s="26" t="n">
        <x:v>3</x:v>
      </x:c>
      <x:c r="V5" s="26" t="str">
        <x:v>ANY_SAFE_PERIOD</x:v>
      </x:c>
      <x:c r="W5" s="26" t="str">
        <x:v>records/science/SCI-METH-02/YYYY-MM-DD/</x:v>
      </x:c>
      <x:c r="X5" s="26" t="str">
        <x:v>PSP-104|SUP-MDE-005</x:v>
      </x:c>
      <x:c r="Y5" s="26" t="str">
        <x:v>PROVISIONAL_TOPIC_CANDIDATES_NOT_METHOD_REVIEWED</x:v>
      </x:c>
      <x:c r="Z5" s="26" t="str">
        <x:v>BLOCKED_UNTIL_EXACT_METHOD_SOURCE_SAFETY_AND_LOCAL_REVIEW</x:v>
      </x:c>
      <x:c r="AA5" s="26" t="str">
        <x:v>DESIGN_ONLY_NOT_EXECUTED</x:v>
      </x:c>
      <x:c r="AB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" s="26" t="str">
        <x:v>0.4</x:v>
      </x:c>
    </x:row>
    <x:row r="6">
      <x:c r="A6" s="53" t="str">
        <x:v>PRJ-003</x:v>
      </x:c>
      <x:c r="B6" s="53" t="str">
        <x:v>SCI-METH-03</x:v>
      </x:c>
      <x:c r="C6" s="53" t="str">
        <x:v>METH</x:v>
      </x:c>
      <x:c r="D6" s="53" t="str">
        <x:v>Практическая проверка: Гипотеза, контроль и альтернативные объяснения</x:v>
      </x:c>
      <x:c r="E6" s="53" t="str">
        <x:v>OBSERVATION_DATA_OR_CALCULATION</x:v>
      </x:c>
      <x:c r="F6" s="53" t="str">
        <x:v>Объяснить базовую модель, выполнить допустимую для класса риска проверку и документировать пределы по теме «Гипотеза, контроль и альтернативные объяснения».</x:v>
      </x:c>
      <x:c r="G6" s="53" t="str">
        <x:v>SCI-METH-02|SCI-METH-01|право остановить опыт|инструкция оборудования</x:v>
      </x:c>
      <x:c r="H6" s="53" t="str">
        <x:v>TBD_NON_EXECUTABLE: точные item/model/material/range/PPE для протокол/неопределённость должны быть утверждены до начала</x:v>
      </x:c>
      <x:c r="I6" s="53" t="str">
        <x:v>Сформулировать вопрос; записать метод и единицы; выполнить таблица конкурирующих гипотез и различающих наблюдений; сохранить сырые данные; повторить; оценить неопределённость; сделать ограниченный вывод.</x:v>
      </x:c>
      <x:c r="J6" s="53" t="str">
        <x:v>таблица конкурирующих гипотез и различающих наблюдений</x:v>
      </x:c>
      <x:c r="K6" s="53" t="str">
        <x:v>SI или явно названный стандарт</x:v>
      </x:c>
      <x:c r="L6" s="53" t="str">
        <x:v>TBD_BEFORE_EXECUTION_FROM_EXACT_METHOD: диапазон/критерий фиксируется до результата; post-hoc подгонка запрещена.</x:v>
      </x:c>
      <x:c r="M6" s="53" t="str">
        <x:v>сырые данные + фото/скриншот при допустимости + расчёт + uncertainty + подпись reviewer + hash пакета</x:v>
      </x:c>
      <x:c r="N6" s="53" t="n">
        <x:v>2</x:v>
      </x:c>
      <x:c r="O6" s="53" t="str">
        <x:v>TBD_METHOD_SPECIFIC: range/resolution/bias/repeat spread/operator effects утверждаются до execution</x:v>
      </x:c>
      <x:c r="P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6" s="53" t="str">
        <x:v>STOP при неясных правах, происхождении данных, этическом конфликте или невозможности сохранить исходные данные.</x:v>
      </x:c>
      <x:c r="R6" s="53" t="str">
        <x:v>TBD_ITEM_SPECIFIC_AND_LOCAL: пока маршрут отходов не утверждён, физическое выполнение блокировано.</x:v>
      </x:c>
      <x:c r="S6" s="53" t="str">
        <x:v>S0_OBSERVE_READ</x:v>
      </x:c>
      <x:c r="T6" s="53" t="str">
        <x:v>Самостоятельно после проверки источника; опасное действие из текста не выполняется.</x:v>
      </x:c>
      <x:c r="U6" s="53" t="n">
        <x:v>3</x:v>
      </x:c>
      <x:c r="V6" s="53" t="str">
        <x:v>ANY_SAFE_PERIOD</x:v>
      </x:c>
      <x:c r="W6" s="53" t="str">
        <x:v>records/science/SCI-METH-03/YYYY-MM-DD/</x:v>
      </x:c>
      <x:c r="X6" s="53" t="str">
        <x:v>PSP-001</x:v>
      </x:c>
      <x:c r="Y6" s="53" t="str">
        <x:v>PROVISIONAL_TOPIC_CANDIDATES_NOT_METHOD_REVIEWED</x:v>
      </x:c>
      <x:c r="Z6" s="53" t="str">
        <x:v>BLOCKED_UNTIL_EXACT_METHOD_SOURCE_SAFETY_AND_LOCAL_REVIEW</x:v>
      </x:c>
      <x:c r="AA6" s="53" t="str">
        <x:v>DESIGN_ONLY_NOT_EXECUTED</x:v>
      </x:c>
      <x:c r="AB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" s="53" t="str">
        <x:v>0.4</x:v>
      </x:c>
    </x:row>
    <x:row r="7">
      <x:c r="A7" s="26" t="str">
        <x:v>PRJ-004</x:v>
      </x:c>
      <x:c r="B7" s="26" t="str">
        <x:v>SCI-METH-04</x:v>
      </x:c>
      <x:c r="C7" s="26" t="str">
        <x:v>METH</x:v>
      </x:c>
      <x:c r="D7" s="26" t="str">
        <x:v>Практическая проверка: Планирование эксперимента и предрегистрация</x:v>
      </x:c>
      <x:c r="E7" s="26" t="str">
        <x:v>OBSERVATION_DATA_OR_CALCULATION</x:v>
      </x:c>
      <x:c r="F7" s="26" t="str">
        <x:v>Объяснить базовую модель, выполнить допустимую для класса риска проверку и документировать пределы по теме «Планирование эксперимента и предрегистрация».</x:v>
      </x:c>
      <x:c r="G7" s="26" t="str">
        <x:v>SCI-METH-03|SCI-METH-01|право остановить опыт|инструкция оборудования</x:v>
      </x:c>
      <x:c r="H7" s="26" t="str">
        <x:v>TBD_NON_EXECUTABLE: точные item/model/material/range/PPE для протокол/неопределённость должны быть утверждены до начала</x:v>
      </x:c>
      <x:c r="I7" s="26" t="str">
        <x:v>Сформулировать вопрос; записать метод и единицы; выполнить заранее записанные переменные, критерий успеха и стоп-условие; сохранить сырые данные; повторить; оценить неопределённость; сделать ограниченный вывод.</x:v>
      </x:c>
      <x:c r="J7" s="26" t="str">
        <x:v>заранее записанные переменные, критерий успеха и стоп-условие</x:v>
      </x:c>
      <x:c r="K7" s="26" t="str">
        <x:v>SI или явно названный стандарт</x:v>
      </x:c>
      <x:c r="L7" s="26" t="str">
        <x:v>TBD_BEFORE_EXECUTION_FROM_EXACT_METHOD: диапазон/критерий фиксируется до результата; post-hoc подгонка запрещена.</x:v>
      </x:c>
      <x:c r="M7" s="26" t="str">
        <x:v>сырые данные + фото/скриншот при допустимости + расчёт + uncertainty + подпись reviewer + hash пакета</x:v>
      </x:c>
      <x:c r="N7" s="26" t="n">
        <x:v>2</x:v>
      </x:c>
      <x:c r="O7" s="26" t="str">
        <x:v>TBD_METHOD_SPECIFIC: range/resolution/bias/repeat spread/operator effects утверждаются до execution</x:v>
      </x:c>
      <x:c r="P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" s="26" t="str">
        <x:v>STOP при неясных правах, происхождении данных, этическом конфликте или невозможности сохранить исходные данные.</x:v>
      </x:c>
      <x:c r="R7" s="26" t="str">
        <x:v>TBD_ITEM_SPECIFIC_AND_LOCAL: пока маршрут отходов не утверждён, физическое выполнение блокировано.</x:v>
      </x:c>
      <x:c r="S7" s="26" t="str">
        <x:v>S0_OBSERVE_READ</x:v>
      </x:c>
      <x:c r="T7" s="26" t="str">
        <x:v>Самостоятельно после проверки источника; опасное действие из текста не выполняется.</x:v>
      </x:c>
      <x:c r="U7" s="26" t="n">
        <x:v>3</x:v>
      </x:c>
      <x:c r="V7" s="26" t="str">
        <x:v>ANY_SAFE_PERIOD</x:v>
      </x:c>
      <x:c r="W7" s="26" t="str">
        <x:v>records/science/SCI-METH-04/YYYY-MM-DD/</x:v>
      </x:c>
      <x:c r="X7" s="26" t="str">
        <x:v>PSP-001</x:v>
      </x:c>
      <x:c r="Y7" s="26" t="str">
        <x:v>PROVISIONAL_TOPIC_CANDIDATES_NOT_METHOD_REVIEWED</x:v>
      </x:c>
      <x:c r="Z7" s="26" t="str">
        <x:v>BLOCKED_UNTIL_EXACT_METHOD_SOURCE_SAFETY_AND_LOCAL_REVIEW</x:v>
      </x:c>
      <x:c r="AA7" s="26" t="str">
        <x:v>DESIGN_ONLY_NOT_EXECUTED</x:v>
      </x:c>
      <x:c r="AB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" s="26" t="str">
        <x:v>0.4</x:v>
      </x:c>
    </x:row>
    <x:row r="8">
      <x:c r="A8" s="53" t="str">
        <x:v>PRJ-005</x:v>
      </x:c>
      <x:c r="B8" s="53" t="str">
        <x:v>SCI-METH-05</x:v>
      </x:c>
      <x:c r="C8" s="53" t="str">
        <x:v>METH</x:v>
      </x:c>
      <x:c r="D8" s="53" t="str">
        <x:v>Практическая проверка: Выборка, смещение и репрезентативность</x:v>
      </x:c>
      <x:c r="E8" s="53" t="str">
        <x:v>OBSERVATION_DATA_OR_CALCULATION</x:v>
      </x:c>
      <x:c r="F8" s="53" t="str">
        <x:v>Объяснить базовую модель, выполнить допустимую для класса риска проверку и документировать пределы по теме «Выборка, смещение и репрезентативность».</x:v>
      </x:c>
      <x:c r="G8" s="53" t="str">
        <x:v>SCI-METH-04|SCI-METH-01|право остановить опыт|инструкция оборудования</x:v>
      </x:c>
      <x:c r="H8" s="53" t="str">
        <x:v>TBD_NON_EXECUTABLE: точные item/model/material/range/PPE для протокол/неопределённость должны быть утверждены до начала</x:v>
      </x:c>
      <x:c r="I8" s="53" t="str">
        <x:v>Сформулировать вопрос; записать метод и единицы; выполнить описание рамки выборки и известных смещений; сохранить сырые данные; повторить; оценить неопределённость; сделать ограниченный вывод.</x:v>
      </x:c>
      <x:c r="J8" s="53" t="str">
        <x:v>описание рамки выборки и известных смещений</x:v>
      </x:c>
      <x:c r="K8" s="53" t="str">
        <x:v>SI или явно названный стандарт</x:v>
      </x:c>
      <x:c r="L8" s="53" t="str">
        <x:v>TBD_BEFORE_EXECUTION_FROM_EXACT_METHOD: диапазон/критерий фиксируется до результата; post-hoc подгонка запрещена.</x:v>
      </x:c>
      <x:c r="M8" s="53" t="str">
        <x:v>сырые данные + фото/скриншот при допустимости + расчёт + uncertainty + подпись reviewer + hash пакета</x:v>
      </x:c>
      <x:c r="N8" s="53" t="n">
        <x:v>2</x:v>
      </x:c>
      <x:c r="O8" s="53" t="str">
        <x:v>TBD_METHOD_SPECIFIC: range/resolution/bias/repeat spread/operator effects утверждаются до execution</x:v>
      </x:c>
      <x:c r="P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" s="53" t="str">
        <x:v>STOP при неясных правах, происхождении данных, этическом конфликте или невозможности сохранить исходные данные.</x:v>
      </x:c>
      <x:c r="R8" s="53" t="str">
        <x:v>TBD_ITEM_SPECIFIC_AND_LOCAL: пока маршрут отходов не утверждён, физическое выполнение блокировано.</x:v>
      </x:c>
      <x:c r="S8" s="53" t="str">
        <x:v>S0_OBSERVE_READ</x:v>
      </x:c>
      <x:c r="T8" s="53" t="str">
        <x:v>Самостоятельно после проверки источника; опасное действие из текста не выполняется.</x:v>
      </x:c>
      <x:c r="U8" s="53" t="n">
        <x:v>3</x:v>
      </x:c>
      <x:c r="V8" s="53" t="str">
        <x:v>ANY_SAFE_PERIOD</x:v>
      </x:c>
      <x:c r="W8" s="53" t="str">
        <x:v>records/science/SCI-METH-05/YYYY-MM-DD/</x:v>
      </x:c>
      <x:c r="X8" s="53" t="str">
        <x:v>PSP-001</x:v>
      </x:c>
      <x:c r="Y8" s="53" t="str">
        <x:v>PROVISIONAL_TOPIC_CANDIDATES_NOT_METHOD_REVIEWED</x:v>
      </x:c>
      <x:c r="Z8" s="53" t="str">
        <x:v>BLOCKED_UNTIL_EXACT_METHOD_SOURCE_SAFETY_AND_LOCAL_REVIEW</x:v>
      </x:c>
      <x:c r="AA8" s="53" t="str">
        <x:v>DESIGN_ONLY_NOT_EXECUTED</x:v>
      </x:c>
      <x:c r="AB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" s="53" t="str">
        <x:v>0.4</x:v>
      </x:c>
    </x:row>
    <x:row r="9">
      <x:c r="A9" s="26" t="str">
        <x:v>PRJ-006</x:v>
      </x:c>
      <x:c r="B9" s="26" t="str">
        <x:v>SCI-METH-06</x:v>
      </x:c>
      <x:c r="C9" s="26" t="str">
        <x:v>METH</x:v>
      </x:c>
      <x:c r="D9" s="26" t="str">
        <x:v>Практическая проверка: Словарь данных, типы переменных и единицы</x:v>
      </x:c>
      <x:c r="E9" s="26" t="str">
        <x:v>OBSERVATION_DATA_OR_CALCULATION</x:v>
      </x:c>
      <x:c r="F9" s="26" t="str">
        <x:v>Объяснить базовую модель, выполнить допустимую для класса риска проверку и документировать пределы по теме «Словарь данных, типы переменных и единицы».</x:v>
      </x:c>
      <x:c r="G9" s="26" t="str">
        <x:v>SCI-METH-05|SCI-METH-01|право остановить опыт|инструкция оборудования</x:v>
      </x:c>
      <x:c r="H9" s="26" t="str">
        <x:v>TBD_NON_EXECUTABLE: точные item/model/material/range/PPE для протокол/неопределённость должны быть утверждены до начала</x:v>
      </x:c>
      <x:c r="I9" s="26" t="str">
        <x:v>Сформулировать вопрос; записать метод и единицы; выполнить машиночитаемый словарь поля → тип → единица → допустимый диапазон; сохранить сырые данные; повторить; оценить неопределённость; сделать ограниченный вывод.</x:v>
      </x:c>
      <x:c r="J9" s="26" t="str">
        <x:v>машиночитаемый словарь поля → тип → единица → допустимый диапазон</x:v>
      </x:c>
      <x:c r="K9" s="26" t="str">
        <x:v>SI или явно названный стандарт</x:v>
      </x:c>
      <x:c r="L9" s="26" t="str">
        <x:v>TBD_BEFORE_EXECUTION_FROM_EXACT_METHOD: диапазон/критерий фиксируется до результата; post-hoc подгонка запрещена.</x:v>
      </x:c>
      <x:c r="M9" s="26" t="str">
        <x:v>сырые данные + фото/скриншот при допустимости + расчёт + uncertainty + подпись reviewer + hash пакета</x:v>
      </x:c>
      <x:c r="N9" s="26" t="n">
        <x:v>2</x:v>
      </x:c>
      <x:c r="O9" s="26" t="str">
        <x:v>TBD_METHOD_SPECIFIC: range/resolution/bias/repeat spread/operator effects утверждаются до execution</x:v>
      </x:c>
      <x:c r="P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9" s="26" t="str">
        <x:v>STOP при неясных правах, происхождении данных, этическом конфликте или невозможности сохранить исходные данные.</x:v>
      </x:c>
      <x:c r="R9" s="26" t="str">
        <x:v>TBD_ITEM_SPECIFIC_AND_LOCAL: пока маршрут отходов не утверждён, физическое выполнение блокировано.</x:v>
      </x:c>
      <x:c r="S9" s="26" t="str">
        <x:v>S0_OBSERVE_READ</x:v>
      </x:c>
      <x:c r="T9" s="26" t="str">
        <x:v>Самостоятельно после проверки источника; опасное действие из текста не выполняется.</x:v>
      </x:c>
      <x:c r="U9" s="26" t="n">
        <x:v>3</x:v>
      </x:c>
      <x:c r="V9" s="26" t="str">
        <x:v>ANY_SAFE_PERIOD</x:v>
      </x:c>
      <x:c r="W9" s="26" t="str">
        <x:v>records/science/SCI-METH-06/YYYY-MM-DD/</x:v>
      </x:c>
      <x:c r="X9" s="26" t="str">
        <x:v>PSP-120|SUP-MDE-005</x:v>
      </x:c>
      <x:c r="Y9" s="26" t="str">
        <x:v>PROVISIONAL_TOPIC_CANDIDATES_NOT_METHOD_REVIEWED</x:v>
      </x:c>
      <x:c r="Z9" s="26" t="str">
        <x:v>BLOCKED_UNTIL_EXACT_METHOD_SOURCE_SAFETY_AND_LOCAL_REVIEW</x:v>
      </x:c>
      <x:c r="AA9" s="26" t="str">
        <x:v>DESIGN_ONLY_NOT_EXECUTED</x:v>
      </x:c>
      <x:c r="AB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" s="26" t="str">
        <x:v>0.4</x:v>
      </x:c>
    </x:row>
    <x:row r="10">
      <x:c r="A10" s="53" t="str">
        <x:v>PRJ-007</x:v>
      </x:c>
      <x:c r="B10" s="53" t="str">
        <x:v>SCI-METH-07</x:v>
      </x:c>
      <x:c r="C10" s="53" t="str">
        <x:v>METH</x:v>
      </x:c>
      <x:c r="D10" s="53" t="str">
        <x:v>Практическая проверка: SI, размерностный анализ и преобразование единиц</x:v>
      </x:c>
      <x:c r="E10" s="53" t="str">
        <x:v>OBSERVATION_DATA_OR_CALCULATION</x:v>
      </x:c>
      <x:c r="F10" s="53" t="str">
        <x:v>Объяснить базовую модель, выполнить допустимую для класса риска проверку и документировать пределы по теме «SI, размерностный анализ и преобразование единиц».</x:v>
      </x:c>
      <x:c r="G10" s="53" t="str">
        <x:v>SCI-METH-06|SCI-METH-01|право остановить опыт|инструкция оборудования</x:v>
      </x:c>
      <x:c r="H10" s="53" t="str">
        <x:v>TBD_NON_EXECUTABLE: точные item/model/material/range/PPE для протокол/неопределённость должны быть утверждены до начала</x:v>
      </x:c>
      <x:c r="I10" s="53" t="str">
        <x:v>Сформулировать вопрос; записать метод и единицы; выполнить проверка размерности и независимый пересчёт единиц; сохранить сырые данные; повторить; оценить неопределённость; сделать ограниченный вывод.</x:v>
      </x:c>
      <x:c r="J10" s="53" t="str">
        <x:v>проверка размерности и независимый пересчёт единиц</x:v>
      </x:c>
      <x:c r="K10" s="53" t="str">
        <x:v>SI или явно названный стандарт</x:v>
      </x:c>
      <x:c r="L10" s="53" t="str">
        <x:v>TBD_BEFORE_EXECUTION_FROM_EXACT_METHOD: диапазон/критерий фиксируется до результата; post-hoc подгонка запрещена.</x:v>
      </x:c>
      <x:c r="M10" s="53" t="str">
        <x:v>сырые данные + фото/скриншот при допустимости + расчёт + uncertainty + подпись reviewer + hash пакета</x:v>
      </x:c>
      <x:c r="N10" s="53" t="n">
        <x:v>2</x:v>
      </x:c>
      <x:c r="O10" s="53" t="str">
        <x:v>TBD_METHOD_SPECIFIC: range/resolution/bias/repeat spread/operator effects утверждаются до execution</x:v>
      </x:c>
      <x:c r="P1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0" s="53" t="str">
        <x:v>STOP при неясных правах, происхождении данных, этическом конфликте или невозможности сохранить исходные данные.</x:v>
      </x:c>
      <x:c r="R10" s="53" t="str">
        <x:v>TBD_ITEM_SPECIFIC_AND_LOCAL: пока маршрут отходов не утверждён, физическое выполнение блокировано.</x:v>
      </x:c>
      <x:c r="S10" s="53" t="str">
        <x:v>S0_OBSERVE_READ</x:v>
      </x:c>
      <x:c r="T10" s="53" t="str">
        <x:v>Самостоятельно после проверки источника; опасное действие из текста не выполняется.</x:v>
      </x:c>
      <x:c r="U10" s="53" t="n">
        <x:v>3</x:v>
      </x:c>
      <x:c r="V10" s="53" t="str">
        <x:v>ANY_SAFE_PERIOD</x:v>
      </x:c>
      <x:c r="W10" s="53" t="str">
        <x:v>records/science/SCI-METH-07/YYYY-MM-DD/</x:v>
      </x:c>
      <x:c r="X10" s="53" t="str">
        <x:v>PSP-002|PSP-003</x:v>
      </x:c>
      <x:c r="Y10" s="53" t="str">
        <x:v>PROVISIONAL_TOPIC_CANDIDATES_NOT_METHOD_REVIEWED</x:v>
      </x:c>
      <x:c r="Z10" s="53" t="str">
        <x:v>BLOCKED_UNTIL_EXACT_METHOD_SOURCE_SAFETY_AND_LOCAL_REVIEW</x:v>
      </x:c>
      <x:c r="AA10" s="53" t="str">
        <x:v>DESIGN_ONLY_NOT_EXECUTED</x:v>
      </x:c>
      <x:c r="AB1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" s="53" t="str">
        <x:v>0.4</x:v>
      </x:c>
    </x:row>
    <x:row r="11">
      <x:c r="A11" s="26" t="str">
        <x:v>PRJ-008</x:v>
      </x:c>
      <x:c r="B11" s="26" t="str">
        <x:v>SCI-METH-08</x:v>
      </x:c>
      <x:c r="C11" s="26" t="str">
        <x:v>METH</x:v>
      </x:c>
      <x:c r="D11" s="26" t="str">
        <x:v>Практическая проверка: Калибровка и метрологическая прослеживаемость</x:v>
      </x:c>
      <x:c r="E11" s="26" t="str">
        <x:v>OBSERVATION_DATA_OR_CALCULATION</x:v>
      </x:c>
      <x:c r="F11" s="26" t="str">
        <x:v>Объяснить базовую модель, выполнить допустимую для класса риска проверку и документировать пределы по теме «Калибровка и метрологическая прослеживаемость».</x:v>
      </x:c>
      <x:c r="G11" s="26" t="str">
        <x:v>SCI-METH-07|SCI-METH-01|право остановить опыт|инструкция оборудования</x:v>
      </x:c>
      <x:c r="H11" s="26" t="str">
        <x:v>TBD_NON_EXECUTABLE: точные item/model/material/range/PPE для протокол/неопределённость должны быть утверждены до начала</x:v>
      </x:c>
      <x:c r="I11" s="26" t="str">
        <x:v>Сформулировать вопрос; записать метод и единицы; выполнить запись эталона, диапазона, поправки и срока следующей проверки; сохранить сырые данные; повторить; оценить неопределённость; сделать ограниченный вывод.</x:v>
      </x:c>
      <x:c r="J11" s="26" t="str">
        <x:v>запись эталона, диапазона, поправки и срока следующей проверки</x:v>
      </x:c>
      <x:c r="K11" s="26" t="str">
        <x:v>SI или явно названный стандарт</x:v>
      </x:c>
      <x:c r="L11" s="26" t="str">
        <x:v>TBD_BEFORE_EXECUTION_FROM_EXACT_METHOD: диапазон/критерий фиксируется до результата; post-hoc подгонка запрещена.</x:v>
      </x:c>
      <x:c r="M11" s="26" t="str">
        <x:v>сырые данные + фото/скриншот при допустимости + расчёт + uncertainty + подпись reviewer + hash пакета</x:v>
      </x:c>
      <x:c r="N11" s="26" t="n">
        <x:v>2</x:v>
      </x:c>
      <x:c r="O11" s="26" t="str">
        <x:v>TBD_METHOD_SPECIFIC: range/resolution/bias/repeat spread/operator effects утверждаются до execution</x:v>
      </x:c>
      <x:c r="P1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1" s="26" t="str">
        <x:v>STOP при неясных правах, происхождении данных, этическом конфликте или невозможности сохранить исходные данные.</x:v>
      </x:c>
      <x:c r="R11" s="26" t="str">
        <x:v>TBD_ITEM_SPECIFIC_AND_LOCAL: пока маршрут отходов не утверждён, физическое выполнение блокировано.</x:v>
      </x:c>
      <x:c r="S11" s="26" t="str">
        <x:v>S0_OBSERVE_READ</x:v>
      </x:c>
      <x:c r="T11" s="26" t="str">
        <x:v>Самостоятельно после проверки источника; опасное действие из текста не выполняется.</x:v>
      </x:c>
      <x:c r="U11" s="26" t="n">
        <x:v>3</x:v>
      </x:c>
      <x:c r="V11" s="26" t="str">
        <x:v>ANY_SAFE_PERIOD</x:v>
      </x:c>
      <x:c r="W11" s="26" t="str">
        <x:v>records/science/SCI-METH-08/YYYY-MM-DD/</x:v>
      </x:c>
      <x:c r="X11" s="26" t="str">
        <x:v>PSP-006|SUP-PHY-004</x:v>
      </x:c>
      <x:c r="Y11" s="26" t="str">
        <x:v>PROVISIONAL_TOPIC_CANDIDATES_NOT_METHOD_REVIEWED</x:v>
      </x:c>
      <x:c r="Z11" s="26" t="str">
        <x:v>BLOCKED_UNTIL_EXACT_METHOD_SOURCE_SAFETY_AND_LOCAL_REVIEW</x:v>
      </x:c>
      <x:c r="AA11" s="26" t="str">
        <x:v>DESIGN_ONLY_NOT_EXECUTED</x:v>
      </x:c>
      <x:c r="AB1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" s="26" t="str">
        <x:v>0.4</x:v>
      </x:c>
    </x:row>
    <x:row r="12">
      <x:c r="A12" s="53" t="str">
        <x:v>PRJ-009</x:v>
      </x:c>
      <x:c r="B12" s="53" t="str">
        <x:v>SCI-METH-09</x:v>
      </x:c>
      <x:c r="C12" s="53" t="str">
        <x:v>METH</x:v>
      </x:c>
      <x:c r="D12" s="53" t="str">
        <x:v>Практическая проверка: Повторяемость, воспроизводимость и стабильность</x:v>
      </x:c>
      <x:c r="E12" s="53" t="str">
        <x:v>OBSERVATION_DATA_OR_CALCULATION</x:v>
      </x:c>
      <x:c r="F12" s="53" t="str">
        <x:v>Объяснить базовую модель, выполнить допустимую для класса риска проверку и документировать пределы по теме «Повторяемость, воспроизводимость и стабильность».</x:v>
      </x:c>
      <x:c r="G12" s="53" t="str">
        <x:v>SCI-METH-08|SCI-METH-01|право остановить опыт|инструкция оборудования</x:v>
      </x:c>
      <x:c r="H12" s="53" t="str">
        <x:v>TBD_NON_EXECUTABLE: точные item/model/material/range/PPE для протокол/неопределённость должны быть утверждены до начала</x:v>
      </x:c>
      <x:c r="I12" s="53" t="str">
        <x:v>Сформулировать вопрос; записать метод и единицы; выполнить серия повторов одним и двумя операторами; сохранить сырые данные; повторить; оценить неопределённость; сделать ограниченный вывод.</x:v>
      </x:c>
      <x:c r="J12" s="53" t="str">
        <x:v>серия повторов одним и двумя операторами</x:v>
      </x:c>
      <x:c r="K12" s="53" t="str">
        <x:v>SI или явно названный стандарт</x:v>
      </x:c>
      <x:c r="L12" s="53" t="str">
        <x:v>TBD_BEFORE_EXECUTION_FROM_EXACT_METHOD: диапазон/критерий фиксируется до результата; post-hoc подгонка запрещена.</x:v>
      </x:c>
      <x:c r="M12" s="53" t="str">
        <x:v>сырые данные + фото/скриншот при допустимости + расчёт + uncertainty + подпись reviewer + hash пакета</x:v>
      </x:c>
      <x:c r="N12" s="53" t="n">
        <x:v>2</x:v>
      </x:c>
      <x:c r="O12" s="53" t="str">
        <x:v>TBD_METHOD_SPECIFIC: range/resolution/bias/repeat spread/operator effects утверждаются до execution</x:v>
      </x:c>
      <x:c r="P1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2" s="53" t="str">
        <x:v>STOP при неясных правах, происхождении данных, этическом конфликте или невозможности сохранить исходные данные.</x:v>
      </x:c>
      <x:c r="R12" s="53" t="str">
        <x:v>TBD_ITEM_SPECIFIC_AND_LOCAL: пока маршрут отходов не утверждён, физическое выполнение блокировано.</x:v>
      </x:c>
      <x:c r="S12" s="53" t="str">
        <x:v>S0_OBSERVE_READ</x:v>
      </x:c>
      <x:c r="T12" s="53" t="str">
        <x:v>Самостоятельно после проверки источника; опасное действие из текста не выполняется.</x:v>
      </x:c>
      <x:c r="U12" s="53" t="n">
        <x:v>3</x:v>
      </x:c>
      <x:c r="V12" s="53" t="str">
        <x:v>ANY_SAFE_PERIOD</x:v>
      </x:c>
      <x:c r="W12" s="53" t="str">
        <x:v>records/science/SCI-METH-09/YYYY-MM-DD/</x:v>
      </x:c>
      <x:c r="X12" s="53" t="str">
        <x:v>PSP-001</x:v>
      </x:c>
      <x:c r="Y12" s="53" t="str">
        <x:v>PROVISIONAL_TOPIC_CANDIDATES_NOT_METHOD_REVIEWED</x:v>
      </x:c>
      <x:c r="Z12" s="53" t="str">
        <x:v>BLOCKED_UNTIL_EXACT_METHOD_SOURCE_SAFETY_AND_LOCAL_REVIEW</x:v>
      </x:c>
      <x:c r="AA12" s="53" t="str">
        <x:v>DESIGN_ONLY_NOT_EXECUTED</x:v>
      </x:c>
      <x:c r="AB1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" s="53" t="str">
        <x:v>0.4</x:v>
      </x:c>
    </x:row>
    <x:row r="13">
      <x:c r="A13" s="26" t="str">
        <x:v>PRJ-010</x:v>
      </x:c>
      <x:c r="B13" s="26" t="str">
        <x:v>SCI-METH-10</x:v>
      </x:c>
      <x:c r="C13" s="26" t="str">
        <x:v>METH</x:v>
      </x:c>
      <x:c r="D13" s="26" t="str">
        <x:v>Практическая проверка: Неопределённость и распространение ошибок</x:v>
      </x:c>
      <x:c r="E13" s="26" t="str">
        <x:v>OBSERVATION_DATA_OR_CALCULATION</x:v>
      </x:c>
      <x:c r="F13" s="26" t="str">
        <x:v>Объяснить базовую модель, выполнить допустимую для класса риска проверку и документировать пределы по теме «Неопределённость и распространение ошибок».</x:v>
      </x:c>
      <x:c r="G13" s="26" t="str">
        <x:v>SCI-METH-09|SCI-METH-01|право остановить опыт|инструкция оборудования</x:v>
      </x:c>
      <x:c r="H13" s="26" t="str">
        <x:v>TBD_NON_EXECUTABLE: точные item/model/material/range/PPE для протокол/неопределённость должны быть утверждены до начала</x:v>
      </x:c>
      <x:c r="I13" s="26" t="str">
        <x:v>Сформулировать вопрос; записать метод и единицы; выполнить бюджет неопределённости с допущениями; сохранить сырые данные; повторить; оценить неопределённость; сделать ограниченный вывод.</x:v>
      </x:c>
      <x:c r="J13" s="26" t="str">
        <x:v>бюджет неопределённости с допущениями</x:v>
      </x:c>
      <x:c r="K13" s="26" t="str">
        <x:v>SI или явно названный стандарт</x:v>
      </x:c>
      <x:c r="L13" s="26" t="str">
        <x:v>TBD_BEFORE_EXECUTION_FROM_EXACT_METHOD: диапазон/критерий фиксируется до результата; post-hoc подгонка запрещена.</x:v>
      </x:c>
      <x:c r="M13" s="26" t="str">
        <x:v>сырые данные + фото/скриншот при допустимости + расчёт + uncertainty + подпись reviewer + hash пакета</x:v>
      </x:c>
      <x:c r="N13" s="26" t="n">
        <x:v>2</x:v>
      </x:c>
      <x:c r="O13" s="26" t="str">
        <x:v>TBD_METHOD_SPECIFIC: range/resolution/bias/repeat spread/operator effects утверждаются до execution</x:v>
      </x:c>
      <x:c r="P1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3" s="26" t="str">
        <x:v>STOP при неясных правах, происхождении данных, этическом конфликте или невозможности сохранить исходные данные.</x:v>
      </x:c>
      <x:c r="R13" s="26" t="str">
        <x:v>TBD_ITEM_SPECIFIC_AND_LOCAL: пока маршрут отходов не утверждён, физическое выполнение блокировано.</x:v>
      </x:c>
      <x:c r="S13" s="26" t="str">
        <x:v>S0_OBSERVE_READ</x:v>
      </x:c>
      <x:c r="T13" s="26" t="str">
        <x:v>Самостоятельно после проверки источника; опасное действие из текста не выполняется.</x:v>
      </x:c>
      <x:c r="U13" s="26" t="n">
        <x:v>3</x:v>
      </x:c>
      <x:c r="V13" s="26" t="str">
        <x:v>ANY_SAFE_PERIOD</x:v>
      </x:c>
      <x:c r="W13" s="26" t="str">
        <x:v>records/science/SCI-METH-10/YYYY-MM-DD/</x:v>
      </x:c>
      <x:c r="X13" s="26" t="str">
        <x:v>PSP-006|SUP-PHY-004</x:v>
      </x:c>
      <x:c r="Y13" s="26" t="str">
        <x:v>PROVISIONAL_TOPIC_CANDIDATES_NOT_METHOD_REVIEWED</x:v>
      </x:c>
      <x:c r="Z13" s="26" t="str">
        <x:v>BLOCKED_UNTIL_EXACT_METHOD_SOURCE_SAFETY_AND_LOCAL_REVIEW</x:v>
      </x:c>
      <x:c r="AA13" s="26" t="str">
        <x:v>DESIGN_ONLY_NOT_EXECUTED</x:v>
      </x:c>
      <x:c r="AB1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" s="26" t="str">
        <x:v>0.4</x:v>
      </x:c>
    </x:row>
    <x:row r="14">
      <x:c r="A14" s="53" t="str">
        <x:v>PRJ-011</x:v>
      </x:c>
      <x:c r="B14" s="53" t="str">
        <x:v>SCI-METH-11</x:v>
      </x:c>
      <x:c r="C14" s="53" t="str">
        <x:v>METH</x:v>
      </x:c>
      <x:c r="D14" s="53" t="str">
        <x:v>Практическая проверка: Разведочный анализ и визуальная проверка данных</x:v>
      </x:c>
      <x:c r="E14" s="53" t="str">
        <x:v>OBSERVATION_DATA_OR_CALCULATION</x:v>
      </x:c>
      <x:c r="F14" s="53" t="str">
        <x:v>Объяснить базовую модель, выполнить допустимую для класса риска проверку и документировать пределы по теме «Разведочный анализ и визуальная проверка данных».</x:v>
      </x:c>
      <x:c r="G14" s="53" t="str">
        <x:v>SCI-METH-10|SCI-METH-01|право остановить опыт|инструкция оборудования</x:v>
      </x:c>
      <x:c r="H14" s="53" t="str">
        <x:v>TBD_NON_EXECUTABLE: точные item/model/material/range/PPE для протокол/неопределённость должны быть утверждены до начала</x:v>
      </x:c>
      <x:c r="I14" s="53" t="str">
        <x:v>Сформулировать вопрос; записать метод и единицы; выполнить график, выбросы, пропуски и сохранённые сырые данные; сохранить сырые данные; повторить; оценить неопределённость; сделать ограниченный вывод.</x:v>
      </x:c>
      <x:c r="J14" s="53" t="str">
        <x:v>график, выбросы, пропуски и сохранённые сырые данные</x:v>
      </x:c>
      <x:c r="K14" s="53" t="str">
        <x:v>SI или явно названный стандарт</x:v>
      </x:c>
      <x:c r="L14" s="53" t="str">
        <x:v>TBD_BEFORE_EXECUTION_FROM_EXACT_METHOD: диапазон/критерий фиксируется до результата; post-hoc подгонка запрещена.</x:v>
      </x:c>
      <x:c r="M14" s="53" t="str">
        <x:v>сырые данные + фото/скриншот при допустимости + расчёт + uncertainty + подпись reviewer + hash пакета</x:v>
      </x:c>
      <x:c r="N14" s="53" t="n">
        <x:v>2</x:v>
      </x:c>
      <x:c r="O14" s="53" t="str">
        <x:v>TBD_METHOD_SPECIFIC: range/resolution/bias/repeat spread/operator effects утверждаются до execution</x:v>
      </x:c>
      <x:c r="P1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4" s="53" t="str">
        <x:v>STOP при неясных правах, происхождении данных, этическом конфликте или невозможности сохранить исходные данные.</x:v>
      </x:c>
      <x:c r="R14" s="53" t="str">
        <x:v>TBD_ITEM_SPECIFIC_AND_LOCAL: пока маршрут отходов не утверждён, физическое выполнение блокировано.</x:v>
      </x:c>
      <x:c r="S14" s="53" t="str">
        <x:v>S0_OBSERVE_READ</x:v>
      </x:c>
      <x:c r="T14" s="53" t="str">
        <x:v>Самостоятельно после проверки источника; опасное действие из текста не выполняется.</x:v>
      </x:c>
      <x:c r="U14" s="53" t="n">
        <x:v>3</x:v>
      </x:c>
      <x:c r="V14" s="53" t="str">
        <x:v>ANY_SAFE_PERIOD</x:v>
      </x:c>
      <x:c r="W14" s="53" t="str">
        <x:v>records/science/SCI-METH-11/YYYY-MM-DD/</x:v>
      </x:c>
      <x:c r="X14" s="53" t="str">
        <x:v>PSP-001</x:v>
      </x:c>
      <x:c r="Y14" s="53" t="str">
        <x:v>PROVISIONAL_TOPIC_CANDIDATES_NOT_METHOD_REVIEWED</x:v>
      </x:c>
      <x:c r="Z14" s="53" t="str">
        <x:v>BLOCKED_UNTIL_EXACT_METHOD_SOURCE_SAFETY_AND_LOCAL_REVIEW</x:v>
      </x:c>
      <x:c r="AA14" s="53" t="str">
        <x:v>DESIGN_ONLY_NOT_EXECUTED</x:v>
      </x:c>
      <x:c r="AB1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" s="53" t="str">
        <x:v>0.4</x:v>
      </x:c>
    </x:row>
    <x:row r="15">
      <x:c r="A15" s="26" t="str">
        <x:v>PRJ-012</x:v>
      </x:c>
      <x:c r="B15" s="26" t="str">
        <x:v>SCI-METH-12</x:v>
      </x:c>
      <x:c r="C15" s="26" t="str">
        <x:v>METH</x:v>
      </x:c>
      <x:c r="D15" s="26" t="str">
        <x:v>Практическая проверка: Статистический вывод, корреляция и причинность</x:v>
      </x:c>
      <x:c r="E15" s="26" t="str">
        <x:v>OBSERVATION_DATA_OR_CALCULATION</x:v>
      </x:c>
      <x:c r="F15" s="26" t="str">
        <x:v>Объяснить базовую модель, выполнить допустимую для класса риска проверку и документировать пределы по теме «Статистический вывод, корреляция и причинность».</x:v>
      </x:c>
      <x:c r="G15" s="26" t="str">
        <x:v>SCI-METH-11|SCI-METH-01|право остановить опыт|инструкция оборудования</x:v>
      </x:c>
      <x:c r="H15" s="26" t="str">
        <x:v>TBD_NON_EXECUTABLE: точные item/model/material/range/PPE для протокол/неопределённость должны быть утверждены до начала</x:v>
      </x:c>
      <x:c r="I15" s="26" t="str">
        <x:v>Сформулировать вопрос; записать метод и единицы; выполнить явное разделение ассоциации, механизма и причинного вывода; сохранить сырые данные; повторить; оценить неопределённость; сделать ограниченный вывод.</x:v>
      </x:c>
      <x:c r="J15" s="26" t="str">
        <x:v>явное разделение ассоциации, механизма и причинного вывода</x:v>
      </x:c>
      <x:c r="K15" s="26" t="str">
        <x:v>SI или явно названный стандарт</x:v>
      </x:c>
      <x:c r="L15" s="26" t="str">
        <x:v>TBD_BEFORE_EXECUTION_FROM_EXACT_METHOD: диапазон/критерий фиксируется до результата; post-hoc подгонка запрещена.</x:v>
      </x:c>
      <x:c r="M15" s="26" t="str">
        <x:v>сырые данные + фото/скриншот при допустимости + расчёт + uncertainty + подпись reviewer + hash пакета</x:v>
      </x:c>
      <x:c r="N15" s="26" t="n">
        <x:v>2</x:v>
      </x:c>
      <x:c r="O15" s="26" t="str">
        <x:v>TBD_METHOD_SPECIFIC: range/resolution/bias/repeat spread/operator effects утверждаются до execution</x:v>
      </x:c>
      <x:c r="P1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5" s="26" t="str">
        <x:v>STOP при неясных правах, происхождении данных, этическом конфликте или невозможности сохранить исходные данные.</x:v>
      </x:c>
      <x:c r="R15" s="26" t="str">
        <x:v>TBD_ITEM_SPECIFIC_AND_LOCAL: пока маршрут отходов не утверждён, физическое выполнение блокировано.</x:v>
      </x:c>
      <x:c r="S15" s="26" t="str">
        <x:v>S0_OBSERVE_READ</x:v>
      </x:c>
      <x:c r="T15" s="26" t="str">
        <x:v>Самостоятельно после проверки источника; опасное действие из текста не выполняется.</x:v>
      </x:c>
      <x:c r="U15" s="26" t="n">
        <x:v>3</x:v>
      </x:c>
      <x:c r="V15" s="26" t="str">
        <x:v>ANY_SAFE_PERIOD</x:v>
      </x:c>
      <x:c r="W15" s="26" t="str">
        <x:v>records/science/SCI-METH-12/YYYY-MM-DD/</x:v>
      </x:c>
      <x:c r="X15" s="26" t="str">
        <x:v>PSP-001</x:v>
      </x:c>
      <x:c r="Y15" s="26" t="str">
        <x:v>PROVISIONAL_TOPIC_CANDIDATES_NOT_METHOD_REVIEWED</x:v>
      </x:c>
      <x:c r="Z15" s="26" t="str">
        <x:v>BLOCKED_UNTIL_EXACT_METHOD_SOURCE_SAFETY_AND_LOCAL_REVIEW</x:v>
      </x:c>
      <x:c r="AA15" s="26" t="str">
        <x:v>DESIGN_ONLY_NOT_EXECUTED</x:v>
      </x:c>
      <x:c r="AB1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" s="26" t="str">
        <x:v>0.4</x:v>
      </x:c>
    </x:row>
    <x:row r="16">
      <x:c r="A16" s="53" t="str">
        <x:v>PRJ-013</x:v>
      </x:c>
      <x:c r="B16" s="53" t="str">
        <x:v>SCI-METH-13</x:v>
      </x:c>
      <x:c r="C16" s="53" t="str">
        <x:v>METH</x:v>
      </x:c>
      <x:c r="D16" s="53" t="str">
        <x:v>Практическая проверка: Лабораторный журнал, версии и отрицательные результаты</x:v>
      </x:c>
      <x:c r="E16" s="53" t="str">
        <x:v>OBSERVATION_DATA_OR_CALCULATION</x:v>
      </x:c>
      <x:c r="F16" s="53" t="str">
        <x:v>Объяснить базовую модель, выполнить допустимую для класса риска проверку и документировать пределы по теме «Лабораторный журнал, версии и отрицательные результаты».</x:v>
      </x:c>
      <x:c r="G16" s="53" t="str">
        <x:v>SCI-METH-12|SCI-METH-01|право остановить опыт|инструкция оборудования</x:v>
      </x:c>
      <x:c r="H16" s="53" t="str">
        <x:v>TBD_NON_EXECUTABLE: точные item/model/material/range/PPE для протокол/неопределённость должны быть утверждены до начала</x:v>
      </x:c>
      <x:c r="I16" s="53" t="str">
        <x:v>Сформулировать вопрос; записать метод и единицы; выполнить неизменяемая запись метода, версии, ошибок и исходов; сохранить сырые данные; повторить; оценить неопределённость; сделать ограниченный вывод.</x:v>
      </x:c>
      <x:c r="J16" s="53" t="str">
        <x:v>неизменяемая запись метода, версии, ошибок и исходов</x:v>
      </x:c>
      <x:c r="K16" s="53" t="str">
        <x:v>SI или явно названный стандарт</x:v>
      </x:c>
      <x:c r="L16" s="53" t="str">
        <x:v>TBD_BEFORE_EXECUTION_FROM_EXACT_METHOD: диапазон/критерий фиксируется до результата; post-hoc подгонка запрещена.</x:v>
      </x:c>
      <x:c r="M16" s="53" t="str">
        <x:v>сырые данные + фото/скриншот при допустимости + расчёт + uncertainty + подпись reviewer + hash пакета</x:v>
      </x:c>
      <x:c r="N16" s="53" t="n">
        <x:v>2</x:v>
      </x:c>
      <x:c r="O16" s="53" t="str">
        <x:v>TBD_METHOD_SPECIFIC: range/resolution/bias/repeat spread/operator effects утверждаются до execution</x:v>
      </x:c>
      <x:c r="P1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6" s="53" t="str">
        <x:v>STOP при неясных правах, происхождении данных, этическом конфликте или невозможности сохранить исходные данные.</x:v>
      </x:c>
      <x:c r="R16" s="53" t="str">
        <x:v>TBD_ITEM_SPECIFIC_AND_LOCAL: пока маршрут отходов не утверждён, физическое выполнение блокировано.</x:v>
      </x:c>
      <x:c r="S16" s="53" t="str">
        <x:v>S0_OBSERVE_READ</x:v>
      </x:c>
      <x:c r="T16" s="53" t="str">
        <x:v>Самостоятельно после проверки источника; опасное действие из текста не выполняется.</x:v>
      </x:c>
      <x:c r="U16" s="53" t="n">
        <x:v>3</x:v>
      </x:c>
      <x:c r="V16" s="53" t="str">
        <x:v>ANY_SAFE_PERIOD</x:v>
      </x:c>
      <x:c r="W16" s="53" t="str">
        <x:v>records/science/SCI-METH-13/YYYY-MM-DD/</x:v>
      </x:c>
      <x:c r="X16" s="53" t="str">
        <x:v>PSP-120|SUP-MDE-005</x:v>
      </x:c>
      <x:c r="Y16" s="53" t="str">
        <x:v>PROVISIONAL_TOPIC_CANDIDATES_NOT_METHOD_REVIEWED</x:v>
      </x:c>
      <x:c r="Z16" s="53" t="str">
        <x:v>BLOCKED_UNTIL_EXACT_METHOD_SOURCE_SAFETY_AND_LOCAL_REVIEW</x:v>
      </x:c>
      <x:c r="AA16" s="53" t="str">
        <x:v>DESIGN_ONLY_NOT_EXECUTED</x:v>
      </x:c>
      <x:c r="AB1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" s="53" t="str">
        <x:v>0.4</x:v>
      </x:c>
    </x:row>
    <x:row r="17">
      <x:c r="A17" s="26" t="str">
        <x:v>PRJ-014</x:v>
      </x:c>
      <x:c r="B17" s="26" t="str">
        <x:v>SCI-METH-14</x:v>
      </x:c>
      <x:c r="C17" s="26" t="str">
        <x:v>METH</x:v>
      </x:c>
      <x:c r="D17" s="26" t="str">
        <x:v>Практическая проверка: Этика, риск, согласие и право остановить опыт</x:v>
      </x:c>
      <x:c r="E17" s="26" t="str">
        <x:v>OBSERVATION_DATA_OR_CALCULATION</x:v>
      </x:c>
      <x:c r="F17" s="26" t="str">
        <x:v>Объяснить базовую модель, выполнить допустимую для класса риска проверку и документировать пределы по теме «Этика, риск, согласие и право остановить опыт».</x:v>
      </x:c>
      <x:c r="G17" s="26" t="str">
        <x:v>SCI-METH-13|SCI-METH-01|право остановить опыт|инструкция оборудования</x:v>
      </x:c>
      <x:c r="H17" s="26" t="str">
        <x:v>TBD_NON_EXECUTABLE: точные item/model/material/range/PPE для протокол/неопределённость должны быть утверждены до начала</x:v>
      </x:c>
      <x:c r="I17" s="26" t="str">
        <x:v>Сформулировать вопрос; записать метод и единицы; выполнить предварительный риск-анализ и подписанное стоп-правило; сохранить сырые данные; повторить; оценить неопределённость; сделать ограниченный вывод.</x:v>
      </x:c>
      <x:c r="J17" s="26" t="str">
        <x:v>предварительный риск-анализ и подписанное стоп-правило</x:v>
      </x:c>
      <x:c r="K17" s="26" t="str">
        <x:v>SI или явно названный стандарт</x:v>
      </x:c>
      <x:c r="L17" s="26" t="str">
        <x:v>TBD_BEFORE_EXECUTION_FROM_EXACT_METHOD: диапазон/критерий фиксируется до результата; post-hoc подгонка запрещена.</x:v>
      </x:c>
      <x:c r="M17" s="26" t="str">
        <x:v>сырые данные + фото/скриншот при допустимости + расчёт + uncertainty + подпись reviewer + hash пакета</x:v>
      </x:c>
      <x:c r="N17" s="26" t="n">
        <x:v>2</x:v>
      </x:c>
      <x:c r="O17" s="26" t="str">
        <x:v>TBD_METHOD_SPECIFIC: range/resolution/bias/repeat spread/operator effects утверждаются до execution</x:v>
      </x:c>
      <x:c r="P1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7" s="26" t="str">
        <x:v>STOP при неясных правах, происхождении данных, этическом конфликте или невозможности сохранить исходные данные.</x:v>
      </x:c>
      <x:c r="R17" s="26" t="str">
        <x:v>TBD_ITEM_SPECIFIC_AND_LOCAL: пока маршрут отходов не утверждён, физическое выполнение блокировано.</x:v>
      </x:c>
      <x:c r="S17" s="26" t="str">
        <x:v>S0_OBSERVE_READ</x:v>
      </x:c>
      <x:c r="T17" s="26" t="str">
        <x:v>Самостоятельно после проверки источника; опасное действие из текста не выполняется.</x:v>
      </x:c>
      <x:c r="U17" s="26" t="n">
        <x:v>3</x:v>
      </x:c>
      <x:c r="V17" s="26" t="str">
        <x:v>ANY_SAFE_PERIOD</x:v>
      </x:c>
      <x:c r="W17" s="26" t="str">
        <x:v>records/science/SCI-METH-14/YYYY-MM-DD/</x:v>
      </x:c>
      <x:c r="X17" s="26" t="str">
        <x:v>PSP-104|PSP-119</x:v>
      </x:c>
      <x:c r="Y17" s="26" t="str">
        <x:v>PROVISIONAL_TOPIC_CANDIDATES_NOT_METHOD_REVIEWED</x:v>
      </x:c>
      <x:c r="Z17" s="26" t="str">
        <x:v>BLOCKED_UNTIL_EXACT_METHOD_SOURCE_SAFETY_AND_LOCAL_REVIEW</x:v>
      </x:c>
      <x:c r="AA17" s="26" t="str">
        <x:v>DESIGN_ONLY_NOT_EXECUTED</x:v>
      </x:c>
      <x:c r="AB1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" s="26" t="str">
        <x:v>0.4</x:v>
      </x:c>
    </x:row>
    <x:row r="18">
      <x:c r="A18" s="53" t="str">
        <x:v>PRJ-015</x:v>
      </x:c>
      <x:c r="B18" s="53" t="str">
        <x:v>SCI-MATH-01</x:v>
      </x:c>
      <x:c r="C18" s="53" t="str">
        <x:v>MATH</x:v>
      </x:c>
      <x:c r="D18" s="53" t="str">
        <x:v>Практическая проверка: Арифметика, порядок действий и оценка порядка величины</x:v>
      </x:c>
      <x:c r="E18" s="53" t="str">
        <x:v>OBSERVATION_DATA_OR_CALCULATION</x:v>
      </x:c>
      <x:c r="F18" s="53" t="str">
        <x:v>Объяснить базовую модель, выполнить допустимую для класса риска проверку и документировать пределы по теме «Арифметика, порядок действий и оценка порядка величины».</x:v>
      </x:c>
      <x:c r="G18" s="53" t="str">
        <x:v>SCI-METH-01|SCI-METH-07|SCI-METH-14|право остановить опыт|инструкция оборудования</x:v>
      </x:c>
      <x:c r="H18" s="53" t="str">
        <x:v>TBD_NON_EXECUTABLE: точные item/model/material/range/PPE для расчёт/невязка должны быть утверждены до начала</x:v>
      </x:c>
      <x:c r="I18" s="53" t="str">
        <x:v>Сформулировать вопрос; записать метод и единицы; выполнить ручной и независимый расчёт с оценкой сверху/снизу; сохранить сырые данные; повторить; оценить неопределённость; сделать ограниченный вывод.</x:v>
      </x:c>
      <x:c r="J18" s="53" t="str">
        <x:v>ручной и независимый расчёт с оценкой сверху/снизу</x:v>
      </x:c>
      <x:c r="K18" s="53" t="str">
        <x:v>SI или явно названный стандарт</x:v>
      </x:c>
      <x:c r="L18" s="53" t="str">
        <x:v>TBD_BEFORE_EXECUTION_FROM_EXACT_METHOD: диапазон/критерий фиксируется до результата; post-hoc подгонка запрещена.</x:v>
      </x:c>
      <x:c r="M18" s="53" t="str">
        <x:v>сырые данные + фото/скриншот при допустимости + расчёт + uncertainty + подпись reviewer + hash пакета</x:v>
      </x:c>
      <x:c r="N18" s="53" t="n">
        <x:v>2</x:v>
      </x:c>
      <x:c r="O18" s="53" t="str">
        <x:v>TBD_METHOD_SPECIFIC: range/resolution/bias/repeat spread/operator effects утверждаются до execution</x:v>
      </x:c>
      <x:c r="P1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" s="53" t="str">
        <x:v>STOP при неясных правах, происхождении данных, этическом конфликте или невозможности сохранить исходные данные.</x:v>
      </x:c>
      <x:c r="R18" s="53" t="str">
        <x:v>TBD_ITEM_SPECIFIC_AND_LOCAL: пока маршрут отходов не утверждён, физическое выполнение блокировано.</x:v>
      </x:c>
      <x:c r="S18" s="53" t="str">
        <x:v>S0_OBSERVE_READ</x:v>
      </x:c>
      <x:c r="T18" s="53" t="str">
        <x:v>Самостоятельно после проверки источника; опасное действие из текста не выполняется.</x:v>
      </x:c>
      <x:c r="U18" s="53" t="n">
        <x:v>3</x:v>
      </x:c>
      <x:c r="V18" s="53" t="str">
        <x:v>ANY_SAFE_PERIOD</x:v>
      </x:c>
      <x:c r="W18" s="53" t="str">
        <x:v>records/science/SCI-MATH-01/YYYY-MM-DD/</x:v>
      </x:c>
      <x:c r="X18" s="53" t="str">
        <x:v>PSP-011</x:v>
      </x:c>
      <x:c r="Y18" s="53" t="str">
        <x:v>PROVISIONAL_TOPIC_CANDIDATES_NOT_METHOD_REVIEWED</x:v>
      </x:c>
      <x:c r="Z18" s="53" t="str">
        <x:v>BLOCKED_UNTIL_EXACT_METHOD_SOURCE_SAFETY_AND_LOCAL_REVIEW</x:v>
      </x:c>
      <x:c r="AA18" s="53" t="str">
        <x:v>DESIGN_ONLY_NOT_EXECUTED</x:v>
      </x:c>
      <x:c r="AB1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" s="53" t="str">
        <x:v>0.4</x:v>
      </x:c>
    </x:row>
    <x:row r="19">
      <x:c r="A19" s="26" t="str">
        <x:v>PRJ-016</x:v>
      </x:c>
      <x:c r="B19" s="26" t="str">
        <x:v>SCI-MATH-02</x:v>
      </x:c>
      <x:c r="C19" s="26" t="str">
        <x:v>MATH</x:v>
      </x:c>
      <x:c r="D19" s="26" t="str">
        <x:v>Практическая проверка: Дроби, отношения, проценты и пропорции</x:v>
      </x:c>
      <x:c r="E19" s="26" t="str">
        <x:v>OBSERVATION_DATA_OR_CALCULATION</x:v>
      </x:c>
      <x:c r="F19" s="26" t="str">
        <x:v>Объяснить базовую модель, выполнить допустимую для класса риска проверку и документировать пределы по теме «Дроби, отношения, проценты и пропорции».</x:v>
      </x:c>
      <x:c r="G19" s="26" t="str">
        <x:v>SCI-MATH-01|SCI-METH-13|право остановить опыт|инструкция оборудования</x:v>
      </x:c>
      <x:c r="H19" s="26" t="str">
        <x:v>TBD_NON_EXECUTABLE: точные item/model/material/range/PPE для расчёт/невязка должны быть утверждены до начала</x:v>
      </x:c>
      <x:c r="I19" s="26" t="str">
        <x:v>Сформулировать вопрос; записать метод и единицы; выполнить масштабирование рецепта или ресурса с проверкой суммы; сохранить сырые данные; повторить; оценить неопределённость; сделать ограниченный вывод.</x:v>
      </x:c>
      <x:c r="J19" s="26" t="str">
        <x:v>масштабирование рецепта или ресурса с проверкой суммы</x:v>
      </x:c>
      <x:c r="K19" s="26" t="str">
        <x:v>SI или явно названный стандарт</x:v>
      </x:c>
      <x:c r="L19" s="26" t="str">
        <x:v>TBD_BEFORE_EXECUTION_FROM_EXACT_METHOD: диапазон/критерий фиксируется до результата; post-hoc подгонка запрещена.</x:v>
      </x:c>
      <x:c r="M19" s="26" t="str">
        <x:v>сырые данные + фото/скриншот при допустимости + расчёт + uncertainty + подпись reviewer + hash пакета</x:v>
      </x:c>
      <x:c r="N19" s="26" t="n">
        <x:v>2</x:v>
      </x:c>
      <x:c r="O19" s="26" t="str">
        <x:v>TBD_METHOD_SPECIFIC: range/resolution/bias/repeat spread/operator effects утверждаются до execution</x:v>
      </x:c>
      <x:c r="P1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" s="26" t="str">
        <x:v>STOP при неясных правах, происхождении данных, этическом конфликте или невозможности сохранить исходные данные.</x:v>
      </x:c>
      <x:c r="R19" s="26" t="str">
        <x:v>TBD_ITEM_SPECIFIC_AND_LOCAL: пока маршрут отходов не утверждён, физическое выполнение блокировано.</x:v>
      </x:c>
      <x:c r="S19" s="26" t="str">
        <x:v>S0_OBSERVE_READ</x:v>
      </x:c>
      <x:c r="T19" s="26" t="str">
        <x:v>Самостоятельно после проверки источника; опасное действие из текста не выполняется.</x:v>
      </x:c>
      <x:c r="U19" s="26" t="n">
        <x:v>3</x:v>
      </x:c>
      <x:c r="V19" s="26" t="str">
        <x:v>ANY_SAFE_PERIOD</x:v>
      </x:c>
      <x:c r="W19" s="26" t="str">
        <x:v>records/science/SCI-MATH-02/YYYY-MM-DD/</x:v>
      </x:c>
      <x:c r="X19" s="26" t="str">
        <x:v>PSP-011</x:v>
      </x:c>
      <x:c r="Y19" s="26" t="str">
        <x:v>PROVISIONAL_TOPIC_CANDIDATES_NOT_METHOD_REVIEWED</x:v>
      </x:c>
      <x:c r="Z19" s="26" t="str">
        <x:v>BLOCKED_UNTIL_EXACT_METHOD_SOURCE_SAFETY_AND_LOCAL_REVIEW</x:v>
      </x:c>
      <x:c r="AA19" s="26" t="str">
        <x:v>DESIGN_ONLY_NOT_EXECUTED</x:v>
      </x:c>
      <x:c r="AB1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" s="26" t="str">
        <x:v>0.4</x:v>
      </x:c>
    </x:row>
    <x:row r="20">
      <x:c r="A20" s="53" t="str">
        <x:v>PRJ-017</x:v>
      </x:c>
      <x:c r="B20" s="53" t="str">
        <x:v>SCI-MATH-03</x:v>
      </x:c>
      <x:c r="C20" s="53" t="str">
        <x:v>MATH</x:v>
      </x:c>
      <x:c r="D20" s="53" t="str">
        <x:v>Практическая проверка: Единицы, приставки и перевод величин</x:v>
      </x:c>
      <x:c r="E20" s="53" t="str">
        <x:v>OBSERVATION_DATA_OR_CALCULATION</x:v>
      </x:c>
      <x:c r="F20" s="53" t="str">
        <x:v>Объяснить базовую модель, выполнить допустимую для класса риска проверку и документировать пределы по теме «Единицы, приставки и перевод величин».</x:v>
      </x:c>
      <x:c r="G20" s="53" t="str">
        <x:v>SCI-MATH-02|SCI-METH-13|право остановить опыт|инструкция оборудования</x:v>
      </x:c>
      <x:c r="H20" s="53" t="str">
        <x:v>TBD_NON_EXECUTABLE: точные item/model/material/range/PPE для расчёт/невязка должны быть утверждены до начала</x:v>
      </x:c>
      <x:c r="I20" s="53" t="str">
        <x:v>Сформулировать вопрос; записать метод и единицы; выполнить двухмаршрутный перевод единиц без потери размерности; сохранить сырые данные; повторить; оценить неопределённость; сделать ограниченный вывод.</x:v>
      </x:c>
      <x:c r="J20" s="53" t="str">
        <x:v>двухмаршрутный перевод единиц без потери размерности</x:v>
      </x:c>
      <x:c r="K20" s="53" t="str">
        <x:v>SI или явно названный стандарт</x:v>
      </x:c>
      <x:c r="L20" s="53" t="str">
        <x:v>TBD_BEFORE_EXECUTION_FROM_EXACT_METHOD: диапазон/критерий фиксируется до результата; post-hoc подгонка запрещена.</x:v>
      </x:c>
      <x:c r="M20" s="53" t="str">
        <x:v>сырые данные + фото/скриншот при допустимости + расчёт + uncertainty + подпись reviewer + hash пакета</x:v>
      </x:c>
      <x:c r="N20" s="53" t="n">
        <x:v>2</x:v>
      </x:c>
      <x:c r="O20" s="53" t="str">
        <x:v>TBD_METHOD_SPECIFIC: range/resolution/bias/repeat spread/operator effects утверждаются до execution</x:v>
      </x:c>
      <x:c r="P2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" s="53" t="str">
        <x:v>STOP при неясных правах, происхождении данных, этическом конфликте или невозможности сохранить исходные данные.</x:v>
      </x:c>
      <x:c r="R20" s="53" t="str">
        <x:v>TBD_ITEM_SPECIFIC_AND_LOCAL: пока маршрут отходов не утверждён, физическое выполнение блокировано.</x:v>
      </x:c>
      <x:c r="S20" s="53" t="str">
        <x:v>S0_OBSERVE_READ</x:v>
      </x:c>
      <x:c r="T20" s="53" t="str">
        <x:v>Самостоятельно после проверки источника; опасное действие из текста не выполняется.</x:v>
      </x:c>
      <x:c r="U20" s="53" t="n">
        <x:v>3</x:v>
      </x:c>
      <x:c r="V20" s="53" t="str">
        <x:v>ANY_SAFE_PERIOD</x:v>
      </x:c>
      <x:c r="W20" s="53" t="str">
        <x:v>records/science/SCI-MATH-03/YYYY-MM-DD/</x:v>
      </x:c>
      <x:c r="X20" s="53" t="str">
        <x:v>PSP-002|PSP-003</x:v>
      </x:c>
      <x:c r="Y20" s="53" t="str">
        <x:v>PROVISIONAL_TOPIC_CANDIDATES_NOT_METHOD_REVIEWED</x:v>
      </x:c>
      <x:c r="Z20" s="53" t="str">
        <x:v>BLOCKED_UNTIL_EXACT_METHOD_SOURCE_SAFETY_AND_LOCAL_REVIEW</x:v>
      </x:c>
      <x:c r="AA20" s="53" t="str">
        <x:v>DESIGN_ONLY_NOT_EXECUTED</x:v>
      </x:c>
      <x:c r="AB2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" s="53" t="str">
        <x:v>0.4</x:v>
      </x:c>
    </x:row>
    <x:row r="21">
      <x:c r="A21" s="26" t="str">
        <x:v>PRJ-018</x:v>
      </x:c>
      <x:c r="B21" s="26" t="str">
        <x:v>SCI-MATH-04</x:v>
      </x:c>
      <x:c r="C21" s="26" t="str">
        <x:v>MATH</x:v>
      </x:c>
      <x:c r="D21" s="26" t="str">
        <x:v>Практическая проверка: Алгебраические выражения и уравнения</x:v>
      </x:c>
      <x:c r="E21" s="26" t="str">
        <x:v>OBSERVATION_DATA_OR_CALCULATION</x:v>
      </x:c>
      <x:c r="F21" s="26" t="str">
        <x:v>Объяснить базовую модель, выполнить допустимую для класса риска проверку и документировать пределы по теме «Алгебраические выражения и уравнения».</x:v>
      </x:c>
      <x:c r="G21" s="26" t="str">
        <x:v>SCI-MATH-03|SCI-METH-13|право остановить опыт|инструкция оборудования</x:v>
      </x:c>
      <x:c r="H21" s="26" t="str">
        <x:v>TBD_NON_EXECUTABLE: точные item/model/material/range/PPE для расчёт/невязка должны быть утверждены до начала</x:v>
      </x:c>
      <x:c r="I21" s="26" t="str">
        <x:v>Сформулировать вопрос; записать метод и единицы; выполнить решение и обратная подстановка; сохранить сырые данные; повторить; оценить неопределённость; сделать ограниченный вывод.</x:v>
      </x:c>
      <x:c r="J21" s="26" t="str">
        <x:v>решение и обратная подстановка</x:v>
      </x:c>
      <x:c r="K21" s="26" t="str">
        <x:v>SI или явно названный стандарт</x:v>
      </x:c>
      <x:c r="L21" s="26" t="str">
        <x:v>TBD_BEFORE_EXECUTION_FROM_EXACT_METHOD: диапазон/критерий фиксируется до результата; post-hoc подгонка запрещена.</x:v>
      </x:c>
      <x:c r="M21" s="26" t="str">
        <x:v>сырые данные + фото/скриншот при допустимости + расчёт + uncertainty + подпись reviewer + hash пакета</x:v>
      </x:c>
      <x:c r="N21" s="26" t="n">
        <x:v>2</x:v>
      </x:c>
      <x:c r="O21" s="26" t="str">
        <x:v>TBD_METHOD_SPECIFIC: range/resolution/bias/repeat spread/operator effects утверждаются до execution</x:v>
      </x:c>
      <x:c r="P2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" s="26" t="str">
        <x:v>STOP при неясных правах, происхождении данных, этическом конфликте или невозможности сохранить исходные данные.</x:v>
      </x:c>
      <x:c r="R21" s="26" t="str">
        <x:v>TBD_ITEM_SPECIFIC_AND_LOCAL: пока маршрут отходов не утверждён, физическое выполнение блокировано.</x:v>
      </x:c>
      <x:c r="S21" s="26" t="str">
        <x:v>S0_OBSERVE_READ</x:v>
      </x:c>
      <x:c r="T21" s="26" t="str">
        <x:v>Самостоятельно после проверки источника; опасное действие из текста не выполняется.</x:v>
      </x:c>
      <x:c r="U21" s="26" t="n">
        <x:v>3</x:v>
      </x:c>
      <x:c r="V21" s="26" t="str">
        <x:v>ANY_SAFE_PERIOD</x:v>
      </x:c>
      <x:c r="W21" s="26" t="str">
        <x:v>records/science/SCI-MATH-04/YYYY-MM-DD/</x:v>
      </x:c>
      <x:c r="X21" s="26" t="str">
        <x:v>PSP-012</x:v>
      </x:c>
      <x:c r="Y21" s="26" t="str">
        <x:v>PROVISIONAL_TOPIC_CANDIDATES_NOT_METHOD_REVIEWED</x:v>
      </x:c>
      <x:c r="Z21" s="26" t="str">
        <x:v>BLOCKED_UNTIL_EXACT_METHOD_SOURCE_SAFETY_AND_LOCAL_REVIEW</x:v>
      </x:c>
      <x:c r="AA21" s="26" t="str">
        <x:v>DESIGN_ONLY_NOT_EXECUTED</x:v>
      </x:c>
      <x:c r="AB2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" s="26" t="str">
        <x:v>0.4</x:v>
      </x:c>
    </x:row>
    <x:row r="22">
      <x:c r="A22" s="53" t="str">
        <x:v>PRJ-019</x:v>
      </x:c>
      <x:c r="B22" s="53" t="str">
        <x:v>SCI-MATH-05</x:v>
      </x:c>
      <x:c r="C22" s="53" t="str">
        <x:v>MATH</x:v>
      </x:c>
      <x:c r="D22" s="53" t="str">
        <x:v>Практическая проверка: Функции, таблицы и графики</x:v>
      </x:c>
      <x:c r="E22" s="53" t="str">
        <x:v>OBSERVATION_DATA_OR_CALCULATION</x:v>
      </x:c>
      <x:c r="F22" s="53" t="str">
        <x:v>Объяснить базовую модель, выполнить допустимую для класса риска проверку и документировать пределы по теме «Функции, таблицы и графики».</x:v>
      </x:c>
      <x:c r="G22" s="53" t="str">
        <x:v>SCI-MATH-04|SCI-METH-13|право остановить опыт|инструкция оборудования</x:v>
      </x:c>
      <x:c r="H22" s="53" t="str">
        <x:v>TBD_NON_EXECUTABLE: точные item/model/material/range/PPE для расчёт/невязка должны быть утверждены до начала</x:v>
      </x:c>
      <x:c r="I22" s="53" t="str">
        <x:v>Сформулировать вопрос; записать метод и единицы; выполнить построение таблицы значений и интерпретация наклона; сохранить сырые данные; повторить; оценить неопределённость; сделать ограниченный вывод.</x:v>
      </x:c>
      <x:c r="J22" s="53" t="str">
        <x:v>построение таблицы значений и интерпретация наклона</x:v>
      </x:c>
      <x:c r="K22" s="53" t="str">
        <x:v>SI или явно названный стандарт</x:v>
      </x:c>
      <x:c r="L22" s="53" t="str">
        <x:v>TBD_BEFORE_EXECUTION_FROM_EXACT_METHOD: диапазон/критерий фиксируется до результата; post-hoc подгонка запрещена.</x:v>
      </x:c>
      <x:c r="M22" s="53" t="str">
        <x:v>сырые данные + фото/скриншот при допустимости + расчёт + uncertainty + подпись reviewer + hash пакета</x:v>
      </x:c>
      <x:c r="N22" s="53" t="n">
        <x:v>2</x:v>
      </x:c>
      <x:c r="O22" s="53" t="str">
        <x:v>TBD_METHOD_SPECIFIC: range/resolution/bias/repeat spread/operator effects утверждаются до execution</x:v>
      </x:c>
      <x:c r="P2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" s="53" t="str">
        <x:v>STOP при неясных правах, происхождении данных, этическом конфликте или невозможности сохранить исходные данные.</x:v>
      </x:c>
      <x:c r="R22" s="53" t="str">
        <x:v>TBD_ITEM_SPECIFIC_AND_LOCAL: пока маршрут отходов не утверждён, физическое выполнение блокировано.</x:v>
      </x:c>
      <x:c r="S22" s="53" t="str">
        <x:v>S0_OBSERVE_READ</x:v>
      </x:c>
      <x:c r="T22" s="53" t="str">
        <x:v>Самостоятельно после проверки источника; опасное действие из текста не выполняется.</x:v>
      </x:c>
      <x:c r="U22" s="53" t="n">
        <x:v>3</x:v>
      </x:c>
      <x:c r="V22" s="53" t="str">
        <x:v>ANY_SAFE_PERIOD</x:v>
      </x:c>
      <x:c r="W22" s="53" t="str">
        <x:v>records/science/SCI-MATH-05/YYYY-MM-DD/</x:v>
      </x:c>
      <x:c r="X22" s="53" t="str">
        <x:v>PSP-012</x:v>
      </x:c>
      <x:c r="Y22" s="53" t="str">
        <x:v>PROVISIONAL_TOPIC_CANDIDATES_NOT_METHOD_REVIEWED</x:v>
      </x:c>
      <x:c r="Z22" s="53" t="str">
        <x:v>BLOCKED_UNTIL_EXACT_METHOD_SOURCE_SAFETY_AND_LOCAL_REVIEW</x:v>
      </x:c>
      <x:c r="AA22" s="53" t="str">
        <x:v>DESIGN_ONLY_NOT_EXECUTED</x:v>
      </x:c>
      <x:c r="AB2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" s="53" t="str">
        <x:v>0.4</x:v>
      </x:c>
    </x:row>
    <x:row r="23">
      <x:c r="A23" s="26" t="str">
        <x:v>PRJ-020</x:v>
      </x:c>
      <x:c r="B23" s="26" t="str">
        <x:v>SCI-MATH-06</x:v>
      </x:c>
      <x:c r="C23" s="26" t="str">
        <x:v>MATH</x:v>
      </x:c>
      <x:c r="D23" s="26" t="str">
        <x:v>Практическая проверка: Евклидова геометрия и площадь/объём</x:v>
      </x:c>
      <x:c r="E23" s="26" t="str">
        <x:v>OBSERVATION_DATA_OR_CALCULATION</x:v>
      </x:c>
      <x:c r="F23" s="26" t="str">
        <x:v>Объяснить базовую модель, выполнить допустимую для класса риска проверку и документировать пределы по теме «Евклидова геометрия и площадь/объём».</x:v>
      </x:c>
      <x:c r="G23" s="26" t="str">
        <x:v>SCI-MATH-05|SCI-METH-13|право остановить опыт|инструкция оборудования</x:v>
      </x:c>
      <x:c r="H23" s="26" t="str">
        <x:v>TBD_NON_EXECUTABLE: точные item/model/material/range/PPE для расчёт/невязка должны быть утверждены до начала</x:v>
      </x:c>
      <x:c r="I23" s="26" t="str">
        <x:v>Сформулировать вопрос; записать метод и единицы; выполнить измерение формы и проверка вычисленного объёма; сохранить сырые данные; повторить; оценить неопределённость; сделать ограниченный вывод.</x:v>
      </x:c>
      <x:c r="J23" s="26" t="str">
        <x:v>измерение формы и проверка вычисленного объёма</x:v>
      </x:c>
      <x:c r="K23" s="26" t="str">
        <x:v>SI или явно названный стандарт</x:v>
      </x:c>
      <x:c r="L23" s="26" t="str">
        <x:v>TBD_BEFORE_EXECUTION_FROM_EXACT_METHOD: диапазон/критерий фиксируется до результата; post-hoc подгонка запрещена.</x:v>
      </x:c>
      <x:c r="M23" s="26" t="str">
        <x:v>сырые данные + фото/скриншот при допустимости + расчёт + uncertainty + подпись reviewer + hash пакета</x:v>
      </x:c>
      <x:c r="N23" s="26" t="n">
        <x:v>2</x:v>
      </x:c>
      <x:c r="O23" s="26" t="str">
        <x:v>TBD_METHOD_SPECIFIC: range/resolution/bias/repeat spread/operator effects утверждаются до execution</x:v>
      </x:c>
      <x:c r="P2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" s="26" t="str">
        <x:v>STOP при неясных правах, происхождении данных, этическом конфликте или невозможности сохранить исходные данные.</x:v>
      </x:c>
      <x:c r="R23" s="26" t="str">
        <x:v>TBD_ITEM_SPECIFIC_AND_LOCAL: пока маршрут отходов не утверждён, физическое выполнение блокировано.</x:v>
      </x:c>
      <x:c r="S23" s="26" t="str">
        <x:v>S0_OBSERVE_READ</x:v>
      </x:c>
      <x:c r="T23" s="26" t="str">
        <x:v>Самостоятельно после проверки источника; опасное действие из текста не выполняется.</x:v>
      </x:c>
      <x:c r="U23" s="26" t="n">
        <x:v>3</x:v>
      </x:c>
      <x:c r="V23" s="26" t="str">
        <x:v>ANY_SAFE_PERIOD</x:v>
      </x:c>
      <x:c r="W23" s="26" t="str">
        <x:v>records/science/SCI-MATH-06/YYYY-MM-DD/</x:v>
      </x:c>
      <x:c r="X23" s="26" t="str">
        <x:v>PSP-012</x:v>
      </x:c>
      <x:c r="Y23" s="26" t="str">
        <x:v>PROVISIONAL_TOPIC_CANDIDATES_NOT_METHOD_REVIEWED</x:v>
      </x:c>
      <x:c r="Z23" s="26" t="str">
        <x:v>BLOCKED_UNTIL_EXACT_METHOD_SOURCE_SAFETY_AND_LOCAL_REVIEW</x:v>
      </x:c>
      <x:c r="AA23" s="26" t="str">
        <x:v>DESIGN_ONLY_NOT_EXECUTED</x:v>
      </x:c>
      <x:c r="AB2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" s="26" t="str">
        <x:v>0.4</x:v>
      </x:c>
    </x:row>
    <x:row r="24">
      <x:c r="A24" s="53" t="str">
        <x:v>PRJ-021</x:v>
      </x:c>
      <x:c r="B24" s="53" t="str">
        <x:v>SCI-MATH-07</x:v>
      </x:c>
      <x:c r="C24" s="53" t="str">
        <x:v>MATH</x:v>
      </x:c>
      <x:c r="D24" s="53" t="str">
        <x:v>Практическая проверка: Тригонометрия и непрямые измерения</x:v>
      </x:c>
      <x:c r="E24" s="53" t="str">
        <x:v>OBSERVATION_DATA_OR_CALCULATION</x:v>
      </x:c>
      <x:c r="F24" s="53" t="str">
        <x:v>Объяснить базовую модель, выполнить допустимую для класса риска проверку и документировать пределы по теме «Тригонометрия и непрямые измерения».</x:v>
      </x:c>
      <x:c r="G24" s="53" t="str">
        <x:v>SCI-MATH-06|SCI-METH-13|право остановить опыт|инструкция оборудования</x:v>
      </x:c>
      <x:c r="H24" s="53" t="str">
        <x:v>TBD_NON_EXECUTABLE: точные item/model/material/range/PPE для расчёт/невязка должны быть утверждены до начала</x:v>
      </x:c>
      <x:c r="I24" s="53" t="str">
        <x:v>Сформулировать вопрос; записать метод и единицы; выполнить оценка высоты безопасного объекта по углу и базе; сохранить сырые данные; повторить; оценить неопределённость; сделать ограниченный вывод.</x:v>
      </x:c>
      <x:c r="J24" s="53" t="str">
        <x:v>оценка высоты безопасного объекта по углу и базе</x:v>
      </x:c>
      <x:c r="K24" s="53" t="str">
        <x:v>SI или явно названный стандарт</x:v>
      </x:c>
      <x:c r="L24" s="53" t="str">
        <x:v>TBD_BEFORE_EXECUTION_FROM_EXACT_METHOD: диапазон/критерий фиксируется до результата; post-hoc подгонка запрещена.</x:v>
      </x:c>
      <x:c r="M24" s="53" t="str">
        <x:v>сырые данные + фото/скриншот при допустимости + расчёт + uncertainty + подпись reviewer + hash пакета</x:v>
      </x:c>
      <x:c r="N24" s="53" t="n">
        <x:v>2</x:v>
      </x:c>
      <x:c r="O24" s="53" t="str">
        <x:v>TBD_METHOD_SPECIFIC: range/resolution/bias/repeat spread/operator effects утверждаются до execution</x:v>
      </x:c>
      <x:c r="P2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4" s="53" t="str">
        <x:v>STOP при неясных правах, происхождении данных, этическом конфликте или невозможности сохранить исходные данные.</x:v>
      </x:c>
      <x:c r="R24" s="53" t="str">
        <x:v>TBD_ITEM_SPECIFIC_AND_LOCAL: пока маршрут отходов не утверждён, физическое выполнение блокировано.</x:v>
      </x:c>
      <x:c r="S24" s="53" t="str">
        <x:v>S0_OBSERVE_READ</x:v>
      </x:c>
      <x:c r="T24" s="53" t="str">
        <x:v>Самостоятельно после проверки источника; опасное действие из текста не выполняется.</x:v>
      </x:c>
      <x:c r="U24" s="53" t="n">
        <x:v>3</x:v>
      </x:c>
      <x:c r="V24" s="53" t="str">
        <x:v>ANY_SAFE_PERIOD</x:v>
      </x:c>
      <x:c r="W24" s="53" t="str">
        <x:v>records/science/SCI-MATH-07/YYYY-MM-DD/</x:v>
      </x:c>
      <x:c r="X24" s="53" t="str">
        <x:v>PSP-012</x:v>
      </x:c>
      <x:c r="Y24" s="53" t="str">
        <x:v>PROVISIONAL_TOPIC_CANDIDATES_NOT_METHOD_REVIEWED</x:v>
      </x:c>
      <x:c r="Z24" s="53" t="str">
        <x:v>BLOCKED_UNTIL_EXACT_METHOD_SOURCE_SAFETY_AND_LOCAL_REVIEW</x:v>
      </x:c>
      <x:c r="AA24" s="53" t="str">
        <x:v>DESIGN_ONLY_NOT_EXECUTED</x:v>
      </x:c>
      <x:c r="AB2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4" s="53" t="str">
        <x:v>0.4</x:v>
      </x:c>
    </x:row>
    <x:row r="25">
      <x:c r="A25" s="26" t="str">
        <x:v>PRJ-022</x:v>
      </x:c>
      <x:c r="B25" s="26" t="str">
        <x:v>SCI-MATH-08</x:v>
      </x:c>
      <x:c r="C25" s="26" t="str">
        <x:v>MATH</x:v>
      </x:c>
      <x:c r="D25" s="26" t="str">
        <x:v>Практическая проверка: Координаты, векторы и аналитическая геометрия</x:v>
      </x:c>
      <x:c r="E25" s="26" t="str">
        <x:v>OBSERVATION_DATA_OR_CALCULATION</x:v>
      </x:c>
      <x:c r="F25" s="26" t="str">
        <x:v>Объяснить базовую модель, выполнить допустимую для класса риска проверку и документировать пределы по теме «Координаты, векторы и аналитическая геометрия».</x:v>
      </x:c>
      <x:c r="G25" s="26" t="str">
        <x:v>SCI-MATH-07|SCI-METH-13|право остановить опыт|инструкция оборудования</x:v>
      </x:c>
      <x:c r="H25" s="26" t="str">
        <x:v>TBD_NON_EXECUTABLE: точные item/model/material/range/PPE для расчёт/невязка должны быть утверждены до начала</x:v>
      </x:c>
      <x:c r="I25" s="26" t="str">
        <x:v>Сформулировать вопрос; записать метод и единицы; выполнить переход между координатным описанием и вектором; сохранить сырые данные; повторить; оценить неопределённость; сделать ограниченный вывод.</x:v>
      </x:c>
      <x:c r="J25" s="26" t="str">
        <x:v>переход между координатным описанием и вектором</x:v>
      </x:c>
      <x:c r="K25" s="26" t="str">
        <x:v>SI или явно названный стандарт</x:v>
      </x:c>
      <x:c r="L25" s="26" t="str">
        <x:v>TBD_BEFORE_EXECUTION_FROM_EXACT_METHOD: диапазон/критерий фиксируется до результата; post-hoc подгонка запрещена.</x:v>
      </x:c>
      <x:c r="M25" s="26" t="str">
        <x:v>сырые данные + фото/скриншот при допустимости + расчёт + uncertainty + подпись reviewer + hash пакета</x:v>
      </x:c>
      <x:c r="N25" s="26" t="n">
        <x:v>2</x:v>
      </x:c>
      <x:c r="O25" s="26" t="str">
        <x:v>TBD_METHOD_SPECIFIC: range/resolution/bias/repeat spread/operator effects утверждаются до execution</x:v>
      </x:c>
      <x:c r="P2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5" s="26" t="str">
        <x:v>STOP при неясных правах, происхождении данных, этическом конфликте или невозможности сохранить исходные данные.</x:v>
      </x:c>
      <x:c r="R25" s="26" t="str">
        <x:v>TBD_ITEM_SPECIFIC_AND_LOCAL: пока маршрут отходов не утверждён, физическое выполнение блокировано.</x:v>
      </x:c>
      <x:c r="S25" s="26" t="str">
        <x:v>S0_OBSERVE_READ</x:v>
      </x:c>
      <x:c r="T25" s="26" t="str">
        <x:v>Самостоятельно после проверки источника; опасное действие из текста не выполняется.</x:v>
      </x:c>
      <x:c r="U25" s="26" t="n">
        <x:v>3</x:v>
      </x:c>
      <x:c r="V25" s="26" t="str">
        <x:v>ANY_SAFE_PERIOD</x:v>
      </x:c>
      <x:c r="W25" s="26" t="str">
        <x:v>records/science/SCI-MATH-08/YYYY-MM-DD/</x:v>
      </x:c>
      <x:c r="X25" s="26" t="str">
        <x:v>PSP-012</x:v>
      </x:c>
      <x:c r="Y25" s="26" t="str">
        <x:v>PROVISIONAL_TOPIC_CANDIDATES_NOT_METHOD_REVIEWED</x:v>
      </x:c>
      <x:c r="Z25" s="26" t="str">
        <x:v>BLOCKED_UNTIL_EXACT_METHOD_SOURCE_SAFETY_AND_LOCAL_REVIEW</x:v>
      </x:c>
      <x:c r="AA25" s="26" t="str">
        <x:v>DESIGN_ONLY_NOT_EXECUTED</x:v>
      </x:c>
      <x:c r="AB2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5" s="26" t="str">
        <x:v>0.4</x:v>
      </x:c>
    </x:row>
    <x:row r="26">
      <x:c r="A26" s="53" t="str">
        <x:v>PRJ-023</x:v>
      </x:c>
      <x:c r="B26" s="53" t="str">
        <x:v>SCI-MATH-09</x:v>
      </x:c>
      <x:c r="C26" s="53" t="str">
        <x:v>MATH</x:v>
      </x:c>
      <x:c r="D26" s="53" t="str">
        <x:v>Практическая проверка: Линейная алгебра и системы уравнений</x:v>
      </x:c>
      <x:c r="E26" s="53" t="str">
        <x:v>OBSERVATION_DATA_OR_CALCULATION</x:v>
      </x:c>
      <x:c r="F26" s="53" t="str">
        <x:v>Объяснить базовую модель, выполнить допустимую для класса риска проверку и документировать пределы по теме «Линейная алгебра и системы уравнений».</x:v>
      </x:c>
      <x:c r="G26" s="53" t="str">
        <x:v>SCI-MATH-08|SCI-METH-13|право остановить опыт|инструкция оборудования</x:v>
      </x:c>
      <x:c r="H26" s="53" t="str">
        <x:v>TBD_NON_EXECUTABLE: точные item/model/material/range/PPE для расчёт/невязка должны быть утверждены до начала</x:v>
      </x:c>
      <x:c r="I26" s="53" t="str">
        <x:v>Сформулировать вопрос; записать метод и единицы; выполнить решение малой системы и проверка невязки; сохранить сырые данные; повторить; оценить неопределённость; сделать ограниченный вывод.</x:v>
      </x:c>
      <x:c r="J26" s="53" t="str">
        <x:v>решение малой системы и проверка невязки</x:v>
      </x:c>
      <x:c r="K26" s="53" t="str">
        <x:v>SI или явно названный стандарт</x:v>
      </x:c>
      <x:c r="L26" s="53" t="str">
        <x:v>TBD_BEFORE_EXECUTION_FROM_EXACT_METHOD: диапазон/критерий фиксируется до результата; post-hoc подгонка запрещена.</x:v>
      </x:c>
      <x:c r="M26" s="53" t="str">
        <x:v>сырые данные + фото/скриншот при допустимости + расчёт + uncertainty + подпись reviewer + hash пакета</x:v>
      </x:c>
      <x:c r="N26" s="53" t="n">
        <x:v>2</x:v>
      </x:c>
      <x:c r="O26" s="53" t="str">
        <x:v>TBD_METHOD_SPECIFIC: range/resolution/bias/repeat spread/operator effects утверждаются до execution</x:v>
      </x:c>
      <x:c r="P2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6" s="53" t="str">
        <x:v>STOP при неясных правах, происхождении данных, этическом конфликте или невозможности сохранить исходные данные.</x:v>
      </x:c>
      <x:c r="R26" s="53" t="str">
        <x:v>TBD_ITEM_SPECIFIC_AND_LOCAL: пока маршрут отходов не утверждён, физическое выполнение блокировано.</x:v>
      </x:c>
      <x:c r="S26" s="53" t="str">
        <x:v>S0_OBSERVE_READ</x:v>
      </x:c>
      <x:c r="T26" s="53" t="str">
        <x:v>Самостоятельно после проверки источника; опасное действие из текста не выполняется.</x:v>
      </x:c>
      <x:c r="U26" s="53" t="n">
        <x:v>3</x:v>
      </x:c>
      <x:c r="V26" s="53" t="str">
        <x:v>ANY_SAFE_PERIOD</x:v>
      </x:c>
      <x:c r="W26" s="53" t="str">
        <x:v>records/science/SCI-MATH-09/YYYY-MM-DD/</x:v>
      </x:c>
      <x:c r="X26" s="53" t="str">
        <x:v>PSP-012</x:v>
      </x:c>
      <x:c r="Y26" s="53" t="str">
        <x:v>PROVISIONAL_TOPIC_CANDIDATES_NOT_METHOD_REVIEWED</x:v>
      </x:c>
      <x:c r="Z26" s="53" t="str">
        <x:v>BLOCKED_UNTIL_EXACT_METHOD_SOURCE_SAFETY_AND_LOCAL_REVIEW</x:v>
      </x:c>
      <x:c r="AA26" s="53" t="str">
        <x:v>DESIGN_ONLY_NOT_EXECUTED</x:v>
      </x:c>
      <x:c r="AB2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6" s="53" t="str">
        <x:v>0.4</x:v>
      </x:c>
    </x:row>
    <x:row r="27">
      <x:c r="A27" s="26" t="str">
        <x:v>PRJ-024</x:v>
      </x:c>
      <x:c r="B27" s="26" t="str">
        <x:v>SCI-MATH-10</x:v>
      </x:c>
      <x:c r="C27" s="26" t="str">
        <x:v>MATH</x:v>
      </x:c>
      <x:c r="D27" s="26" t="str">
        <x:v>Практическая проверка: Предел, производная и скорость изменения</x:v>
      </x:c>
      <x:c r="E27" s="26" t="str">
        <x:v>OBSERVATION_DATA_OR_CALCULATION</x:v>
      </x:c>
      <x:c r="F27" s="26" t="str">
        <x:v>Объяснить базовую модель, выполнить допустимую для класса риска проверку и документировать пределы по теме «Предел, производная и скорость изменения».</x:v>
      </x:c>
      <x:c r="G27" s="26" t="str">
        <x:v>SCI-MATH-09|SCI-METH-13|право остановить опыт|инструкция оборудования</x:v>
      </x:c>
      <x:c r="H27" s="26" t="str">
        <x:v>TBD_NON_EXECUTABLE: точные item/model/material/range/PPE для расчёт/невязка должны быть утверждены до начала</x:v>
      </x:c>
      <x:c r="I27" s="26" t="str">
        <x:v>Сформулировать вопрос; записать метод и единицы; выполнить численная оценка производной по измеренному ряду; сохранить сырые данные; повторить; оценить неопределённость; сделать ограниченный вывод.</x:v>
      </x:c>
      <x:c r="J27" s="26" t="str">
        <x:v>численная оценка производной по измеренному ряду</x:v>
      </x:c>
      <x:c r="K27" s="26" t="str">
        <x:v>SI или явно названный стандарт</x:v>
      </x:c>
      <x:c r="L27" s="26" t="str">
        <x:v>TBD_BEFORE_EXECUTION_FROM_EXACT_METHOD: диапазон/критерий фиксируется до результата; post-hoc подгонка запрещена.</x:v>
      </x:c>
      <x:c r="M27" s="26" t="str">
        <x:v>сырые данные + фото/скриншот при допустимости + расчёт + uncertainty + подпись reviewer + hash пакета</x:v>
      </x:c>
      <x:c r="N27" s="26" t="n">
        <x:v>2</x:v>
      </x:c>
      <x:c r="O27" s="26" t="str">
        <x:v>TBD_METHOD_SPECIFIC: range/resolution/bias/repeat spread/operator effects утверждаются до execution</x:v>
      </x:c>
      <x:c r="P2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7" s="26" t="str">
        <x:v>STOP при неясных правах, происхождении данных, этическом конфликте или невозможности сохранить исходные данные.</x:v>
      </x:c>
      <x:c r="R27" s="26" t="str">
        <x:v>TBD_ITEM_SPECIFIC_AND_LOCAL: пока маршрут отходов не утверждён, физическое выполнение блокировано.</x:v>
      </x:c>
      <x:c r="S27" s="26" t="str">
        <x:v>S0_OBSERVE_READ</x:v>
      </x:c>
      <x:c r="T27" s="26" t="str">
        <x:v>Самостоятельно после проверки источника; опасное действие из текста не выполняется.</x:v>
      </x:c>
      <x:c r="U27" s="26" t="n">
        <x:v>3</x:v>
      </x:c>
      <x:c r="V27" s="26" t="str">
        <x:v>ANY_SAFE_PERIOD</x:v>
      </x:c>
      <x:c r="W27" s="26" t="str">
        <x:v>records/science/SCI-MATH-10/YYYY-MM-DD/</x:v>
      </x:c>
      <x:c r="X27" s="26" t="str">
        <x:v>PSP-013</x:v>
      </x:c>
      <x:c r="Y27" s="26" t="str">
        <x:v>PROVISIONAL_TOPIC_CANDIDATES_NOT_METHOD_REVIEWED</x:v>
      </x:c>
      <x:c r="Z27" s="26" t="str">
        <x:v>BLOCKED_UNTIL_EXACT_METHOD_SOURCE_SAFETY_AND_LOCAL_REVIEW</x:v>
      </x:c>
      <x:c r="AA27" s="26" t="str">
        <x:v>DESIGN_ONLY_NOT_EXECUTED</x:v>
      </x:c>
      <x:c r="AB2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7" s="26" t="str">
        <x:v>0.4</x:v>
      </x:c>
    </x:row>
    <x:row r="28">
      <x:c r="A28" s="53" t="str">
        <x:v>PRJ-025</x:v>
      </x:c>
      <x:c r="B28" s="53" t="str">
        <x:v>SCI-MATH-11</x:v>
      </x:c>
      <x:c r="C28" s="53" t="str">
        <x:v>MATH</x:v>
      </x:c>
      <x:c r="D28" s="53" t="str">
        <x:v>Практическая проверка: Интеграл, накопление и баланс</x:v>
      </x:c>
      <x:c r="E28" s="53" t="str">
        <x:v>OBSERVATION_DATA_OR_CALCULATION</x:v>
      </x:c>
      <x:c r="F28" s="53" t="str">
        <x:v>Объяснить базовую модель, выполнить допустимую для класса риска проверку и документировать пределы по теме «Интеграл, накопление и баланс».</x:v>
      </x:c>
      <x:c r="G28" s="53" t="str">
        <x:v>SCI-MATH-10|SCI-METH-13|право остановить опыт|инструкция оборудования</x:v>
      </x:c>
      <x:c r="H28" s="53" t="str">
        <x:v>TBD_NON_EXECUTABLE: точные item/model/material/range/PPE для расчёт/невязка должны быть утверждены до начала</x:v>
      </x:c>
      <x:c r="I28" s="53" t="str">
        <x:v>Сформулировать вопрос; записать метод и единицы; выполнить оценка накопленного расхода по временным отсчётам; сохранить сырые данные; повторить; оценить неопределённость; сделать ограниченный вывод.</x:v>
      </x:c>
      <x:c r="J28" s="53" t="str">
        <x:v>оценка накопленного расхода по временным отсчётам</x:v>
      </x:c>
      <x:c r="K28" s="53" t="str">
        <x:v>SI или явно названный стандарт</x:v>
      </x:c>
      <x:c r="L28" s="53" t="str">
        <x:v>TBD_BEFORE_EXECUTION_FROM_EXACT_METHOD: диапазон/критерий фиксируется до результата; post-hoc подгонка запрещена.</x:v>
      </x:c>
      <x:c r="M28" s="53" t="str">
        <x:v>сырые данные + фото/скриншот при допустимости + расчёт + uncertainty + подпись reviewer + hash пакета</x:v>
      </x:c>
      <x:c r="N28" s="53" t="n">
        <x:v>2</x:v>
      </x:c>
      <x:c r="O28" s="53" t="str">
        <x:v>TBD_METHOD_SPECIFIC: range/resolution/bias/repeat spread/operator effects утверждаются до execution</x:v>
      </x:c>
      <x:c r="P2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8" s="53" t="str">
        <x:v>STOP при неясных правах, происхождении данных, этическом конфликте или невозможности сохранить исходные данные.</x:v>
      </x:c>
      <x:c r="R28" s="53" t="str">
        <x:v>TBD_ITEM_SPECIFIC_AND_LOCAL: пока маршрут отходов не утверждён, физическое выполнение блокировано.</x:v>
      </x:c>
      <x:c r="S28" s="53" t="str">
        <x:v>S0_OBSERVE_READ</x:v>
      </x:c>
      <x:c r="T28" s="53" t="str">
        <x:v>Самостоятельно после проверки источника; опасное действие из текста не выполняется.</x:v>
      </x:c>
      <x:c r="U28" s="53" t="n">
        <x:v>3</x:v>
      </x:c>
      <x:c r="V28" s="53" t="str">
        <x:v>ANY_SAFE_PERIOD</x:v>
      </x:c>
      <x:c r="W28" s="53" t="str">
        <x:v>records/science/SCI-MATH-11/YYYY-MM-DD/</x:v>
      </x:c>
      <x:c r="X28" s="53" t="str">
        <x:v>PSP-013</x:v>
      </x:c>
      <x:c r="Y28" s="53" t="str">
        <x:v>PROVISIONAL_TOPIC_CANDIDATES_NOT_METHOD_REVIEWED</x:v>
      </x:c>
      <x:c r="Z28" s="53" t="str">
        <x:v>BLOCKED_UNTIL_EXACT_METHOD_SOURCE_SAFETY_AND_LOCAL_REVIEW</x:v>
      </x:c>
      <x:c r="AA28" s="53" t="str">
        <x:v>DESIGN_ONLY_NOT_EXECUTED</x:v>
      </x:c>
      <x:c r="AB2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8" s="53" t="str">
        <x:v>0.4</x:v>
      </x:c>
    </x:row>
    <x:row r="29">
      <x:c r="A29" s="26" t="str">
        <x:v>PRJ-026</x:v>
      </x:c>
      <x:c r="B29" s="26" t="str">
        <x:v>SCI-MATH-12</x:v>
      </x:c>
      <x:c r="C29" s="26" t="str">
        <x:v>MATH</x:v>
      </x:c>
      <x:c r="D29" s="26" t="str">
        <x:v>Практическая проверка: Дифференциальные уравнения и динамические модели</x:v>
      </x:c>
      <x:c r="E29" s="26" t="str">
        <x:v>OBSERVATION_DATA_OR_CALCULATION</x:v>
      </x:c>
      <x:c r="F29" s="26" t="str">
        <x:v>Объяснить базовую модель, выполнить допустимую для класса риска проверку и документировать пределы по теме «Дифференциальные уравнения и динамические модели».</x:v>
      </x:c>
      <x:c r="G29" s="26" t="str">
        <x:v>SCI-MATH-11|SCI-METH-13|право остановить опыт|инструкция оборудования</x:v>
      </x:c>
      <x:c r="H29" s="26" t="str">
        <x:v>TBD_NON_EXECUTABLE: точные item/model/material/range/PPE для расчёт/невязка должны быть утверждены до начала</x:v>
      </x:c>
      <x:c r="I29" s="26" t="str">
        <x:v>Сформулировать вопрос; записать метод и единицы; выполнить сравнение простой модели с наблюдаемой траекторией; сохранить сырые данные; повторить; оценить неопределённость; сделать ограниченный вывод.</x:v>
      </x:c>
      <x:c r="J29" s="26" t="str">
        <x:v>сравнение простой модели с наблюдаемой траекторией</x:v>
      </x:c>
      <x:c r="K29" s="26" t="str">
        <x:v>SI или явно названный стандарт</x:v>
      </x:c>
      <x:c r="L29" s="26" t="str">
        <x:v>TBD_BEFORE_EXECUTION_FROM_EXACT_METHOD: диапазон/критерий фиксируется до результата; post-hoc подгонка запрещена.</x:v>
      </x:c>
      <x:c r="M29" s="26" t="str">
        <x:v>сырые данные + фото/скриншот при допустимости + расчёт + uncertainty + подпись reviewer + hash пакета</x:v>
      </x:c>
      <x:c r="N29" s="26" t="n">
        <x:v>2</x:v>
      </x:c>
      <x:c r="O29" s="26" t="str">
        <x:v>TBD_METHOD_SPECIFIC: range/resolution/bias/repeat spread/operator effects утверждаются до execution</x:v>
      </x:c>
      <x:c r="P2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9" s="26" t="str">
        <x:v>STOP при неясных правах, происхождении данных, этическом конфликте или невозможности сохранить исходные данные.</x:v>
      </x:c>
      <x:c r="R29" s="26" t="str">
        <x:v>TBD_ITEM_SPECIFIC_AND_LOCAL: пока маршрут отходов не утверждён, физическое выполнение блокировано.</x:v>
      </x:c>
      <x:c r="S29" s="26" t="str">
        <x:v>S0_OBSERVE_READ</x:v>
      </x:c>
      <x:c r="T29" s="26" t="str">
        <x:v>Самостоятельно после проверки источника; опасное действие из текста не выполняется.</x:v>
      </x:c>
      <x:c r="U29" s="26" t="n">
        <x:v>3</x:v>
      </x:c>
      <x:c r="V29" s="26" t="str">
        <x:v>ANY_SAFE_PERIOD</x:v>
      </x:c>
      <x:c r="W29" s="26" t="str">
        <x:v>records/science/SCI-MATH-12/YYYY-MM-DD/</x:v>
      </x:c>
      <x:c r="X29" s="26" t="str">
        <x:v>PSP-013</x:v>
      </x:c>
      <x:c r="Y29" s="26" t="str">
        <x:v>PROVISIONAL_TOPIC_CANDIDATES_NOT_METHOD_REVIEWED</x:v>
      </x:c>
      <x:c r="Z29" s="26" t="str">
        <x:v>BLOCKED_UNTIL_EXACT_METHOD_SOURCE_SAFETY_AND_LOCAL_REVIEW</x:v>
      </x:c>
      <x:c r="AA29" s="26" t="str">
        <x:v>DESIGN_ONLY_NOT_EXECUTED</x:v>
      </x:c>
      <x:c r="AB2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9" s="26" t="str">
        <x:v>0.4</x:v>
      </x:c>
    </x:row>
    <x:row r="30">
      <x:c r="A30" s="53" t="str">
        <x:v>PRJ-027</x:v>
      </x:c>
      <x:c r="B30" s="53" t="str">
        <x:v>SCI-MATH-13</x:v>
      </x:c>
      <x:c r="C30" s="53" t="str">
        <x:v>MATH</x:v>
      </x:c>
      <x:c r="D30" s="53" t="str">
        <x:v>Практическая проверка: Логика, множества, графы и дискретные структуры</x:v>
      </x:c>
      <x:c r="E30" s="53" t="str">
        <x:v>OBSERVATION_DATA_OR_CALCULATION</x:v>
      </x:c>
      <x:c r="F30" s="53" t="str">
        <x:v>Объяснить базовую модель, выполнить допустимую для класса риска проверку и документировать пределы по теме «Логика, множества, графы и дискретные структуры».</x:v>
      </x:c>
      <x:c r="G30" s="53" t="str">
        <x:v>SCI-MATH-12|SCI-METH-13|право остановить опыт|инструкция оборудования</x:v>
      </x:c>
      <x:c r="H30" s="53" t="str">
        <x:v>TBD_NON_EXECUTABLE: точные item/model/material/range/PPE для расчёт/невязка должны быть утверждены до начала</x:v>
      </x:c>
      <x:c r="I30" s="53" t="str">
        <x:v>Сформулировать вопрос; записать метод и единицы; выполнить таблица истинности или граф зависимостей; сохранить сырые данные; повторить; оценить неопределённость; сделать ограниченный вывод.</x:v>
      </x:c>
      <x:c r="J30" s="53" t="str">
        <x:v>таблица истинности или граф зависимостей</x:v>
      </x:c>
      <x:c r="K30" s="53" t="str">
        <x:v>SI или явно названный стандарт</x:v>
      </x:c>
      <x:c r="L30" s="53" t="str">
        <x:v>TBD_BEFORE_EXECUTION_FROM_EXACT_METHOD: диапазон/критерий фиксируется до результата; post-hoc подгонка запрещена.</x:v>
      </x:c>
      <x:c r="M30" s="53" t="str">
        <x:v>сырые данные + фото/скриншот при допустимости + расчёт + uncertainty + подпись reviewer + hash пакета</x:v>
      </x:c>
      <x:c r="N30" s="53" t="n">
        <x:v>2</x:v>
      </x:c>
      <x:c r="O30" s="53" t="str">
        <x:v>TBD_METHOD_SPECIFIC: range/resolution/bias/repeat spread/operator effects утверждаются до execution</x:v>
      </x:c>
      <x:c r="P3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30" s="53" t="str">
        <x:v>STOP при неясных правах, происхождении данных, этическом конфликте или невозможности сохранить исходные данные.</x:v>
      </x:c>
      <x:c r="R30" s="53" t="str">
        <x:v>TBD_ITEM_SPECIFIC_AND_LOCAL: пока маршрут отходов не утверждён, физическое выполнение блокировано.</x:v>
      </x:c>
      <x:c r="S30" s="53" t="str">
        <x:v>S0_OBSERVE_READ</x:v>
      </x:c>
      <x:c r="T30" s="53" t="str">
        <x:v>Самостоятельно после проверки источника; опасное действие из текста не выполняется.</x:v>
      </x:c>
      <x:c r="U30" s="53" t="n">
        <x:v>3</x:v>
      </x:c>
      <x:c r="V30" s="53" t="str">
        <x:v>ANY_SAFE_PERIOD</x:v>
      </x:c>
      <x:c r="W30" s="53" t="str">
        <x:v>records/science/SCI-MATH-13/YYYY-MM-DD/</x:v>
      </x:c>
      <x:c r="X30" s="53" t="str">
        <x:v>PSP-020|PSP-012</x:v>
      </x:c>
      <x:c r="Y30" s="53" t="str">
        <x:v>PROVISIONAL_TOPIC_CANDIDATES_NOT_METHOD_REVIEWED</x:v>
      </x:c>
      <x:c r="Z30" s="53" t="str">
        <x:v>BLOCKED_UNTIL_EXACT_METHOD_SOURCE_SAFETY_AND_LOCAL_REVIEW</x:v>
      </x:c>
      <x:c r="AA30" s="53" t="str">
        <x:v>DESIGN_ONLY_NOT_EXECUTED</x:v>
      </x:c>
      <x:c r="AB3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0" s="53" t="str">
        <x:v>0.4</x:v>
      </x:c>
    </x:row>
    <x:row r="31">
      <x:c r="A31" s="26" t="str">
        <x:v>PRJ-028</x:v>
      </x:c>
      <x:c r="B31" s="26" t="str">
        <x:v>SCI-MATH-14</x:v>
      </x:c>
      <x:c r="C31" s="26" t="str">
        <x:v>MATH</x:v>
      </x:c>
      <x:c r="D31" s="26" t="str">
        <x:v>Практическая проверка: Вероятность и условная вероятность</x:v>
      </x:c>
      <x:c r="E31" s="26" t="str">
        <x:v>OBSERVATION_DATA_OR_CALCULATION</x:v>
      </x:c>
      <x:c r="F31" s="26" t="str">
        <x:v>Объяснить базовую модель, выполнить допустимую для класса риска проверку и документировать пределы по теме «Вероятность и условная вероятность».</x:v>
      </x:c>
      <x:c r="G31" s="26" t="str">
        <x:v>SCI-MATH-13|SCI-METH-13|право остановить опыт|инструкция оборудования</x:v>
      </x:c>
      <x:c r="H31" s="26" t="str">
        <x:v>TBD_NON_EXECUTABLE: точные item/model/material/range/PPE для расчёт/невязка должны быть утверждены до начала</x:v>
      </x:c>
      <x:c r="I31" s="26" t="str">
        <x:v>Сформулировать вопрос; записать метод и единицы; выполнить дерево событий и проверка суммы вероятностей; сохранить сырые данные; повторить; оценить неопределённость; сделать ограниченный вывод.</x:v>
      </x:c>
      <x:c r="J31" s="26" t="str">
        <x:v>дерево событий и проверка суммы вероятностей</x:v>
      </x:c>
      <x:c r="K31" s="26" t="str">
        <x:v>SI или явно названный стандарт</x:v>
      </x:c>
      <x:c r="L31" s="26" t="str">
        <x:v>TBD_BEFORE_EXECUTION_FROM_EXACT_METHOD: диапазон/критерий фиксируется до результата; post-hoc подгонка запрещена.</x:v>
      </x:c>
      <x:c r="M31" s="26" t="str">
        <x:v>сырые данные + фото/скриншот при допустимости + расчёт + uncertainty + подпись reviewer + hash пакета</x:v>
      </x:c>
      <x:c r="N31" s="26" t="n">
        <x:v>2</x:v>
      </x:c>
      <x:c r="O31" s="26" t="str">
        <x:v>TBD_METHOD_SPECIFIC: range/resolution/bias/repeat spread/operator effects утверждаются до execution</x:v>
      </x:c>
      <x:c r="P3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31" s="26" t="str">
        <x:v>STOP при неясных правах, происхождении данных, этическом конфликте или невозможности сохранить исходные данные.</x:v>
      </x:c>
      <x:c r="R31" s="26" t="str">
        <x:v>TBD_ITEM_SPECIFIC_AND_LOCAL: пока маршрут отходов не утверждён, физическое выполнение блокировано.</x:v>
      </x:c>
      <x:c r="S31" s="26" t="str">
        <x:v>S0_OBSERVE_READ</x:v>
      </x:c>
      <x:c r="T31" s="26" t="str">
        <x:v>Самостоятельно после проверки источника; опасное действие из текста не выполняется.</x:v>
      </x:c>
      <x:c r="U31" s="26" t="n">
        <x:v>3</x:v>
      </x:c>
      <x:c r="V31" s="26" t="str">
        <x:v>ANY_SAFE_PERIOD</x:v>
      </x:c>
      <x:c r="W31" s="26" t="str">
        <x:v>records/science/SCI-MATH-14/YYYY-MM-DD/</x:v>
      </x:c>
      <x:c r="X31" s="26" t="str">
        <x:v>PSP-014|PSP-001</x:v>
      </x:c>
      <x:c r="Y31" s="26" t="str">
        <x:v>PROVISIONAL_TOPIC_CANDIDATES_NOT_METHOD_REVIEWED</x:v>
      </x:c>
      <x:c r="Z31" s="26" t="str">
        <x:v>BLOCKED_UNTIL_EXACT_METHOD_SOURCE_SAFETY_AND_LOCAL_REVIEW</x:v>
      </x:c>
      <x:c r="AA31" s="26" t="str">
        <x:v>DESIGN_ONLY_NOT_EXECUTED</x:v>
      </x:c>
      <x:c r="AB3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1" s="26" t="str">
        <x:v>0.4</x:v>
      </x:c>
    </x:row>
    <x:row r="32">
      <x:c r="A32" s="53" t="str">
        <x:v>PRJ-029</x:v>
      </x:c>
      <x:c r="B32" s="53" t="str">
        <x:v>SCI-MATH-15</x:v>
      </x:c>
      <x:c r="C32" s="53" t="str">
        <x:v>MATH</x:v>
      </x:c>
      <x:c r="D32" s="53" t="str">
        <x:v>Практическая проверка: Описательная статистика и устойчивые меры</x:v>
      </x:c>
      <x:c r="E32" s="53" t="str">
        <x:v>OBSERVATION_DATA_OR_CALCULATION</x:v>
      </x:c>
      <x:c r="F32" s="53" t="str">
        <x:v>Объяснить базовую модель, выполнить допустимую для класса риска проверку и документировать пределы по теме «Описательная статистика и устойчивые меры».</x:v>
      </x:c>
      <x:c r="G32" s="53" t="str">
        <x:v>SCI-MATH-14|SCI-METH-13|право остановить опыт|инструкция оборудования</x:v>
      </x:c>
      <x:c r="H32" s="53" t="str">
        <x:v>TBD_NON_EXECUTABLE: точные item/model/material/range/PPE для расчёт/невязка должны быть утверждены до начала</x:v>
      </x:c>
      <x:c r="I32" s="53" t="str">
        <x:v>Сформулировать вопрос; записать метод и единицы; выполнить среднее, медиана, разброс и квартильный размах; сохранить сырые данные; повторить; оценить неопределённость; сделать ограниченный вывод.</x:v>
      </x:c>
      <x:c r="J32" s="53" t="str">
        <x:v>среднее, медиана, разброс и квартильный размах</x:v>
      </x:c>
      <x:c r="K32" s="53" t="str">
        <x:v>SI или явно названный стандарт</x:v>
      </x:c>
      <x:c r="L32" s="53" t="str">
        <x:v>TBD_BEFORE_EXECUTION_FROM_EXACT_METHOD: диапазон/критерий фиксируется до результата; post-hoc подгонка запрещена.</x:v>
      </x:c>
      <x:c r="M32" s="53" t="str">
        <x:v>сырые данные + фото/скриншот при допустимости + расчёт + uncertainty + подпись reviewer + hash пакета</x:v>
      </x:c>
      <x:c r="N32" s="53" t="n">
        <x:v>2</x:v>
      </x:c>
      <x:c r="O32" s="53" t="str">
        <x:v>TBD_METHOD_SPECIFIC: range/resolution/bias/repeat spread/operator effects утверждаются до execution</x:v>
      </x:c>
      <x:c r="P3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32" s="53" t="str">
        <x:v>STOP при неясных правах, происхождении данных, этическом конфликте или невозможности сохранить исходные данные.</x:v>
      </x:c>
      <x:c r="R32" s="53" t="str">
        <x:v>TBD_ITEM_SPECIFIC_AND_LOCAL: пока маршрут отходов не утверждён, физическое выполнение блокировано.</x:v>
      </x:c>
      <x:c r="S32" s="53" t="str">
        <x:v>S0_OBSERVE_READ</x:v>
      </x:c>
      <x:c r="T32" s="53" t="str">
        <x:v>Самостоятельно после проверки источника; опасное действие из текста не выполняется.</x:v>
      </x:c>
      <x:c r="U32" s="53" t="n">
        <x:v>3</x:v>
      </x:c>
      <x:c r="V32" s="53" t="str">
        <x:v>ANY_SAFE_PERIOD</x:v>
      </x:c>
      <x:c r="W32" s="53" t="str">
        <x:v>records/science/SCI-MATH-15/YYYY-MM-DD/</x:v>
      </x:c>
      <x:c r="X32" s="53" t="str">
        <x:v>PSP-014|PSP-001</x:v>
      </x:c>
      <x:c r="Y32" s="53" t="str">
        <x:v>PROVISIONAL_TOPIC_CANDIDATES_NOT_METHOD_REVIEWED</x:v>
      </x:c>
      <x:c r="Z32" s="53" t="str">
        <x:v>BLOCKED_UNTIL_EXACT_METHOD_SOURCE_SAFETY_AND_LOCAL_REVIEW</x:v>
      </x:c>
      <x:c r="AA32" s="53" t="str">
        <x:v>DESIGN_ONLY_NOT_EXECUTED</x:v>
      </x:c>
      <x:c r="AB3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2" s="53" t="str">
        <x:v>0.4</x:v>
      </x:c>
    </x:row>
    <x:row r="33">
      <x:c r="A33" s="26" t="str">
        <x:v>PRJ-030</x:v>
      </x:c>
      <x:c r="B33" s="26" t="str">
        <x:v>SCI-MATH-16</x:v>
      </x:c>
      <x:c r="C33" s="26" t="str">
        <x:v>MATH</x:v>
      </x:c>
      <x:c r="D33" s="26" t="str">
        <x:v>Практическая проверка: Доверительные интервалы и проверка гипотез</x:v>
      </x:c>
      <x:c r="E33" s="26" t="str">
        <x:v>OBSERVATION_DATA_OR_CALCULATION</x:v>
      </x:c>
      <x:c r="F33" s="26" t="str">
        <x:v>Объяснить базовую модель, выполнить допустимую для класса риска проверку и документировать пределы по теме «Доверительные интервалы и проверка гипотез».</x:v>
      </x:c>
      <x:c r="G33" s="26" t="str">
        <x:v>SCI-MATH-15|SCI-METH-13|право остановить опыт|инструкция оборудования</x:v>
      </x:c>
      <x:c r="H33" s="26" t="str">
        <x:v>TBD_NON_EXECUTABLE: точные item/model/material/range/PPE для расчёт/невязка должны быть утверждены до начала</x:v>
      </x:c>
      <x:c r="I33" s="26" t="str">
        <x:v>Сформулировать вопрос; записать метод и единицы; выполнить интервал с явно указанными предпосылками; сохранить сырые данные; повторить; оценить неопределённость; сделать ограниченный вывод.</x:v>
      </x:c>
      <x:c r="J33" s="26" t="str">
        <x:v>интервал с явно указанными предпосылками</x:v>
      </x:c>
      <x:c r="K33" s="26" t="str">
        <x:v>SI или явно названный стандарт</x:v>
      </x:c>
      <x:c r="L33" s="26" t="str">
        <x:v>TBD_BEFORE_EXECUTION_FROM_EXACT_METHOD: диапазон/критерий фиксируется до результата; post-hoc подгонка запрещена.</x:v>
      </x:c>
      <x:c r="M33" s="26" t="str">
        <x:v>сырые данные + фото/скриншот при допустимости + расчёт + uncertainty + подпись reviewer + hash пакета</x:v>
      </x:c>
      <x:c r="N33" s="26" t="n">
        <x:v>2</x:v>
      </x:c>
      <x:c r="O33" s="26" t="str">
        <x:v>TBD_METHOD_SPECIFIC: range/resolution/bias/repeat spread/operator effects утверждаются до execution</x:v>
      </x:c>
      <x:c r="P3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33" s="26" t="str">
        <x:v>STOP при неясных правах, происхождении данных, этическом конфликте или невозможности сохранить исходные данные.</x:v>
      </x:c>
      <x:c r="R33" s="26" t="str">
        <x:v>TBD_ITEM_SPECIFIC_AND_LOCAL: пока маршрут отходов не утверждён, физическое выполнение блокировано.</x:v>
      </x:c>
      <x:c r="S33" s="26" t="str">
        <x:v>S0_OBSERVE_READ</x:v>
      </x:c>
      <x:c r="T33" s="26" t="str">
        <x:v>Самостоятельно после проверки источника; опасное действие из текста не выполняется.</x:v>
      </x:c>
      <x:c r="U33" s="26" t="n">
        <x:v>3</x:v>
      </x:c>
      <x:c r="V33" s="26" t="str">
        <x:v>ANY_SAFE_PERIOD</x:v>
      </x:c>
      <x:c r="W33" s="26" t="str">
        <x:v>records/science/SCI-MATH-16/YYYY-MM-DD/</x:v>
      </x:c>
      <x:c r="X33" s="26" t="str">
        <x:v>PSP-014|PSP-001</x:v>
      </x:c>
      <x:c r="Y33" s="26" t="str">
        <x:v>PROVISIONAL_TOPIC_CANDIDATES_NOT_METHOD_REVIEWED</x:v>
      </x:c>
      <x:c r="Z33" s="26" t="str">
        <x:v>BLOCKED_UNTIL_EXACT_METHOD_SOURCE_SAFETY_AND_LOCAL_REVIEW</x:v>
      </x:c>
      <x:c r="AA33" s="26" t="str">
        <x:v>DESIGN_ONLY_NOT_EXECUTED</x:v>
      </x:c>
      <x:c r="AB3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3" s="26" t="str">
        <x:v>0.4</x:v>
      </x:c>
    </x:row>
    <x:row r="34">
      <x:c r="A34" s="53" t="str">
        <x:v>PRJ-031</x:v>
      </x:c>
      <x:c r="B34" s="53" t="str">
        <x:v>SCI-MATH-17</x:v>
      </x:c>
      <x:c r="C34" s="53" t="str">
        <x:v>MATH</x:v>
      </x:c>
      <x:c r="D34" s="53" t="str">
        <x:v>Практическая проверка: Временные ряды, сезонность и контрольные карты</x:v>
      </x:c>
      <x:c r="E34" s="53" t="str">
        <x:v>OBSERVATION_DATA_OR_CALCULATION</x:v>
      </x:c>
      <x:c r="F34" s="53" t="str">
        <x:v>Объяснить базовую модель, выполнить допустимую для класса риска проверку и документировать пределы по теме «Временные ряды, сезонность и контрольные карты».</x:v>
      </x:c>
      <x:c r="G34" s="53" t="str">
        <x:v>SCI-MATH-16|SCI-METH-13|право остановить опыт|инструкция оборудования</x:v>
      </x:c>
      <x:c r="H34" s="53" t="str">
        <x:v>TBD_NON_EXECUTABLE: точные item/model/material/range/PPE для расчёт/невязка должны быть утверждены до начала</x:v>
      </x:c>
      <x:c r="I34" s="53" t="str">
        <x:v>Сформулировать вопрос; записать метод и единицы; выполнить график тренда, сезонности и контрольных границ; сохранить сырые данные; повторить; оценить неопределённость; сделать ограниченный вывод.</x:v>
      </x:c>
      <x:c r="J34" s="53" t="str">
        <x:v>график тренда, сезонности и контрольных границ</x:v>
      </x:c>
      <x:c r="K34" s="53" t="str">
        <x:v>SI или явно названный стандарт</x:v>
      </x:c>
      <x:c r="L34" s="53" t="str">
        <x:v>TBD_BEFORE_EXECUTION_FROM_EXACT_METHOD: диапазон/критерий фиксируется до результата; post-hoc подгонка запрещена.</x:v>
      </x:c>
      <x:c r="M34" s="53" t="str">
        <x:v>сырые данные + фото/скриншот при допустимости + расчёт + uncertainty + подпись reviewer + hash пакета</x:v>
      </x:c>
      <x:c r="N34" s="53" t="n">
        <x:v>2</x:v>
      </x:c>
      <x:c r="O34" s="53" t="str">
        <x:v>TBD_METHOD_SPECIFIC: range/resolution/bias/repeat spread/operator effects утверждаются до execution</x:v>
      </x:c>
      <x:c r="P3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34" s="53" t="str">
        <x:v>STOP при неясных правах, происхождении данных, этическом конфликте или невозможности сохранить исходные данные.</x:v>
      </x:c>
      <x:c r="R34" s="53" t="str">
        <x:v>TBD_ITEM_SPECIFIC_AND_LOCAL: пока маршрут отходов не утверждён, физическое выполнение блокировано.</x:v>
      </x:c>
      <x:c r="S34" s="53" t="str">
        <x:v>S0_OBSERVE_READ</x:v>
      </x:c>
      <x:c r="T34" s="53" t="str">
        <x:v>Самостоятельно после проверки источника; опасное действие из текста не выполняется.</x:v>
      </x:c>
      <x:c r="U34" s="53" t="n">
        <x:v>3</x:v>
      </x:c>
      <x:c r="V34" s="53" t="str">
        <x:v>ANY_SAFE_PERIOD</x:v>
      </x:c>
      <x:c r="W34" s="53" t="str">
        <x:v>records/science/SCI-MATH-17/YYYY-MM-DD/</x:v>
      </x:c>
      <x:c r="X34" s="53" t="str">
        <x:v>PSP-014|PSP-001</x:v>
      </x:c>
      <x:c r="Y34" s="53" t="str">
        <x:v>PROVISIONAL_TOPIC_CANDIDATES_NOT_METHOD_REVIEWED</x:v>
      </x:c>
      <x:c r="Z34" s="53" t="str">
        <x:v>BLOCKED_UNTIL_EXACT_METHOD_SOURCE_SAFETY_AND_LOCAL_REVIEW</x:v>
      </x:c>
      <x:c r="AA34" s="53" t="str">
        <x:v>DESIGN_ONLY_NOT_EXECUTED</x:v>
      </x:c>
      <x:c r="AB3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4" s="53" t="str">
        <x:v>0.4</x:v>
      </x:c>
    </x:row>
    <x:row r="35">
      <x:c r="A35" s="26" t="str">
        <x:v>PRJ-032</x:v>
      </x:c>
      <x:c r="B35" s="26" t="str">
        <x:v>SCI-MATH-18</x:v>
      </x:c>
      <x:c r="C35" s="26" t="str">
        <x:v>MATH</x:v>
      </x:c>
      <x:c r="D35" s="26" t="str">
        <x:v>Практическая проверка: Численные методы, оптимизация и исследование операций</x:v>
      </x:c>
      <x:c r="E35" s="26" t="str">
        <x:v>OBSERVATION_DATA_OR_CALCULATION</x:v>
      </x:c>
      <x:c r="F35" s="26" t="str">
        <x:v>Объяснить базовую модель, выполнить допустимую для класса риска проверку и документировать пределы по теме «Численные методы, оптимизация и исследование операций».</x:v>
      </x:c>
      <x:c r="G35" s="26" t="str">
        <x:v>SCI-MATH-17|SCI-METH-13|право остановить опыт|инструкция оборудования</x:v>
      </x:c>
      <x:c r="H35" s="26" t="str">
        <x:v>TBD_NON_EXECUTABLE: точные item/model/material/range/PPE для расчёт/невязка должны быть утверждены до начала</x:v>
      </x:c>
      <x:c r="I35" s="26" t="str">
        <x:v>Сформулировать вопрос; записать метод и единицы; выполнить решение, проверка ограничения и анализ чувствительности; сохранить сырые данные; повторить; оценить неопределённость; сделать ограниченный вывод.</x:v>
      </x:c>
      <x:c r="J35" s="26" t="str">
        <x:v>решение, проверка ограничения и анализ чувствительности</x:v>
      </x:c>
      <x:c r="K35" s="26" t="str">
        <x:v>SI или явно названный стандарт</x:v>
      </x:c>
      <x:c r="L35" s="26" t="str">
        <x:v>TBD_BEFORE_EXECUTION_FROM_EXACT_METHOD: диапазон/критерий фиксируется до результата; post-hoc подгонка запрещена.</x:v>
      </x:c>
      <x:c r="M35" s="26" t="str">
        <x:v>сырые данные + фото/скриншот при допустимости + расчёт + uncertainty + подпись reviewer + hash пакета</x:v>
      </x:c>
      <x:c r="N35" s="26" t="n">
        <x:v>2</x:v>
      </x:c>
      <x:c r="O35" s="26" t="str">
        <x:v>TBD_METHOD_SPECIFIC: range/resolution/bias/repeat spread/operator effects утверждаются до execution</x:v>
      </x:c>
      <x:c r="P3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35" s="26" t="str">
        <x:v>STOP при неясных правах, происхождении данных, этическом конфликте или невозможности сохранить исходные данные.</x:v>
      </x:c>
      <x:c r="R35" s="26" t="str">
        <x:v>TBD_ITEM_SPECIFIC_AND_LOCAL: пока маршрут отходов не утверждён, физическое выполнение блокировано.</x:v>
      </x:c>
      <x:c r="S35" s="26" t="str">
        <x:v>S0_OBSERVE_READ</x:v>
      </x:c>
      <x:c r="T35" s="26" t="str">
        <x:v>Самостоятельно после проверки источника; опасное действие из текста не выполняется.</x:v>
      </x:c>
      <x:c r="U35" s="26" t="n">
        <x:v>3</x:v>
      </x:c>
      <x:c r="V35" s="26" t="str">
        <x:v>ANY_SAFE_PERIOD</x:v>
      </x:c>
      <x:c r="W35" s="26" t="str">
        <x:v>records/science/SCI-MATH-18/YYYY-MM-DD/</x:v>
      </x:c>
      <x:c r="X35" s="26" t="str">
        <x:v>SUP-MDE-016|PSP-073</x:v>
      </x:c>
      <x:c r="Y35" s="26" t="str">
        <x:v>PROVISIONAL_TOPIC_CANDIDATES_NOT_METHOD_REVIEWED</x:v>
      </x:c>
      <x:c r="Z35" s="26" t="str">
        <x:v>BLOCKED_UNTIL_EXACT_METHOD_SOURCE_SAFETY_AND_LOCAL_REVIEW</x:v>
      </x:c>
      <x:c r="AA35" s="26" t="str">
        <x:v>DESIGN_ONLY_NOT_EXECUTED</x:v>
      </x:c>
      <x:c r="AB3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5" s="26" t="str">
        <x:v>0.4</x:v>
      </x:c>
    </x:row>
    <x:row r="36">
      <x:c r="A36" s="53" t="str">
        <x:v>PRJ-033</x:v>
      </x:c>
      <x:c r="B36" s="53" t="str">
        <x:v>SCI-PHYS-01</x:v>
      </x:c>
      <x:c r="C36" s="53" t="str">
        <x:v>PHYS</x:v>
      </x:c>
      <x:c r="D36" s="53" t="str">
        <x:v>Практическая проверка: Физические величины, модели и масштаб</x:v>
      </x:c>
      <x:c r="E36" s="53" t="str">
        <x:v>LOW_RISK_BENCH_OR_FIELD</x:v>
      </x:c>
      <x:c r="F36" s="53" t="str">
        <x:v>Объяснить базовую модель, выполнить допустимую для класса риска проверку и документировать пределы по теме «Физические величины, модели и масштаб».</x:v>
      </x:c>
      <x:c r="G36" s="53" t="str">
        <x:v>SCI-METH-01|SCI-METH-07|SCI-METH-14|право остановить опыт|инструкция оборудования</x:v>
      </x:c>
      <x:c r="H36" s="53" t="str">
        <x:v>TBD_NON_EXECUTABLE: точные item/model/material/range/PPE для SI-измерение должны быть утверждены до начала</x:v>
      </x:c>
      <x:c r="I36" s="53" t="str">
        <x:v>Сформулировать вопрос; записать метод и единицы; выполнить сравнение модели с измерением и указание области применимости; сохранить сырые данные; повторить; оценить неопределённость; сделать ограниченный вывод.</x:v>
      </x:c>
      <x:c r="J36" s="53" t="str">
        <x:v>сравнение модели с измерением и указание области применимости</x:v>
      </x:c>
      <x:c r="K36" s="53" t="str">
        <x:v>SI или явно названный стандарт</x:v>
      </x:c>
      <x:c r="L36" s="53" t="str">
        <x:v>TBD_BEFORE_EXECUTION_FROM_EXACT_METHOD: диапазон/критерий фиксируется до результата; post-hoc подгонка запрещена.</x:v>
      </x:c>
      <x:c r="M36" s="53" t="str">
        <x:v>сырые данные + фото/скриншот при допустимости + расчёт + uncertainty + подпись reviewer + hash пакета</x:v>
      </x:c>
      <x:c r="N36" s="53" t="n">
        <x:v>3</x:v>
      </x:c>
      <x:c r="O36" s="53" t="str">
        <x:v>TBD_METHOD_SPECIFIC: range/resolution/bias/repeat spread/operator effects утверждаются до execution</x:v>
      </x:c>
      <x:c r="P36" s="53" t="str">
        <x:v>DESIGN_PLACEHOLDER_NOT_EXECUTABLE: item-specific hazard analysis, материалы, энергия, концентрация, СИЗ и отходы ещё не утверждены.</x:v>
      </x:c>
      <x:c r="Q36" s="53" t="str">
        <x:v>BLOCKED_BEFORE_START: до точного method/source review запрещено начинать; после review нужны наблюдаемые численные/событийные stop conditions.</x:v>
      </x:c>
      <x:c r="R36" s="53" t="str">
        <x:v>TBD_ITEM_SPECIFIC_AND_LOCAL: пока маршрут отходов не утверждён, физическое выполнение блокировано.</x:v>
      </x:c>
      <x:c r="S36" s="53" t="str">
        <x:v>S1_LOW_RISK_HOUSEHOLD</x:v>
      </x:c>
      <x:c r="T36" s="53" t="str">
        <x:v>S1 допускается только после замены всех DESIGN/TBD полей точным low-risk методом и независимой safety-проверки.</x:v>
      </x:c>
      <x:c r="U36" s="53" t="n">
        <x:v>3</x:v>
      </x:c>
      <x:c r="V36" s="53" t="str">
        <x:v>ANY_SAFE_PERIOD</x:v>
      </x:c>
      <x:c r="W36" s="53" t="str">
        <x:v>records/science/SCI-PHYS-01/YYYY-MM-DD/</x:v>
      </x:c>
      <x:c r="X36" s="53" t="str">
        <x:v>PSP-015|PSP-024</x:v>
      </x:c>
      <x:c r="Y36" s="53" t="str">
        <x:v>PROVISIONAL_TOPIC_CANDIDATES_NOT_METHOD_REVIEWED</x:v>
      </x:c>
      <x:c r="Z36" s="53" t="str">
        <x:v>BLOCKED_UNTIL_EXACT_METHOD_SOURCE_SAFETY_AND_LOCAL_REVIEW</x:v>
      </x:c>
      <x:c r="AA36" s="53" t="str">
        <x:v>DESIGN_ONLY_NOT_EXECUTED</x:v>
      </x:c>
      <x:c r="AB3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6" s="53" t="str">
        <x:v>0.4</x:v>
      </x:c>
    </x:row>
    <x:row r="37">
      <x:c r="A37" s="26" t="str">
        <x:v>PRJ-034</x:v>
      </x:c>
      <x:c r="B37" s="26" t="str">
        <x:v>SCI-PHYS-02</x:v>
      </x:c>
      <x:c r="C37" s="26" t="str">
        <x:v>PHYS</x:v>
      </x:c>
      <x:c r="D37" s="26" t="str">
        <x:v>Практическая проверка: Кинематика: положение, скорость и ускорение</x:v>
      </x:c>
      <x:c r="E37" s="26" t="str">
        <x:v>LOW_RISK_BENCH_OR_FIELD</x:v>
      </x:c>
      <x:c r="F37" s="26" t="str">
        <x:v>Объяснить базовую модель, выполнить допустимую для класса риска проверку и документировать пределы по теме «Кинематика: положение, скорость и ускорение».</x:v>
      </x:c>
      <x:c r="G37" s="26" t="str">
        <x:v>SCI-PHYS-01|SCI-METH-13|право остановить опыт|инструкция оборудования</x:v>
      </x:c>
      <x:c r="H37" s="26" t="str">
        <x:v>TBD_NON_EXECUTABLE: точные item/model/material/range/PPE для SI-измерение должны быть утверждены до начала</x:v>
      </x:c>
      <x:c r="I37" s="26" t="str">
        <x:v>Сформулировать вопрос; записать метод и единицы; выполнить видеоряд или секундомерный ряд движения безопасного объекта; сохранить сырые данные; повторить; оценить неопределённость; сделать ограниченный вывод.</x:v>
      </x:c>
      <x:c r="J37" s="26" t="str">
        <x:v>видеоряд или секундомерный ряд движения безопасного объекта</x:v>
      </x:c>
      <x:c r="K37" s="26" t="str">
        <x:v>SI или явно названный стандарт</x:v>
      </x:c>
      <x:c r="L37" s="26" t="str">
        <x:v>TBD_BEFORE_EXECUTION_FROM_EXACT_METHOD: диапазон/критерий фиксируется до результата; post-hoc подгонка запрещена.</x:v>
      </x:c>
      <x:c r="M37" s="26" t="str">
        <x:v>сырые данные + фото/скриншот при допустимости + расчёт + uncertainty + подпись reviewer + hash пакета</x:v>
      </x:c>
      <x:c r="N37" s="26" t="n">
        <x:v>3</x:v>
      </x:c>
      <x:c r="O37" s="26" t="str">
        <x:v>TBD_METHOD_SPECIFIC: range/resolution/bias/repeat spread/operator effects утверждаются до execution</x:v>
      </x:c>
      <x:c r="P37" s="26" t="str">
        <x:v>DESIGN_PLACEHOLDER_NOT_EXECUTABLE: item-specific hazard analysis, материалы, энергия, концентрация, СИЗ и отходы ещё не утверждены.</x:v>
      </x:c>
      <x:c r="Q37" s="26" t="str">
        <x:v>BLOCKED_BEFORE_START: до точного method/source review запрещено начинать; после review нужны наблюдаемые численные/событийные stop conditions.</x:v>
      </x:c>
      <x:c r="R37" s="26" t="str">
        <x:v>TBD_ITEM_SPECIFIC_AND_LOCAL: пока маршрут отходов не утверждён, физическое выполнение блокировано.</x:v>
      </x:c>
      <x:c r="S37" s="26" t="str">
        <x:v>S1_LOW_RISK_HOUSEHOLD</x:v>
      </x:c>
      <x:c r="T37" s="26" t="str">
        <x:v>S1 допускается только после замены всех DESIGN/TBD полей точным low-risk методом и независимой safety-проверки.</x:v>
      </x:c>
      <x:c r="U37" s="26" t="n">
        <x:v>3</x:v>
      </x:c>
      <x:c r="V37" s="26" t="str">
        <x:v>ANY_SAFE_PERIOD</x:v>
      </x:c>
      <x:c r="W37" s="26" t="str">
        <x:v>records/science/SCI-PHYS-02/YYYY-MM-DD/</x:v>
      </x:c>
      <x:c r="X37" s="26" t="str">
        <x:v>PSP-015|PSP-024</x:v>
      </x:c>
      <x:c r="Y37" s="26" t="str">
        <x:v>PROVISIONAL_TOPIC_CANDIDATES_NOT_METHOD_REVIEWED</x:v>
      </x:c>
      <x:c r="Z37" s="26" t="str">
        <x:v>BLOCKED_UNTIL_EXACT_METHOD_SOURCE_SAFETY_AND_LOCAL_REVIEW</x:v>
      </x:c>
      <x:c r="AA37" s="26" t="str">
        <x:v>DESIGN_ONLY_NOT_EXECUTED</x:v>
      </x:c>
      <x:c r="AB3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7" s="26" t="str">
        <x:v>0.4</x:v>
      </x:c>
    </x:row>
    <x:row r="38">
      <x:c r="A38" s="53" t="str">
        <x:v>PRJ-035</x:v>
      </x:c>
      <x:c r="B38" s="53" t="str">
        <x:v>SCI-PHYS-03</x:v>
      </x:c>
      <x:c r="C38" s="53" t="str">
        <x:v>PHYS</x:v>
      </x:c>
      <x:c r="D38" s="53" t="str">
        <x:v>Практическая проверка: Силы, масса и законы Ньютона</x:v>
      </x:c>
      <x:c r="E38" s="53" t="str">
        <x:v>LOW_RISK_BENCH_OR_FIELD</x:v>
      </x:c>
      <x:c r="F38" s="53" t="str">
        <x:v>Объяснить базовую модель, выполнить допустимую для класса риска проверку и документировать пределы по теме «Силы, масса и законы Ньютона».</x:v>
      </x:c>
      <x:c r="G38" s="53" t="str">
        <x:v>SCI-PHYS-02|SCI-METH-13|право остановить опыт|инструкция оборудования</x:v>
      </x:c>
      <x:c r="H38" s="53" t="str">
        <x:v>TBD_NON_EXECUTABLE: точные item/model/material/range/PPE для SI-измерение должны быть утверждены до начала</x:v>
      </x:c>
      <x:c r="I38" s="53" t="str">
        <x:v>Сформулировать вопрос; записать метод и единицы; выполнить диаграмма сил и измерение малых сил безопасным динамометром; сохранить сырые данные; повторить; оценить неопределённость; сделать ограниченный вывод.</x:v>
      </x:c>
      <x:c r="J38" s="53" t="str">
        <x:v>диаграмма сил и измерение малых сил безопасным динамометром</x:v>
      </x:c>
      <x:c r="K38" s="53" t="str">
        <x:v>SI или явно названный стандарт</x:v>
      </x:c>
      <x:c r="L38" s="53" t="str">
        <x:v>TBD_BEFORE_EXECUTION_FROM_EXACT_METHOD: диапазон/критерий фиксируется до результата; post-hoc подгонка запрещена.</x:v>
      </x:c>
      <x:c r="M38" s="53" t="str">
        <x:v>сырые данные + фото/скриншот при допустимости + расчёт + uncertainty + подпись reviewer + hash пакета</x:v>
      </x:c>
      <x:c r="N38" s="53" t="n">
        <x:v>3</x:v>
      </x:c>
      <x:c r="O38" s="53" t="str">
        <x:v>TBD_METHOD_SPECIFIC: range/resolution/bias/repeat spread/operator effects утверждаются до execution</x:v>
      </x:c>
      <x:c r="P38" s="53" t="str">
        <x:v>DESIGN_PLACEHOLDER_NOT_EXECUTABLE: item-specific hazard analysis, материалы, энергия, концентрация, СИЗ и отходы ещё не утверждены.</x:v>
      </x:c>
      <x:c r="Q38" s="53" t="str">
        <x:v>BLOCKED_BEFORE_START: до точного method/source review запрещено начинать; после review нужны наблюдаемые численные/событийные stop conditions.</x:v>
      </x:c>
      <x:c r="R38" s="53" t="str">
        <x:v>TBD_ITEM_SPECIFIC_AND_LOCAL: пока маршрут отходов не утверждён, физическое выполнение блокировано.</x:v>
      </x:c>
      <x:c r="S38" s="53" t="str">
        <x:v>S1_LOW_RISK_HOUSEHOLD</x:v>
      </x:c>
      <x:c r="T38" s="53" t="str">
        <x:v>S1 допускается только после замены всех DESIGN/TBD полей точным low-risk методом и независимой safety-проверки.</x:v>
      </x:c>
      <x:c r="U38" s="53" t="n">
        <x:v>3</x:v>
      </x:c>
      <x:c r="V38" s="53" t="str">
        <x:v>ANY_SAFE_PERIOD</x:v>
      </x:c>
      <x:c r="W38" s="53" t="str">
        <x:v>records/science/SCI-PHYS-03/YYYY-MM-DD/</x:v>
      </x:c>
      <x:c r="X38" s="53" t="str">
        <x:v>PSP-015|PSP-024</x:v>
      </x:c>
      <x:c r="Y38" s="53" t="str">
        <x:v>PROVISIONAL_TOPIC_CANDIDATES_NOT_METHOD_REVIEWED</x:v>
      </x:c>
      <x:c r="Z38" s="53" t="str">
        <x:v>BLOCKED_UNTIL_EXACT_METHOD_SOURCE_SAFETY_AND_LOCAL_REVIEW</x:v>
      </x:c>
      <x:c r="AA38" s="53" t="str">
        <x:v>DESIGN_ONLY_NOT_EXECUTED</x:v>
      </x:c>
      <x:c r="AB3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8" s="53" t="str">
        <x:v>0.4</x:v>
      </x:c>
    </x:row>
    <x:row r="39">
      <x:c r="A39" s="26" t="str">
        <x:v>PRJ-036</x:v>
      </x:c>
      <x:c r="B39" s="26" t="str">
        <x:v>SCI-PHYS-04</x:v>
      </x:c>
      <x:c r="C39" s="26" t="str">
        <x:v>PHYS</x:v>
      </x:c>
      <x:c r="D39" s="26" t="str">
        <x:v>Практическая проверка: Статика, равновесие и центр масс</x:v>
      </x:c>
      <x:c r="E39" s="26" t="str">
        <x:v>LOW_RISK_BENCH_OR_FIELD</x:v>
      </x:c>
      <x:c r="F39" s="26" t="str">
        <x:v>Объяснить базовую модель, выполнить допустимую для класса риска проверку и документировать пределы по теме «Статика, равновесие и центр масс».</x:v>
      </x:c>
      <x:c r="G39" s="26" t="str">
        <x:v>SCI-PHYS-03|SCI-METH-13|право остановить опыт|инструкция оборудования</x:v>
      </x:c>
      <x:c r="H39" s="26" t="str">
        <x:v>TBD_NON_EXECUTABLE: точные item/model/material/range/PPE для SI-измерение должны быть утверждены до начала</x:v>
      </x:c>
      <x:c r="I39" s="26" t="str">
        <x:v>Сформулировать вопрос; записать метод и единицы; выполнить безопасная настольная модель равновесия; сохранить сырые данные; повторить; оценить неопределённость; сделать ограниченный вывод.</x:v>
      </x:c>
      <x:c r="J39" s="26" t="str">
        <x:v>безопасная настольная модель равновесия</x:v>
      </x:c>
      <x:c r="K39" s="26" t="str">
        <x:v>SI или явно названный стандарт</x:v>
      </x:c>
      <x:c r="L39" s="26" t="str">
        <x:v>TBD_BEFORE_EXECUTION_FROM_EXACT_METHOD: диапазон/критерий фиксируется до результата; post-hoc подгонка запрещена.</x:v>
      </x:c>
      <x:c r="M39" s="26" t="str">
        <x:v>сырые данные + фото/скриншот при допустимости + расчёт + uncertainty + подпись reviewer + hash пакета</x:v>
      </x:c>
      <x:c r="N39" s="26" t="n">
        <x:v>3</x:v>
      </x:c>
      <x:c r="O39" s="26" t="str">
        <x:v>TBD_METHOD_SPECIFIC: range/resolution/bias/repeat spread/operator effects утверждаются до execution</x:v>
      </x:c>
      <x:c r="P39" s="26" t="str">
        <x:v>DESIGN_PLACEHOLDER_NOT_EXECUTABLE: item-specific hazard analysis, материалы, энергия, концентрация, СИЗ и отходы ещё не утверждены.</x:v>
      </x:c>
      <x:c r="Q39" s="26" t="str">
        <x:v>BLOCKED_BEFORE_START: до точного method/source review запрещено начинать; после review нужны наблюдаемые численные/событийные stop conditions.</x:v>
      </x:c>
      <x:c r="R39" s="26" t="str">
        <x:v>TBD_ITEM_SPECIFIC_AND_LOCAL: пока маршрут отходов не утверждён, физическое выполнение блокировано.</x:v>
      </x:c>
      <x:c r="S39" s="26" t="str">
        <x:v>S1_LOW_RISK_HOUSEHOLD</x:v>
      </x:c>
      <x:c r="T39" s="26" t="str">
        <x:v>S1 допускается только после замены всех DESIGN/TBD полей точным low-risk методом и независимой safety-проверки.</x:v>
      </x:c>
      <x:c r="U39" s="26" t="n">
        <x:v>3</x:v>
      </x:c>
      <x:c r="V39" s="26" t="str">
        <x:v>ANY_SAFE_PERIOD</x:v>
      </x:c>
      <x:c r="W39" s="26" t="str">
        <x:v>records/science/SCI-PHYS-04/YYYY-MM-DD/</x:v>
      </x:c>
      <x:c r="X39" s="26" t="str">
        <x:v>PSP-015|PSP-024</x:v>
      </x:c>
      <x:c r="Y39" s="26" t="str">
        <x:v>PROVISIONAL_TOPIC_CANDIDATES_NOT_METHOD_REVIEWED</x:v>
      </x:c>
      <x:c r="Z39" s="26" t="str">
        <x:v>BLOCKED_UNTIL_EXACT_METHOD_SOURCE_SAFETY_AND_LOCAL_REVIEW</x:v>
      </x:c>
      <x:c r="AA39" s="26" t="str">
        <x:v>DESIGN_ONLY_NOT_EXECUTED</x:v>
      </x:c>
      <x:c r="AB3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39" s="26" t="str">
        <x:v>0.4</x:v>
      </x:c>
    </x:row>
    <x:row r="40">
      <x:c r="A40" s="53" t="str">
        <x:v>PRJ-037</x:v>
      </x:c>
      <x:c r="B40" s="53" t="str">
        <x:v>SCI-PHYS-05</x:v>
      </x:c>
      <x:c r="C40" s="53" t="str">
        <x:v>PHYS</x:v>
      </x:c>
      <x:c r="D40" s="53" t="str">
        <x:v>Практическая проверка: Работа, энергия, мощность и КПД</x:v>
      </x:c>
      <x:c r="E40" s="53" t="str">
        <x:v>LOW_RISK_BENCH_OR_FIELD</x:v>
      </x:c>
      <x:c r="F40" s="53" t="str">
        <x:v>Объяснить базовую модель, выполнить допустимую для класса риска проверку и документировать пределы по теме «Работа, энергия, мощность и КПД».</x:v>
      </x:c>
      <x:c r="G40" s="53" t="str">
        <x:v>SCI-PHYS-04|SCI-METH-13|право остановить опыт|инструкция оборудования</x:v>
      </x:c>
      <x:c r="H40" s="53" t="str">
        <x:v>TBD_NON_EXECUTABLE: точные item/model/material/range/PPE для SI-измерение должны быть утверждены до начала</x:v>
      </x:c>
      <x:c r="I40" s="53" t="str">
        <x:v>Сформулировать вопрос; записать метод и единицы; выполнить энергетический баланс маломощной системы; сохранить сырые данные; повторить; оценить неопределённость; сделать ограниченный вывод.</x:v>
      </x:c>
      <x:c r="J40" s="53" t="str">
        <x:v>энергетический баланс маломощной системы</x:v>
      </x:c>
      <x:c r="K40" s="53" t="str">
        <x:v>SI или явно названный стандарт</x:v>
      </x:c>
      <x:c r="L40" s="53" t="str">
        <x:v>TBD_BEFORE_EXECUTION_FROM_EXACT_METHOD: диапазон/критерий фиксируется до результата; post-hoc подгонка запрещена.</x:v>
      </x:c>
      <x:c r="M40" s="53" t="str">
        <x:v>сырые данные + фото/скриншот при допустимости + расчёт + uncertainty + подпись reviewer + hash пакета</x:v>
      </x:c>
      <x:c r="N40" s="53" t="n">
        <x:v>3</x:v>
      </x:c>
      <x:c r="O40" s="53" t="str">
        <x:v>TBD_METHOD_SPECIFIC: range/resolution/bias/repeat spread/operator effects утверждаются до execution</x:v>
      </x:c>
      <x:c r="P40" s="53" t="str">
        <x:v>DESIGN_PLACEHOLDER_NOT_EXECUTABLE: item-specific hazard analysis, материалы, энергия, концентрация, СИЗ и отходы ещё не утверждены.</x:v>
      </x:c>
      <x:c r="Q40" s="53" t="str">
        <x:v>BLOCKED_BEFORE_START: до точного method/source review запрещено начинать; после review нужны наблюдаемые численные/событийные stop conditions.</x:v>
      </x:c>
      <x:c r="R40" s="53" t="str">
        <x:v>TBD_ITEM_SPECIFIC_AND_LOCAL: пока маршрут отходов не утверждён, физическое выполнение блокировано.</x:v>
      </x:c>
      <x:c r="S40" s="53" t="str">
        <x:v>S1_LOW_RISK_HOUSEHOLD</x:v>
      </x:c>
      <x:c r="T40" s="53" t="str">
        <x:v>S1 допускается только после замены всех DESIGN/TBD полей точным low-risk методом и независимой safety-проверки.</x:v>
      </x:c>
      <x:c r="U40" s="53" t="n">
        <x:v>3</x:v>
      </x:c>
      <x:c r="V40" s="53" t="str">
        <x:v>ANY_SAFE_PERIOD</x:v>
      </x:c>
      <x:c r="W40" s="53" t="str">
        <x:v>records/science/SCI-PHYS-05/YYYY-MM-DD/</x:v>
      </x:c>
      <x:c r="X40" s="53" t="str">
        <x:v>PSP-015|PSP-024</x:v>
      </x:c>
      <x:c r="Y40" s="53" t="str">
        <x:v>PROVISIONAL_TOPIC_CANDIDATES_NOT_METHOD_REVIEWED</x:v>
      </x:c>
      <x:c r="Z40" s="53" t="str">
        <x:v>BLOCKED_UNTIL_EXACT_METHOD_SOURCE_SAFETY_AND_LOCAL_REVIEW</x:v>
      </x:c>
      <x:c r="AA40" s="53" t="str">
        <x:v>DESIGN_ONLY_NOT_EXECUTED</x:v>
      </x:c>
      <x:c r="AB4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0" s="53" t="str">
        <x:v>0.4</x:v>
      </x:c>
    </x:row>
    <x:row r="41">
      <x:c r="A41" s="26" t="str">
        <x:v>PRJ-038</x:v>
      </x:c>
      <x:c r="B41" s="26" t="str">
        <x:v>SCI-PHYS-06</x:v>
      </x:c>
      <x:c r="C41" s="26" t="str">
        <x:v>PHYS</x:v>
      </x:c>
      <x:c r="D41" s="26" t="str">
        <x:v>Практическая проверка: Импульс и столкновения</x:v>
      </x:c>
      <x:c r="E41" s="26" t="str">
        <x:v>LOW_RISK_BENCH_OR_FIELD</x:v>
      </x:c>
      <x:c r="F41" s="26" t="str">
        <x:v>Объяснить базовую модель, выполнить допустимую для класса риска проверку и документировать пределы по теме «Импульс и столкновения».</x:v>
      </x:c>
      <x:c r="G41" s="26" t="str">
        <x:v>SCI-PHYS-05|SCI-METH-13|право остановить опыт|инструкция оборудования</x:v>
      </x:c>
      <x:c r="H41" s="26" t="str">
        <x:v>TBD_NON_EXECUTABLE: точные item/model/material/range/PPE для SI-измерение должны быть утверждены до начала</x:v>
      </x:c>
      <x:c r="I41" s="26" t="str">
        <x:v>Сформулировать вопрос; записать метод и единицы; выполнить видеоанализ малых тел без людей и хрупких предметов; сохранить сырые данные; повторить; оценить неопределённость; сделать ограниченный вывод.</x:v>
      </x:c>
      <x:c r="J41" s="26" t="str">
        <x:v>видеоанализ малых тел без людей и хрупких предметов</x:v>
      </x:c>
      <x:c r="K41" s="26" t="str">
        <x:v>SI или явно названный стандарт</x:v>
      </x:c>
      <x:c r="L41" s="26" t="str">
        <x:v>TBD_BEFORE_EXECUTION_FROM_EXACT_METHOD: диапазон/критерий фиксируется до результата; post-hoc подгонка запрещена.</x:v>
      </x:c>
      <x:c r="M41" s="26" t="str">
        <x:v>сырые данные + фото/скриншот при допустимости + расчёт + uncertainty + подпись reviewer + hash пакета</x:v>
      </x:c>
      <x:c r="N41" s="26" t="n">
        <x:v>3</x:v>
      </x:c>
      <x:c r="O41" s="26" t="str">
        <x:v>TBD_METHOD_SPECIFIC: range/resolution/bias/repeat spread/operator effects утверждаются до execution</x:v>
      </x:c>
      <x:c r="P41" s="26" t="str">
        <x:v>DESIGN_PLACEHOLDER_NOT_EXECUTABLE: item-specific hazard analysis, материалы, энергия, концентрация, СИЗ и отходы ещё не утверждены.</x:v>
      </x:c>
      <x:c r="Q41" s="26" t="str">
        <x:v>BLOCKED_BEFORE_START: до точного method/source review запрещено начинать; после review нужны наблюдаемые численные/событийные stop conditions.</x:v>
      </x:c>
      <x:c r="R41" s="26" t="str">
        <x:v>TBD_ITEM_SPECIFIC_AND_LOCAL: пока маршрут отходов не утверждён, физическое выполнение блокировано.</x:v>
      </x:c>
      <x:c r="S41" s="26" t="str">
        <x:v>S1_LOW_RISK_HOUSEHOLD</x:v>
      </x:c>
      <x:c r="T41" s="26" t="str">
        <x:v>S1 допускается только после замены всех DESIGN/TBD полей точным low-risk методом и независимой safety-проверки.</x:v>
      </x:c>
      <x:c r="U41" s="26" t="n">
        <x:v>3</x:v>
      </x:c>
      <x:c r="V41" s="26" t="str">
        <x:v>ANY_SAFE_PERIOD</x:v>
      </x:c>
      <x:c r="W41" s="26" t="str">
        <x:v>records/science/SCI-PHYS-06/YYYY-MM-DD/</x:v>
      </x:c>
      <x:c r="X41" s="26" t="str">
        <x:v>PSP-015|PSP-024</x:v>
      </x:c>
      <x:c r="Y41" s="26" t="str">
        <x:v>PROVISIONAL_TOPIC_CANDIDATES_NOT_METHOD_REVIEWED</x:v>
      </x:c>
      <x:c r="Z41" s="26" t="str">
        <x:v>BLOCKED_UNTIL_EXACT_METHOD_SOURCE_SAFETY_AND_LOCAL_REVIEW</x:v>
      </x:c>
      <x:c r="AA41" s="26" t="str">
        <x:v>DESIGN_ONLY_NOT_EXECUTED</x:v>
      </x:c>
      <x:c r="AB4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1" s="26" t="str">
        <x:v>0.4</x:v>
      </x:c>
    </x:row>
    <x:row r="42">
      <x:c r="A42" s="53" t="str">
        <x:v>PRJ-039</x:v>
      </x:c>
      <x:c r="B42" s="53" t="str">
        <x:v>SCI-PHYS-07</x:v>
      </x:c>
      <x:c r="C42" s="53" t="str">
        <x:v>PHYS</x:v>
      </x:c>
      <x:c r="D42" s="53" t="str">
        <x:v>Практическая проверка: Давление, плавучесть и гидростатика</x:v>
      </x:c>
      <x:c r="E42" s="53" t="str">
        <x:v>LOW_RISK_BENCH_OR_FIELD</x:v>
      </x:c>
      <x:c r="F42" s="53" t="str">
        <x:v>Объяснить базовую модель, выполнить допустимую для класса риска проверку и документировать пределы по теме «Давление, плавучесть и гидростатика».</x:v>
      </x:c>
      <x:c r="G42" s="53" t="str">
        <x:v>SCI-PHYS-06|SCI-METH-13|право остановить опыт|инструкция оборудования</x:v>
      </x:c>
      <x:c r="H42" s="53" t="str">
        <x:v>TBD_NON_EXECUTABLE: точные item/model/material/range/PPE для SI-измерение должны быть утверждены до начала</x:v>
      </x:c>
      <x:c r="I42" s="53" t="str">
        <x:v>Сформулировать вопрос; записать метод и единицы; выполнить зависимость давления/плавучести на безопасной водной модели; сохранить сырые данные; повторить; оценить неопределённость; сделать ограниченный вывод.</x:v>
      </x:c>
      <x:c r="J42" s="53" t="str">
        <x:v>зависимость давления/плавучести на безопасной водной модели</x:v>
      </x:c>
      <x:c r="K42" s="53" t="str">
        <x:v>SI или явно названный стандарт</x:v>
      </x:c>
      <x:c r="L42" s="53" t="str">
        <x:v>TBD_BEFORE_EXECUTION_FROM_EXACT_METHOD: диапазон/критерий фиксируется до результата; post-hoc подгонка запрещена.</x:v>
      </x:c>
      <x:c r="M42" s="53" t="str">
        <x:v>сырые данные + фото/скриншот при допустимости + расчёт + uncertainty + подпись reviewer + hash пакета</x:v>
      </x:c>
      <x:c r="N42" s="53" t="n">
        <x:v>3</x:v>
      </x:c>
      <x:c r="O42" s="53" t="str">
        <x:v>TBD_METHOD_SPECIFIC: range/resolution/bias/repeat spread/operator effects утверждаются до execution</x:v>
      </x:c>
      <x:c r="P42" s="53" t="str">
        <x:v>DESIGN_PLACEHOLDER_NOT_EXECUTABLE: item-specific hazard analysis, материалы, энергия, концентрация, СИЗ и отходы ещё не утверждены.</x:v>
      </x:c>
      <x:c r="Q42" s="53" t="str">
        <x:v>BLOCKED_BEFORE_START: до точного method/source review запрещено начинать; после review нужны наблюдаемые численные/событийные stop conditions.</x:v>
      </x:c>
      <x:c r="R42" s="53" t="str">
        <x:v>TBD_ITEM_SPECIFIC_AND_LOCAL: пока маршрут отходов не утверждён, физическое выполнение блокировано.</x:v>
      </x:c>
      <x:c r="S42" s="53" t="str">
        <x:v>S1_LOW_RISK_HOUSEHOLD</x:v>
      </x:c>
      <x:c r="T42" s="53" t="str">
        <x:v>S1 допускается только после замены всех DESIGN/TBD полей точным low-risk методом и независимой safety-проверки.</x:v>
      </x:c>
      <x:c r="U42" s="53" t="n">
        <x:v>3</x:v>
      </x:c>
      <x:c r="V42" s="53" t="str">
        <x:v>ANY_SAFE_PERIOD</x:v>
      </x:c>
      <x:c r="W42" s="53" t="str">
        <x:v>records/science/SCI-PHYS-07/YYYY-MM-DD/</x:v>
      </x:c>
      <x:c r="X42" s="53" t="str">
        <x:v>PSP-015|PSP-024</x:v>
      </x:c>
      <x:c r="Y42" s="53" t="str">
        <x:v>PROVISIONAL_TOPIC_CANDIDATES_NOT_METHOD_REVIEWED</x:v>
      </x:c>
      <x:c r="Z42" s="53" t="str">
        <x:v>BLOCKED_UNTIL_EXACT_METHOD_SOURCE_SAFETY_AND_LOCAL_REVIEW</x:v>
      </x:c>
      <x:c r="AA42" s="53" t="str">
        <x:v>DESIGN_ONLY_NOT_EXECUTED</x:v>
      </x:c>
      <x:c r="AB4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2" s="53" t="str">
        <x:v>0.4</x:v>
      </x:c>
    </x:row>
    <x:row r="43">
      <x:c r="A43" s="26" t="str">
        <x:v>PRJ-040</x:v>
      </x:c>
      <x:c r="B43" s="26" t="str">
        <x:v>SCI-PHYS-08</x:v>
      </x:c>
      <x:c r="C43" s="26" t="str">
        <x:v>PHYS</x:v>
      </x:c>
      <x:c r="D43" s="26" t="str">
        <x:v>Практическая проверка: Поток, расход, сопротивление и насосы</x:v>
      </x:c>
      <x:c r="E43" s="26" t="str">
        <x:v>LOW_RISK_BENCH_OR_FIELD</x:v>
      </x:c>
      <x:c r="F43" s="26" t="str">
        <x:v>Объяснить базовую модель, выполнить допустимую для класса риска проверку и документировать пределы по теме «Поток, расход, сопротивление и насосы».</x:v>
      </x:c>
      <x:c r="G43" s="26" t="str">
        <x:v>SCI-PHYS-07|SCI-METH-13|право остановить опыт|инструкция оборудования</x:v>
      </x:c>
      <x:c r="H43" s="26" t="str">
        <x:v>TBD_NON_EXECUTABLE: точные item/model/material/range/PPE для SI-измерение должны быть утверждены до начала</x:v>
      </x:c>
      <x:c r="I43" s="26" t="str">
        <x:v>Сформулировать вопрос; записать метод и единицы; выполнить измерение расхода воды при безопасном низком давлении; сохранить сырые данные; повторить; оценить неопределённость; сделать ограниченный вывод.</x:v>
      </x:c>
      <x:c r="J43" s="26" t="str">
        <x:v>измерение расхода воды при безопасном низком давлении</x:v>
      </x:c>
      <x:c r="K43" s="26" t="str">
        <x:v>SI или явно названный стандарт</x:v>
      </x:c>
      <x:c r="L43" s="26" t="str">
        <x:v>TBD_BEFORE_EXECUTION_FROM_EXACT_METHOD: диапазон/критерий фиксируется до результата; post-hoc подгонка запрещена.</x:v>
      </x:c>
      <x:c r="M43" s="26" t="str">
        <x:v>сырые данные + фото/скриншот при допустимости + расчёт + uncertainty + подпись reviewer + hash пакета</x:v>
      </x:c>
      <x:c r="N43" s="26" t="n">
        <x:v>3</x:v>
      </x:c>
      <x:c r="O43" s="26" t="str">
        <x:v>TBD_METHOD_SPECIFIC: range/resolution/bias/repeat spread/operator effects утверждаются до execution</x:v>
      </x:c>
      <x:c r="P43" s="26" t="str">
        <x:v>DESIGN_PLACEHOLDER_NOT_EXECUTABLE: item-specific hazard analysis, материалы, энергия, концентрация, СИЗ и отходы ещё не утверждены.</x:v>
      </x:c>
      <x:c r="Q43" s="26" t="str">
        <x:v>BLOCKED_BEFORE_START: до точного method/source review запрещено начинать; после review нужны наблюдаемые численные/событийные stop conditions.</x:v>
      </x:c>
      <x:c r="R43" s="26" t="str">
        <x:v>TBD_ITEM_SPECIFIC_AND_LOCAL: пока маршрут отходов не утверждён, физическое выполнение блокировано.</x:v>
      </x:c>
      <x:c r="S43" s="26" t="str">
        <x:v>S1_LOW_RISK_HOUSEHOLD</x:v>
      </x:c>
      <x:c r="T43" s="26" t="str">
        <x:v>S1 допускается только после замены всех DESIGN/TBD полей точным low-risk методом и независимой safety-проверки.</x:v>
      </x:c>
      <x:c r="U43" s="26" t="n">
        <x:v>3</x:v>
      </x:c>
      <x:c r="V43" s="26" t="str">
        <x:v>ANY_SAFE_PERIOD</x:v>
      </x:c>
      <x:c r="W43" s="26" t="str">
        <x:v>records/science/SCI-PHYS-08/YYYY-MM-DD/</x:v>
      </x:c>
      <x:c r="X43" s="26" t="str">
        <x:v>PSP-015|PSP-024</x:v>
      </x:c>
      <x:c r="Y43" s="26" t="str">
        <x:v>PROVISIONAL_TOPIC_CANDIDATES_NOT_METHOD_REVIEWED</x:v>
      </x:c>
      <x:c r="Z43" s="26" t="str">
        <x:v>BLOCKED_UNTIL_EXACT_METHOD_SOURCE_SAFETY_AND_LOCAL_REVIEW</x:v>
      </x:c>
      <x:c r="AA43" s="26" t="str">
        <x:v>DESIGN_ONLY_NOT_EXECUTED</x:v>
      </x:c>
      <x:c r="AB4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3" s="26" t="str">
        <x:v>0.4</x:v>
      </x:c>
    </x:row>
    <x:row r="44">
      <x:c r="A44" s="53" t="str">
        <x:v>PRJ-041</x:v>
      </x:c>
      <x:c r="B44" s="53" t="str">
        <x:v>SCI-PHYS-09</x:v>
      </x:c>
      <x:c r="C44" s="53" t="str">
        <x:v>PHYS</x:v>
      </x:c>
      <x:c r="D44" s="53" t="str">
        <x:v>Практическая проверка: Температура, теплоёмкость и фазовые переходы</x:v>
      </x:c>
      <x:c r="E44" s="53" t="str">
        <x:v>LOW_RISK_BENCH_OR_FIELD</x:v>
      </x:c>
      <x:c r="F44" s="53" t="str">
        <x:v>Объяснить базовую модель, выполнить допустимую для класса риска проверку и документировать пределы по теме «Температура, теплоёмкость и фазовые переходы».</x:v>
      </x:c>
      <x:c r="G44" s="53" t="str">
        <x:v>SCI-PHYS-08|SCI-METH-13|право остановить опыт|инструкция оборудования</x:v>
      </x:c>
      <x:c r="H44" s="53" t="str">
        <x:v>TBD_NON_EXECUTABLE: точные item/model/material/range/PPE для SI-измерение должны быть утверждены до начала</x:v>
      </x:c>
      <x:c r="I44" s="53" t="str">
        <x:v>Сформулировать вопрос; записать метод и единицы; выполнить температурно-временной ряд без открытого огня; сохранить сырые данные; повторить; оценить неопределённость; сделать ограниченный вывод.</x:v>
      </x:c>
      <x:c r="J44" s="53" t="str">
        <x:v>температурно-временной ряд без открытого огня</x:v>
      </x:c>
      <x:c r="K44" s="53" t="str">
        <x:v>SI или явно названный стандарт</x:v>
      </x:c>
      <x:c r="L44" s="53" t="str">
        <x:v>TBD_BEFORE_EXECUTION_FROM_EXACT_METHOD: диапазон/критерий фиксируется до результата; post-hoc подгонка запрещена.</x:v>
      </x:c>
      <x:c r="M44" s="53" t="str">
        <x:v>сырые данные + фото/скриншот при допустимости + расчёт + uncertainty + подпись reviewer + hash пакета</x:v>
      </x:c>
      <x:c r="N44" s="53" t="n">
        <x:v>3</x:v>
      </x:c>
      <x:c r="O44" s="53" t="str">
        <x:v>TBD_METHOD_SPECIFIC: range/resolution/bias/repeat spread/operator effects утверждаются до execution</x:v>
      </x:c>
      <x:c r="P44" s="53" t="str">
        <x:v>DESIGN_PLACEHOLDER_NOT_EXECUTABLE: item-specific hazard analysis, материалы, энергия, концентрация, СИЗ и отходы ещё не утверждены.</x:v>
      </x:c>
      <x:c r="Q44" s="53" t="str">
        <x:v>BLOCKED_BEFORE_START: до точного method/source review запрещено начинать; после review нужны наблюдаемые численные/событийные stop conditions.</x:v>
      </x:c>
      <x:c r="R44" s="53" t="str">
        <x:v>TBD_ITEM_SPECIFIC_AND_LOCAL: пока маршрут отходов не утверждён, физическое выполнение блокировано.</x:v>
      </x:c>
      <x:c r="S44" s="53" t="str">
        <x:v>S1_LOW_RISK_HOUSEHOLD</x:v>
      </x:c>
      <x:c r="T44" s="53" t="str">
        <x:v>S1 допускается только после замены всех DESIGN/TBD полей точным low-risk методом и независимой safety-проверки.</x:v>
      </x:c>
      <x:c r="U44" s="53" t="n">
        <x:v>3</x:v>
      </x:c>
      <x:c r="V44" s="53" t="str">
        <x:v>ANY_SAFE_PERIOD</x:v>
      </x:c>
      <x:c r="W44" s="53" t="str">
        <x:v>records/science/SCI-PHYS-09/YYYY-MM-DD/</x:v>
      </x:c>
      <x:c r="X44" s="53" t="str">
        <x:v>PSP-015|PSP-024</x:v>
      </x:c>
      <x:c r="Y44" s="53" t="str">
        <x:v>PROVISIONAL_TOPIC_CANDIDATES_NOT_METHOD_REVIEWED</x:v>
      </x:c>
      <x:c r="Z44" s="53" t="str">
        <x:v>BLOCKED_UNTIL_EXACT_METHOD_SOURCE_SAFETY_AND_LOCAL_REVIEW</x:v>
      </x:c>
      <x:c r="AA44" s="53" t="str">
        <x:v>DESIGN_ONLY_NOT_EXECUTED</x:v>
      </x:c>
      <x:c r="AB4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4" s="53" t="str">
        <x:v>0.4</x:v>
      </x:c>
    </x:row>
    <x:row r="45">
      <x:c r="A45" s="26" t="str">
        <x:v>PRJ-042</x:v>
      </x:c>
      <x:c r="B45" s="26" t="str">
        <x:v>SCI-PHYS-10</x:v>
      </x:c>
      <x:c r="C45" s="26" t="str">
        <x:v>PHYS</x:v>
      </x:c>
      <x:c r="D45" s="26" t="str">
        <x:v>Практическая проверка: Теплопередача, изоляция и тепловой баланс</x:v>
      </x:c>
      <x:c r="E45" s="26" t="str">
        <x:v>LOW_RISK_BENCH_OR_FIELD</x:v>
      </x:c>
      <x:c r="F45" s="26" t="str">
        <x:v>Объяснить базовую модель, выполнить допустимую для класса риска проверку и документировать пределы по теме «Теплопередача, изоляция и тепловой баланс».</x:v>
      </x:c>
      <x:c r="G45" s="26" t="str">
        <x:v>SCI-PHYS-09|SCI-METH-13|право остановить опыт|инструкция оборудования</x:v>
      </x:c>
      <x:c r="H45" s="26" t="str">
        <x:v>TBD_NON_EXECUTABLE: точные item/model/material/range/PPE для SI-измерение должны быть утверждены до начала</x:v>
      </x:c>
      <x:c r="I45" s="26" t="str">
        <x:v>Сформулировать вопрос; записать метод и единицы; выполнить сравнение охлаждения двух одинаковых ёмкостей; сохранить сырые данные; повторить; оценить неопределённость; сделать ограниченный вывод.</x:v>
      </x:c>
      <x:c r="J45" s="26" t="str">
        <x:v>сравнение охлаждения двух одинаковых ёмкостей</x:v>
      </x:c>
      <x:c r="K45" s="26" t="str">
        <x:v>SI или явно названный стандарт</x:v>
      </x:c>
      <x:c r="L45" s="26" t="str">
        <x:v>TBD_BEFORE_EXECUTION_FROM_EXACT_METHOD: диапазон/критерий фиксируется до результата; post-hoc подгонка запрещена.</x:v>
      </x:c>
      <x:c r="M45" s="26" t="str">
        <x:v>сырые данные + фото/скриншот при допустимости + расчёт + uncertainty + подпись reviewer + hash пакета</x:v>
      </x:c>
      <x:c r="N45" s="26" t="n">
        <x:v>3</x:v>
      </x:c>
      <x:c r="O45" s="26" t="str">
        <x:v>TBD_METHOD_SPECIFIC: range/resolution/bias/repeat spread/operator effects утверждаются до execution</x:v>
      </x:c>
      <x:c r="P45" s="26" t="str">
        <x:v>DESIGN_PLACEHOLDER_NOT_EXECUTABLE: item-specific hazard analysis, материалы, энергия, концентрация, СИЗ и отходы ещё не утверждены.</x:v>
      </x:c>
      <x:c r="Q45" s="26" t="str">
        <x:v>BLOCKED_BEFORE_START: до точного method/source review запрещено начинать; после review нужны наблюдаемые численные/событийные stop conditions.</x:v>
      </x:c>
      <x:c r="R45" s="26" t="str">
        <x:v>TBD_ITEM_SPECIFIC_AND_LOCAL: пока маршрут отходов не утверждён, физическое выполнение блокировано.</x:v>
      </x:c>
      <x:c r="S45" s="26" t="str">
        <x:v>S1_LOW_RISK_HOUSEHOLD</x:v>
      </x:c>
      <x:c r="T45" s="26" t="str">
        <x:v>S1 допускается только после замены всех DESIGN/TBD полей точным low-risk методом и независимой safety-проверки.</x:v>
      </x:c>
      <x:c r="U45" s="26" t="n">
        <x:v>3</x:v>
      </x:c>
      <x:c r="V45" s="26" t="str">
        <x:v>ANY_SAFE_PERIOD</x:v>
      </x:c>
      <x:c r="W45" s="26" t="str">
        <x:v>records/science/SCI-PHYS-10/YYYY-MM-DD/</x:v>
      </x:c>
      <x:c r="X45" s="26" t="str">
        <x:v>PSP-015|PSP-024</x:v>
      </x:c>
      <x:c r="Y45" s="26" t="str">
        <x:v>PROVISIONAL_TOPIC_CANDIDATES_NOT_METHOD_REVIEWED</x:v>
      </x:c>
      <x:c r="Z45" s="26" t="str">
        <x:v>BLOCKED_UNTIL_EXACT_METHOD_SOURCE_SAFETY_AND_LOCAL_REVIEW</x:v>
      </x:c>
      <x:c r="AA45" s="26" t="str">
        <x:v>DESIGN_ONLY_NOT_EXECUTED</x:v>
      </x:c>
      <x:c r="AB4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5" s="26" t="str">
        <x:v>0.4</x:v>
      </x:c>
    </x:row>
    <x:row r="46">
      <x:c r="A46" s="53" t="str">
        <x:v>PRJ-043</x:v>
      </x:c>
      <x:c r="B46" s="53" t="str">
        <x:v>SCI-PHYS-11</x:v>
      </x:c>
      <x:c r="C46" s="53" t="str">
        <x:v>PHYS</x:v>
      </x:c>
      <x:c r="D46" s="53" t="str">
        <x:v>Практическая проверка: Колебания, волны и резонанс</x:v>
      </x:c>
      <x:c r="E46" s="53" t="str">
        <x:v>LOW_RISK_BENCH_OR_FIELD</x:v>
      </x:c>
      <x:c r="F46" s="53" t="str">
        <x:v>Объяснить базовую модель, выполнить допустимую для класса риска проверку и документировать пределы по теме «Колебания, волны и резонанс».</x:v>
      </x:c>
      <x:c r="G46" s="53" t="str">
        <x:v>SCI-PHYS-10|SCI-METH-13|право остановить опыт|инструкция оборудования</x:v>
      </x:c>
      <x:c r="H46" s="53" t="str">
        <x:v>TBD_NON_EXECUTABLE: точные item/model/material/range/PPE для SI-измерение должны быть утверждены до начала</x:v>
      </x:c>
      <x:c r="I46" s="53" t="str">
        <x:v>Сформулировать вопрос; записать метод и единицы; выполнить период и амплитуда безопасного маятника; сохранить сырые данные; повторить; оценить неопределённость; сделать ограниченный вывод.</x:v>
      </x:c>
      <x:c r="J46" s="53" t="str">
        <x:v>период и амплитуда безопасного маятника</x:v>
      </x:c>
      <x:c r="K46" s="53" t="str">
        <x:v>SI или явно названный стандарт</x:v>
      </x:c>
      <x:c r="L46" s="53" t="str">
        <x:v>TBD_BEFORE_EXECUTION_FROM_EXACT_METHOD: диапазон/критерий фиксируется до результата; post-hoc подгонка запрещена.</x:v>
      </x:c>
      <x:c r="M46" s="53" t="str">
        <x:v>сырые данные + фото/скриншот при допустимости + расчёт + uncertainty + подпись reviewer + hash пакета</x:v>
      </x:c>
      <x:c r="N46" s="53" t="n">
        <x:v>3</x:v>
      </x:c>
      <x:c r="O46" s="53" t="str">
        <x:v>TBD_METHOD_SPECIFIC: range/resolution/bias/repeat spread/operator effects утверждаются до execution</x:v>
      </x:c>
      <x:c r="P46" s="53" t="str">
        <x:v>DESIGN_PLACEHOLDER_NOT_EXECUTABLE: item-specific hazard analysis, материалы, энергия, концентрация, СИЗ и отходы ещё не утверждены.</x:v>
      </x:c>
      <x:c r="Q46" s="53" t="str">
        <x:v>BLOCKED_BEFORE_START: до точного method/source review запрещено начинать; после review нужны наблюдаемые численные/событийные stop conditions.</x:v>
      </x:c>
      <x:c r="R46" s="53" t="str">
        <x:v>TBD_ITEM_SPECIFIC_AND_LOCAL: пока маршрут отходов не утверждён, физическое выполнение блокировано.</x:v>
      </x:c>
      <x:c r="S46" s="53" t="str">
        <x:v>S1_LOW_RISK_HOUSEHOLD</x:v>
      </x:c>
      <x:c r="T46" s="53" t="str">
        <x:v>S1 допускается только после замены всех DESIGN/TBD полей точным low-risk методом и независимой safety-проверки.</x:v>
      </x:c>
      <x:c r="U46" s="53" t="n">
        <x:v>3</x:v>
      </x:c>
      <x:c r="V46" s="53" t="str">
        <x:v>ANY_SAFE_PERIOD</x:v>
      </x:c>
      <x:c r="W46" s="53" t="str">
        <x:v>records/science/SCI-PHYS-11/YYYY-MM-DD/</x:v>
      </x:c>
      <x:c r="X46" s="53" t="str">
        <x:v>PSP-015|PSP-024</x:v>
      </x:c>
      <x:c r="Y46" s="53" t="str">
        <x:v>PROVISIONAL_TOPIC_CANDIDATES_NOT_METHOD_REVIEWED</x:v>
      </x:c>
      <x:c r="Z46" s="53" t="str">
        <x:v>BLOCKED_UNTIL_EXACT_METHOD_SOURCE_SAFETY_AND_LOCAL_REVIEW</x:v>
      </x:c>
      <x:c r="AA46" s="53" t="str">
        <x:v>DESIGN_ONLY_NOT_EXECUTED</x:v>
      </x:c>
      <x:c r="AB4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6" s="53" t="str">
        <x:v>0.4</x:v>
      </x:c>
    </x:row>
    <x:row r="47">
      <x:c r="A47" s="26" t="str">
        <x:v>PRJ-044</x:v>
      </x:c>
      <x:c r="B47" s="26" t="str">
        <x:v>SCI-PHYS-12</x:v>
      </x:c>
      <x:c r="C47" s="26" t="str">
        <x:v>PHYS</x:v>
      </x:c>
      <x:c r="D47" s="26" t="str">
        <x:v>Практическая проверка: Акустика, шум и вибрация</x:v>
      </x:c>
      <x:c r="E47" s="26" t="str">
        <x:v>LOW_RISK_BENCH_OR_FIELD</x:v>
      </x:c>
      <x:c r="F47" s="26" t="str">
        <x:v>Объяснить базовую модель, выполнить допустимую для класса риска проверку и документировать пределы по теме «Акустика, шум и вибрация».</x:v>
      </x:c>
      <x:c r="G47" s="26" t="str">
        <x:v>SCI-PHYS-11|SCI-METH-13|право остановить опыт|инструкция оборудования</x:v>
      </x:c>
      <x:c r="H47" s="26" t="str">
        <x:v>TBD_NON_EXECUTABLE: точные item/model/material/range/PPE для SI-измерение должны быть утверждены до начала</x:v>
      </x:c>
      <x:c r="I47" s="26" t="str">
        <x:v>Сформулировать вопрос; записать метод и единицы; выполнить уровень/спектр относительного сигнала с оговоркой о некалиброванности; сохранить сырые данные; повторить; оценить неопределённость; сделать ограниченный вывод.</x:v>
      </x:c>
      <x:c r="J47" s="26" t="str">
        <x:v>уровень/спектр относительного сигнала с оговоркой о некалиброванности</x:v>
      </x:c>
      <x:c r="K47" s="26" t="str">
        <x:v>SI или явно названный стандарт</x:v>
      </x:c>
      <x:c r="L47" s="26" t="str">
        <x:v>TBD_BEFORE_EXECUTION_FROM_EXACT_METHOD: диапазон/критерий фиксируется до результата; post-hoc подгонка запрещена.</x:v>
      </x:c>
      <x:c r="M47" s="26" t="str">
        <x:v>сырые данные + фото/скриншот при допустимости + расчёт + uncertainty + подпись reviewer + hash пакета</x:v>
      </x:c>
      <x:c r="N47" s="26" t="n">
        <x:v>3</x:v>
      </x:c>
      <x:c r="O47" s="26" t="str">
        <x:v>TBD_METHOD_SPECIFIC: range/resolution/bias/repeat spread/operator effects утверждаются до execution</x:v>
      </x:c>
      <x:c r="P47" s="26" t="str">
        <x:v>DESIGN_PLACEHOLDER_NOT_EXECUTABLE: item-specific hazard analysis, материалы, энергия, концентрация, СИЗ и отходы ещё не утверждены.</x:v>
      </x:c>
      <x:c r="Q47" s="26" t="str">
        <x:v>BLOCKED_BEFORE_START: до точного method/source review запрещено начинать; после review нужны наблюдаемые численные/событийные stop conditions.</x:v>
      </x:c>
      <x:c r="R47" s="26" t="str">
        <x:v>TBD_ITEM_SPECIFIC_AND_LOCAL: пока маршрут отходов не утверждён, физическое выполнение блокировано.</x:v>
      </x:c>
      <x:c r="S47" s="26" t="str">
        <x:v>S1_LOW_RISK_HOUSEHOLD</x:v>
      </x:c>
      <x:c r="T47" s="26" t="str">
        <x:v>S1 допускается только после замены всех DESIGN/TBD полей точным low-risk методом и независимой safety-проверки.</x:v>
      </x:c>
      <x:c r="U47" s="26" t="n">
        <x:v>3</x:v>
      </x:c>
      <x:c r="V47" s="26" t="str">
        <x:v>ANY_SAFE_PERIOD</x:v>
      </x:c>
      <x:c r="W47" s="26" t="str">
        <x:v>records/science/SCI-PHYS-12/YYYY-MM-DD/</x:v>
      </x:c>
      <x:c r="X47" s="26" t="str">
        <x:v>PSP-015|PSP-024</x:v>
      </x:c>
      <x:c r="Y47" s="26" t="str">
        <x:v>PROVISIONAL_TOPIC_CANDIDATES_NOT_METHOD_REVIEWED</x:v>
      </x:c>
      <x:c r="Z47" s="26" t="str">
        <x:v>BLOCKED_UNTIL_EXACT_METHOD_SOURCE_SAFETY_AND_LOCAL_REVIEW</x:v>
      </x:c>
      <x:c r="AA47" s="26" t="str">
        <x:v>DESIGN_ONLY_NOT_EXECUTED</x:v>
      </x:c>
      <x:c r="AB4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7" s="26" t="str">
        <x:v>0.4</x:v>
      </x:c>
    </x:row>
    <x:row r="48">
      <x:c r="A48" s="53" t="str">
        <x:v>PRJ-045</x:v>
      </x:c>
      <x:c r="B48" s="53" t="str">
        <x:v>SCI-PHYS-13</x:v>
      </x:c>
      <x:c r="C48" s="53" t="str">
        <x:v>PHYS</x:v>
      </x:c>
      <x:c r="D48" s="53" t="str">
        <x:v>Практическая проверка: Геометрическая оптика и освещённость</x:v>
      </x:c>
      <x:c r="E48" s="53" t="str">
        <x:v>LOW_RISK_BENCH_OR_FIELD</x:v>
      </x:c>
      <x:c r="F48" s="53" t="str">
        <x:v>Объяснить базовую модель, выполнить допустимую для класса риска проверку и документировать пределы по теме «Геометрическая оптика и освещённость».</x:v>
      </x:c>
      <x:c r="G48" s="53" t="str">
        <x:v>SCI-PHYS-12|SCI-METH-13|право остановить опыт|инструкция оборудования</x:v>
      </x:c>
      <x:c r="H48" s="53" t="str">
        <x:v>TBD_NON_EXECUTABLE: точные item/model/material/range/PPE для SI-измерение должны быть утверждены до начала</x:v>
      </x:c>
      <x:c r="I48" s="53" t="str">
        <x:v>Сформулировать вопрос; записать метод и единицы; выполнить фокусное расстояние безопасной линзы без наблюдения Солнца; сохранить сырые данные; повторить; оценить неопределённость; сделать ограниченный вывод.</x:v>
      </x:c>
      <x:c r="J48" s="53" t="str">
        <x:v>фокусное расстояние безопасной линзы без наблюдения Солнца</x:v>
      </x:c>
      <x:c r="K48" s="53" t="str">
        <x:v>SI или явно названный стандарт</x:v>
      </x:c>
      <x:c r="L48" s="53" t="str">
        <x:v>TBD_BEFORE_EXECUTION_FROM_EXACT_METHOD: диапазон/критерий фиксируется до результата; post-hoc подгонка запрещена.</x:v>
      </x:c>
      <x:c r="M48" s="53" t="str">
        <x:v>сырые данные + фото/скриншот при допустимости + расчёт + uncertainty + подпись reviewer + hash пакета</x:v>
      </x:c>
      <x:c r="N48" s="53" t="n">
        <x:v>3</x:v>
      </x:c>
      <x:c r="O48" s="53" t="str">
        <x:v>TBD_METHOD_SPECIFIC: range/resolution/bias/repeat spread/operator effects утверждаются до execution</x:v>
      </x:c>
      <x:c r="P48" s="53" t="str">
        <x:v>DESIGN_PLACEHOLDER_NOT_EXECUTABLE: item-specific hazard analysis, материалы, энергия, концентрация, СИЗ и отходы ещё не утверждены.</x:v>
      </x:c>
      <x:c r="Q48" s="53" t="str">
        <x:v>BLOCKED_BEFORE_START: до точного method/source review запрещено начинать; после review нужны наблюдаемые численные/событийные stop conditions.</x:v>
      </x:c>
      <x:c r="R48" s="53" t="str">
        <x:v>TBD_ITEM_SPECIFIC_AND_LOCAL: пока маршрут отходов не утверждён, физическое выполнение блокировано.</x:v>
      </x:c>
      <x:c r="S48" s="53" t="str">
        <x:v>S1_LOW_RISK_HOUSEHOLD</x:v>
      </x:c>
      <x:c r="T48" s="53" t="str">
        <x:v>S1 допускается только после замены всех DESIGN/TBD полей точным low-risk методом и независимой safety-проверки.</x:v>
      </x:c>
      <x:c r="U48" s="53" t="n">
        <x:v>3</x:v>
      </x:c>
      <x:c r="V48" s="53" t="str">
        <x:v>ANY_SAFE_PERIOD</x:v>
      </x:c>
      <x:c r="W48" s="53" t="str">
        <x:v>records/science/SCI-PHYS-13/YYYY-MM-DD/</x:v>
      </x:c>
      <x:c r="X48" s="53" t="str">
        <x:v>PSP-015|PSP-024</x:v>
      </x:c>
      <x:c r="Y48" s="53" t="str">
        <x:v>PROVISIONAL_TOPIC_CANDIDATES_NOT_METHOD_REVIEWED</x:v>
      </x:c>
      <x:c r="Z48" s="53" t="str">
        <x:v>BLOCKED_UNTIL_EXACT_METHOD_SOURCE_SAFETY_AND_LOCAL_REVIEW</x:v>
      </x:c>
      <x:c r="AA48" s="53" t="str">
        <x:v>DESIGN_ONLY_NOT_EXECUTED</x:v>
      </x:c>
      <x:c r="AB4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8" s="53" t="str">
        <x:v>0.4</x:v>
      </x:c>
    </x:row>
    <x:row r="49">
      <x:c r="A49" s="26" t="str">
        <x:v>PRJ-046</x:v>
      </x:c>
      <x:c r="B49" s="26" t="str">
        <x:v>SCI-PHYS-14</x:v>
      </x:c>
      <x:c r="C49" s="26" t="str">
        <x:v>PHYS</x:v>
      </x:c>
      <x:c r="D49" s="26" t="str">
        <x:v>Практическая проверка: Электрический заряд, поле и потенциал</x:v>
      </x:c>
      <x:c r="E49" s="26" t="str">
        <x:v>LOW_RISK_BENCH_OR_FIELD</x:v>
      </x:c>
      <x:c r="F49" s="26" t="str">
        <x:v>Объяснить базовую модель, выполнить допустимую для класса риска проверку и документировать пределы по теме «Электрический заряд, поле и потенциал».</x:v>
      </x:c>
      <x:c r="G49" s="26" t="str">
        <x:v>SCI-PHYS-13|SCI-METH-13|право остановить опыт|инструкция оборудования</x:v>
      </x:c>
      <x:c r="H49" s="26" t="str">
        <x:v>TBD_NON_EXECUTABLE: точные item/model/material/range/PPE для SI-измерение должны быть утверждены до начала</x:v>
      </x:c>
      <x:c r="I49" s="26" t="str">
        <x:v>Сформулировать вопрос; записать метод и единицы; выполнить электростатическое наблюдение на безопасной малой энергии; сохранить сырые данные; повторить; оценить неопределённость; сделать ограниченный вывод.</x:v>
      </x:c>
      <x:c r="J49" s="26" t="str">
        <x:v>электростатическое наблюдение на безопасной малой энергии</x:v>
      </x:c>
      <x:c r="K49" s="26" t="str">
        <x:v>SI или явно названный стандарт</x:v>
      </x:c>
      <x:c r="L49" s="26" t="str">
        <x:v>TBD_BEFORE_EXECUTION_FROM_EXACT_METHOD: диапазон/критерий фиксируется до результата; post-hoc подгонка запрещена.</x:v>
      </x:c>
      <x:c r="M49" s="26" t="str">
        <x:v>сырые данные + фото/скриншот при допустимости + расчёт + uncertainty + подпись reviewer + hash пакета</x:v>
      </x:c>
      <x:c r="N49" s="26" t="n">
        <x:v>3</x:v>
      </x:c>
      <x:c r="O49" s="26" t="str">
        <x:v>TBD_METHOD_SPECIFIC: range/resolution/bias/repeat spread/operator effects утверждаются до execution</x:v>
      </x:c>
      <x:c r="P49" s="26" t="str">
        <x:v>DESIGN_PLACEHOLDER_NOT_EXECUTABLE: item-specific hazard analysis, материалы, энергия, концентрация, СИЗ и отходы ещё не утверждены.</x:v>
      </x:c>
      <x:c r="Q49" s="26" t="str">
        <x:v>BLOCKED_BEFORE_START: до точного method/source review запрещено начинать; после review нужны наблюдаемые численные/событийные stop conditions.</x:v>
      </x:c>
      <x:c r="R49" s="26" t="str">
        <x:v>TBD_ITEM_SPECIFIC_AND_LOCAL: пока маршрут отходов не утверждён, физическое выполнение блокировано.</x:v>
      </x:c>
      <x:c r="S49" s="26" t="str">
        <x:v>S1_LOW_RISK_HOUSEHOLD</x:v>
      </x:c>
      <x:c r="T49" s="26" t="str">
        <x:v>S1 допускается только после замены всех DESIGN/TBD полей точным low-risk методом и независимой safety-проверки.</x:v>
      </x:c>
      <x:c r="U49" s="26" t="n">
        <x:v>3</x:v>
      </x:c>
      <x:c r="V49" s="26" t="str">
        <x:v>ANY_SAFE_PERIOD</x:v>
      </x:c>
      <x:c r="W49" s="26" t="str">
        <x:v>records/science/SCI-PHYS-14/YYYY-MM-DD/</x:v>
      </x:c>
      <x:c r="X49" s="26" t="str">
        <x:v>PSP-015|SUP-PHY-011</x:v>
      </x:c>
      <x:c r="Y49" s="26" t="str">
        <x:v>PROVISIONAL_TOPIC_CANDIDATES_NOT_METHOD_REVIEWED</x:v>
      </x:c>
      <x:c r="Z49" s="26" t="str">
        <x:v>BLOCKED_UNTIL_EXACT_METHOD_SOURCE_SAFETY_AND_LOCAL_REVIEW</x:v>
      </x:c>
      <x:c r="AA49" s="26" t="str">
        <x:v>DESIGN_ONLY_NOT_EXECUTED</x:v>
      </x:c>
      <x:c r="AB4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49" s="26" t="str">
        <x:v>0.4</x:v>
      </x:c>
    </x:row>
    <x:row r="50">
      <x:c r="A50" s="53" t="str">
        <x:v>PRJ-047</x:v>
      </x:c>
      <x:c r="B50" s="53" t="str">
        <x:v>SCI-PHYS-15</x:v>
      </x:c>
      <x:c r="C50" s="53" t="str">
        <x:v>PHYS</x:v>
      </x:c>
      <x:c r="D50" s="53" t="str">
        <x:v>Практическая проверка: Постоянный ток, напряжение и сопротивление</x:v>
      </x:c>
      <x:c r="E50" s="53" t="str">
        <x:v>LOW_RISK_BENCH_OR_FIELD</x:v>
      </x:c>
      <x:c r="F50" s="53" t="str">
        <x:v>Объяснить базовую модель, выполнить допустимую для класса риска проверку и документировать пределы по теме «Постоянный ток, напряжение и сопротивление».</x:v>
      </x:c>
      <x:c r="G50" s="53" t="str">
        <x:v>SCI-PHYS-14|SCI-METH-13|право остановить опыт|инструкция оборудования</x:v>
      </x:c>
      <x:c r="H50" s="53" t="str">
        <x:v>TBD_NON_EXECUTABLE: точные item/model/material/range/PPE для SI-измерение должны быть утверждены до начала</x:v>
      </x:c>
      <x:c r="I50" s="53" t="str">
        <x:v>Сформулировать вопрос; записать метод и единицы; выполнить только учебная цепь от сертифицированного USB-источника 5 V с аппаратным ограничением тока ≤100 mA; автомобильные, тяговые, свинцовые и литиевые батареи исключены; сохранить сырые данные; повторить; оценить неопределённость; сделать ограниченный вывод.</x:v>
      </x:c>
      <x:c r="J50" s="53" t="str">
        <x:v>только учебная цепь от сертифицированного USB-источника 5 V с аппаратным ограничением тока ≤100 mA; автомобильные, тяговые, свинцовые и литиевые батареи исключены</x:v>
      </x:c>
      <x:c r="K50" s="53" t="str">
        <x:v>SI или явно названный стандарт</x:v>
      </x:c>
      <x:c r="L50" s="53" t="str">
        <x:v>TBD_BEFORE_EXECUTION_FROM_EXACT_METHOD: диапазон/критерий фиксируется до результата; post-hoc подгонка запрещена.</x:v>
      </x:c>
      <x:c r="M50" s="53" t="str">
        <x:v>сырые данные + фото/скриншот при допустимости + расчёт + uncertainty + подпись reviewer + hash пакета</x:v>
      </x:c>
      <x:c r="N50" s="53" t="n">
        <x:v>3</x:v>
      </x:c>
      <x:c r="O50" s="53" t="str">
        <x:v>TBD_METHOD_SPECIFIC: range/resolution/bias/repeat spread/operator effects утверждаются до execution</x:v>
      </x:c>
      <x:c r="P50" s="53" t="str">
        <x:v>DESIGN_PLACEHOLDER_NOT_EXECUTABLE: item-specific hazard analysis, материалы, энергия, концентрация, СИЗ и отходы ещё не утверждены.</x:v>
      </x:c>
      <x:c r="Q50" s="53" t="str">
        <x:v>BLOCKED_BEFORE_START: до точного method/source review запрещено начинать; после review нужны наблюдаемые численные/событийные stop conditions.</x:v>
      </x:c>
      <x:c r="R50" s="53" t="str">
        <x:v>TBD_ITEM_SPECIFIC_AND_LOCAL: пока маршрут отходов не утверждён, физическое выполнение блокировано.</x:v>
      </x:c>
      <x:c r="S50" s="53" t="str">
        <x:v>S1_LOW_RISK_HOUSEHOLD</x:v>
      </x:c>
      <x:c r="T50" s="53" t="str">
        <x:v>S1 допускается только после замены всех DESIGN/TBD полей точным low-risk методом и независимой safety-проверки.</x:v>
      </x:c>
      <x:c r="U50" s="53" t="n">
        <x:v>3</x:v>
      </x:c>
      <x:c r="V50" s="53" t="str">
        <x:v>ANY_SAFE_PERIOD</x:v>
      </x:c>
      <x:c r="W50" s="53" t="str">
        <x:v>records/science/SCI-PHYS-15/YYYY-MM-DD/</x:v>
      </x:c>
      <x:c r="X50" s="53" t="str">
        <x:v>PSP-015|SUP-PHY-011</x:v>
      </x:c>
      <x:c r="Y50" s="53" t="str">
        <x:v>PROVISIONAL_TOPIC_CANDIDATES_NOT_METHOD_REVIEWED</x:v>
      </x:c>
      <x:c r="Z50" s="53" t="str">
        <x:v>BLOCKED_UNTIL_EXACT_METHOD_SOURCE_SAFETY_AND_LOCAL_REVIEW</x:v>
      </x:c>
      <x:c r="AA50" s="53" t="str">
        <x:v>DESIGN_ONLY_NOT_EXECUTED</x:v>
      </x:c>
      <x:c r="AB5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0" s="53" t="str">
        <x:v>0.4</x:v>
      </x:c>
    </x:row>
    <x:row r="51">
      <x:c r="A51" s="26" t="str">
        <x:v>PRJ-048</x:v>
      </x:c>
      <x:c r="B51" s="26" t="str">
        <x:v>SCI-PHYS-16</x:v>
      </x:c>
      <x:c r="C51" s="26" t="str">
        <x:v>PHYS</x:v>
      </x:c>
      <x:c r="D51" s="26" t="str">
        <x:v>Практическая проверка: Магнетизм и электромагнитная индукция</x:v>
      </x:c>
      <x:c r="E51" s="26" t="str">
        <x:v>LOW_RISK_BENCH_OR_FIELD</x:v>
      </x:c>
      <x:c r="F51" s="26" t="str">
        <x:v>Объяснить базовую модель, выполнить допустимую для класса риска проверку и документировать пределы по теме «Магнетизм и электромагнитная индукция».</x:v>
      </x:c>
      <x:c r="G51" s="26" t="str">
        <x:v>SCI-PHYS-15|SCI-METH-13|право остановить опыт|инструкция оборудования</x:v>
      </x:c>
      <x:c r="H51" s="26" t="str">
        <x:v>TBD_NON_EXECUTABLE: точные item/model/material/range/PPE для SI-измерение должны быть утверждены до начала</x:v>
      </x:c>
      <x:c r="I51" s="26" t="str">
        <x:v>Сформулировать вопрос; записать метод и единицы; выполнить катушка только от сертифицированного USB-источника 5 V с аппаратным ограничением тока ≤100 mA; STOP при любом нагреве; мощные магниты и батарейные packs исключены; сохранить сырые данные; повторить; оценить неопределённость; сделать ограниченный вывод.</x:v>
      </x:c>
      <x:c r="J51" s="26" t="str">
        <x:v>катушка только от сертифицированного USB-источника 5 V с аппаратным ограничением тока ≤100 mA; STOP при любом нагреве; мощные магниты и батарейные packs исключены</x:v>
      </x:c>
      <x:c r="K51" s="26" t="str">
        <x:v>SI или явно названный стандарт</x:v>
      </x:c>
      <x:c r="L51" s="26" t="str">
        <x:v>TBD_BEFORE_EXECUTION_FROM_EXACT_METHOD: диапазон/критерий фиксируется до результата; post-hoc подгонка запрещена.</x:v>
      </x:c>
      <x:c r="M51" s="26" t="str">
        <x:v>сырые данные + фото/скриншот при допустимости + расчёт + uncertainty + подпись reviewer + hash пакета</x:v>
      </x:c>
      <x:c r="N51" s="26" t="n">
        <x:v>3</x:v>
      </x:c>
      <x:c r="O51" s="26" t="str">
        <x:v>TBD_METHOD_SPECIFIC: range/resolution/bias/repeat spread/operator effects утверждаются до execution</x:v>
      </x:c>
      <x:c r="P51" s="26" t="str">
        <x:v>DESIGN_PLACEHOLDER_NOT_EXECUTABLE: item-specific hazard analysis, материалы, энергия, концентрация, СИЗ и отходы ещё не утверждены.</x:v>
      </x:c>
      <x:c r="Q51" s="26" t="str">
        <x:v>BLOCKED_BEFORE_START: до точного method/source review запрещено начинать; после review нужны наблюдаемые численные/событийные stop conditions.</x:v>
      </x:c>
      <x:c r="R51" s="26" t="str">
        <x:v>TBD_ITEM_SPECIFIC_AND_LOCAL: пока маршрут отходов не утверждён, физическое выполнение блокировано.</x:v>
      </x:c>
      <x:c r="S51" s="26" t="str">
        <x:v>S1_LOW_RISK_HOUSEHOLD</x:v>
      </x:c>
      <x:c r="T51" s="26" t="str">
        <x:v>S1 допускается только после замены всех DESIGN/TBD полей точным low-risk методом и независимой safety-проверки.</x:v>
      </x:c>
      <x:c r="U51" s="26" t="n">
        <x:v>3</x:v>
      </x:c>
      <x:c r="V51" s="26" t="str">
        <x:v>ANY_SAFE_PERIOD</x:v>
      </x:c>
      <x:c r="W51" s="26" t="str">
        <x:v>records/science/SCI-PHYS-16/YYYY-MM-DD/</x:v>
      </x:c>
      <x:c r="X51" s="26" t="str">
        <x:v>PSP-015|SUP-PHY-011</x:v>
      </x:c>
      <x:c r="Y51" s="26" t="str">
        <x:v>PROVISIONAL_TOPIC_CANDIDATES_NOT_METHOD_REVIEWED</x:v>
      </x:c>
      <x:c r="Z51" s="26" t="str">
        <x:v>BLOCKED_UNTIL_EXACT_METHOD_SOURCE_SAFETY_AND_LOCAL_REVIEW</x:v>
      </x:c>
      <x:c r="AA51" s="26" t="str">
        <x:v>DESIGN_ONLY_NOT_EXECUTED</x:v>
      </x:c>
      <x:c r="AB5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1" s="26" t="str">
        <x:v>0.4</x:v>
      </x:c>
    </x:row>
    <x:row r="52">
      <x:c r="A52" s="53" t="str">
        <x:v>PRJ-049</x:v>
      </x:c>
      <x:c r="B52" s="53" t="str">
        <x:v>SCI-PHYS-17</x:v>
      </x:c>
      <x:c r="C52" s="53" t="str">
        <x:v>PHYS</x:v>
      </x:c>
      <x:c r="D52" s="53" t="str">
        <x:v>Практическая проверка: Свойства материалов, упругость и разрушение</x:v>
      </x:c>
      <x:c r="E52" s="53" t="str">
        <x:v>LOW_RISK_BENCH_OR_FIELD</x:v>
      </x:c>
      <x:c r="F52" s="53" t="str">
        <x:v>Объяснить базовую модель, выполнить допустимую для класса риска проверку и документировать пределы по теме «Свойства материалов, упругость и разрушение».</x:v>
      </x:c>
      <x:c r="G52" s="53" t="str">
        <x:v>SCI-PHYS-16|SCI-METH-13|право остановить опыт|инструкция оборудования</x:v>
      </x:c>
      <x:c r="H52" s="53" t="str">
        <x:v>TBD_NON_EXECUTABLE: точные item/model/material/range/PPE для SI-измерение должны быть утверждены до начала</x:v>
      </x:c>
      <x:c r="I52" s="53" t="str">
        <x:v>Сформулировать вопрос; записать метод и единицы; выполнить неразрушающее сравнение деформации малых образцов; сохранить сырые данные; повторить; оценить неопределённость; сделать ограниченный вывод.</x:v>
      </x:c>
      <x:c r="J52" s="53" t="str">
        <x:v>неразрушающее сравнение деформации малых образцов</x:v>
      </x:c>
      <x:c r="K52" s="53" t="str">
        <x:v>SI или явно названный стандарт</x:v>
      </x:c>
      <x:c r="L52" s="53" t="str">
        <x:v>TBD_BEFORE_EXECUTION_FROM_EXACT_METHOD: диапазон/критерий фиксируется до результата; post-hoc подгонка запрещена.</x:v>
      </x:c>
      <x:c r="M52" s="53" t="str">
        <x:v>сырые данные + фото/скриншот при допустимости + расчёт + uncertainty + подпись reviewer + hash пакета</x:v>
      </x:c>
      <x:c r="N52" s="53" t="n">
        <x:v>3</x:v>
      </x:c>
      <x:c r="O52" s="53" t="str">
        <x:v>TBD_METHOD_SPECIFIC: range/resolution/bias/repeat spread/operator effects утверждаются до execution</x:v>
      </x:c>
      <x:c r="P52" s="53" t="str">
        <x:v>DESIGN_PLACEHOLDER_NOT_EXECUTABLE: item-specific hazard analysis, материалы, энергия, концентрация, СИЗ и отходы ещё не утверждены.</x:v>
      </x:c>
      <x:c r="Q52" s="53" t="str">
        <x:v>BLOCKED_BEFORE_START: до точного method/source review запрещено начинать; после review нужны наблюдаемые численные/событийные stop conditions.</x:v>
      </x:c>
      <x:c r="R52" s="53" t="str">
        <x:v>TBD_ITEM_SPECIFIC_AND_LOCAL: пока маршрут отходов не утверждён, физическое выполнение блокировано.</x:v>
      </x:c>
      <x:c r="S52" s="53" t="str">
        <x:v>S1_LOW_RISK_HOUSEHOLD</x:v>
      </x:c>
      <x:c r="T52" s="53" t="str">
        <x:v>S1 допускается только после замены всех DESIGN/TBD полей точным low-risk методом и независимой safety-проверки.</x:v>
      </x:c>
      <x:c r="U52" s="53" t="n">
        <x:v>3</x:v>
      </x:c>
      <x:c r="V52" s="53" t="str">
        <x:v>ANY_SAFE_PERIOD</x:v>
      </x:c>
      <x:c r="W52" s="53" t="str">
        <x:v>records/science/SCI-PHYS-17/YYYY-MM-DD/</x:v>
      </x:c>
      <x:c r="X52" s="53" t="str">
        <x:v>PSP-015|SUP-PHY-019</x:v>
      </x:c>
      <x:c r="Y52" s="53" t="str">
        <x:v>PROVISIONAL_TOPIC_CANDIDATES_NOT_METHOD_REVIEWED</x:v>
      </x:c>
      <x:c r="Z52" s="53" t="str">
        <x:v>BLOCKED_UNTIL_EXACT_METHOD_SOURCE_SAFETY_AND_LOCAL_REVIEW</x:v>
      </x:c>
      <x:c r="AA52" s="53" t="str">
        <x:v>DESIGN_ONLY_NOT_EXECUTED</x:v>
      </x:c>
      <x:c r="AB5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2" s="53" t="str">
        <x:v>0.4</x:v>
      </x:c>
    </x:row>
    <x:row r="53">
      <x:c r="A53" s="26" t="str">
        <x:v>PRJ-050</x:v>
      </x:c>
      <x:c r="B53" s="26" t="str">
        <x:v>SCI-CHEM-01</x:v>
      </x:c>
      <x:c r="C53" s="26" t="str">
        <x:v>CHEM</x:v>
      </x:c>
      <x:c r="D53" s="26" t="str">
        <x:v>Практическая проверка: Строение вещества и периодические закономерности</x:v>
      </x:c>
      <x:c r="E53" s="26" t="str">
        <x:v>LOW_RISK_BENCH_OR_FIELD</x:v>
      </x:c>
      <x:c r="F53" s="26" t="str">
        <x:v>Объяснить базовую модель, выполнить допустимую для класса риска проверку и документировать пределы по теме «Строение вещества и периодические закономерности».</x:v>
      </x:c>
      <x:c r="G53" s="26" t="str">
        <x:v>SCI-METH-01|SCI-METH-07|SCI-METH-14|право остановить опыт|инструкция оборудования</x:v>
      </x:c>
      <x:c r="H53" s="26" t="str">
        <x:v>TBD_NON_EXECUTABLE: точные item/model/material/range/PPE для состав/концентрация должны быть утверждены до начала</x:v>
      </x:c>
      <x:c r="I53" s="26" t="str">
        <x:v>Сформулировать вопрос; записать метод и единицы; выполнить объяснение свойства через состав и структуру; сохранить сырые данные; повторить; оценить неопределённость; сделать ограниченный вывод.</x:v>
      </x:c>
      <x:c r="J53" s="26" t="str">
        <x:v>объяснение свойства через состав и структуру</x:v>
      </x:c>
      <x:c r="K53" s="26" t="str">
        <x:v>SI или явно названный стандарт</x:v>
      </x:c>
      <x:c r="L53" s="26" t="str">
        <x:v>TBD_BEFORE_EXECUTION_FROM_EXACT_METHOD: диапазон/критерий фиксируется до результата; post-hoc подгонка запрещена.</x:v>
      </x:c>
      <x:c r="M53" s="26" t="str">
        <x:v>сырые данные + фото/скриншот при допустимости + расчёт + uncertainty + подпись reviewer + hash пакета</x:v>
      </x:c>
      <x:c r="N53" s="26" t="n">
        <x:v>3</x:v>
      </x:c>
      <x:c r="O53" s="26" t="str">
        <x:v>TBD_METHOD_SPECIFIC: range/resolution/bias/repeat spread/operator effects утверждаются до execution</x:v>
      </x:c>
      <x:c r="P53" s="26" t="str">
        <x:v>DESIGN_PLACEHOLDER_NOT_EXECUTABLE: item-specific hazard analysis, материалы, энергия, концентрация, СИЗ и отходы ещё не утверждены.</x:v>
      </x:c>
      <x:c r="Q53" s="26" t="str">
        <x:v>BLOCKED_BEFORE_START: до точного method/source review запрещено начинать; после review нужны наблюдаемые численные/событийные stop conditions.</x:v>
      </x:c>
      <x:c r="R53" s="26" t="str">
        <x:v>TBD_ITEM_SPECIFIC_AND_LOCAL: пока маршрут отходов не утверждён, физическое выполнение блокировано.</x:v>
      </x:c>
      <x:c r="S53" s="26" t="str">
        <x:v>S1_LOW_RISK_HOUSEHOLD</x:v>
      </x:c>
      <x:c r="T53" s="26" t="str">
        <x:v>S1 допускается только после замены всех DESIGN/TBD полей точным low-risk методом и независимой safety-проверки.</x:v>
      </x:c>
      <x:c r="U53" s="26" t="n">
        <x:v>3</x:v>
      </x:c>
      <x:c r="V53" s="26" t="str">
        <x:v>ANY_SAFE_PERIOD</x:v>
      </x:c>
      <x:c r="W53" s="26" t="str">
        <x:v>records/science/SCI-CHEM-01/YYYY-MM-DD/</x:v>
      </x:c>
      <x:c r="X53" s="26" t="str">
        <x:v>PSP-016|SUP-PHY-025</x:v>
      </x:c>
      <x:c r="Y53" s="26" t="str">
        <x:v>PROVISIONAL_TOPIC_CANDIDATES_NOT_METHOD_REVIEWED</x:v>
      </x:c>
      <x:c r="Z53" s="26" t="str">
        <x:v>BLOCKED_UNTIL_EXACT_METHOD_SOURCE_SAFETY_AND_LOCAL_REVIEW</x:v>
      </x:c>
      <x:c r="AA53" s="26" t="str">
        <x:v>DESIGN_ONLY_NOT_EXECUTED</x:v>
      </x:c>
      <x:c r="AB5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3" s="26" t="str">
        <x:v>0.4</x:v>
      </x:c>
    </x:row>
    <x:row r="54">
      <x:c r="A54" s="53" t="str">
        <x:v>PRJ-051</x:v>
      </x:c>
      <x:c r="B54" s="53" t="str">
        <x:v>SCI-CHEM-02</x:v>
      </x:c>
      <x:c r="C54" s="53" t="str">
        <x:v>CHEM</x:v>
      </x:c>
      <x:c r="D54" s="53" t="str">
        <x:v>Практическая проверка: Количество вещества, формулы и стехиометрия</x:v>
      </x:c>
      <x:c r="E54" s="53" t="str">
        <x:v>LOW_RISK_BENCH_OR_FIELD</x:v>
      </x:c>
      <x:c r="F54" s="53" t="str">
        <x:v>Объяснить базовую модель, выполнить допустимую для класса риска проверку и документировать пределы по теме «Количество вещества, формулы и стехиометрия».</x:v>
      </x:c>
      <x:c r="G54" s="53" t="str">
        <x:v>SCI-CHEM-01|SCI-METH-13|право остановить опыт|инструкция оборудования</x:v>
      </x:c>
      <x:c r="H54" s="53" t="str">
        <x:v>TBD_NON_EXECUTABLE: точные item/model/material/range/PPE для состав/концентрация должны быть утверждены до начала</x:v>
      </x:c>
      <x:c r="I54" s="53" t="str">
        <x:v>Сформулировать вопрос; записать метод и единицы; выполнить массовый баланс на безопасной учебной задаче; сохранить сырые данные; повторить; оценить неопределённость; сделать ограниченный вывод.</x:v>
      </x:c>
      <x:c r="J54" s="53" t="str">
        <x:v>массовый баланс на безопасной учебной задаче</x:v>
      </x:c>
      <x:c r="K54" s="53" t="str">
        <x:v>SI или явно названный стандарт</x:v>
      </x:c>
      <x:c r="L54" s="53" t="str">
        <x:v>TBD_BEFORE_EXECUTION_FROM_EXACT_METHOD: диапазон/критерий фиксируется до результата; post-hoc подгонка запрещена.</x:v>
      </x:c>
      <x:c r="M54" s="53" t="str">
        <x:v>сырые данные + фото/скриншот при допустимости + расчёт + uncertainty + подпись reviewer + hash пакета</x:v>
      </x:c>
      <x:c r="N54" s="53" t="n">
        <x:v>3</x:v>
      </x:c>
      <x:c r="O54" s="53" t="str">
        <x:v>TBD_METHOD_SPECIFIC: range/resolution/bias/repeat spread/operator effects утверждаются до execution</x:v>
      </x:c>
      <x:c r="P54" s="53" t="str">
        <x:v>DESIGN_PLACEHOLDER_NOT_EXECUTABLE: item-specific hazard analysis, материалы, энергия, концентрация, СИЗ и отходы ещё не утверждены.</x:v>
      </x:c>
      <x:c r="Q54" s="53" t="str">
        <x:v>BLOCKED_BEFORE_START: до точного method/source review запрещено начинать; после review нужны наблюдаемые численные/событийные stop conditions.</x:v>
      </x:c>
      <x:c r="R54" s="53" t="str">
        <x:v>TBD_ITEM_SPECIFIC_AND_LOCAL: пока маршрут отходов не утверждён, физическое выполнение блокировано.</x:v>
      </x:c>
      <x:c r="S54" s="53" t="str">
        <x:v>S1_LOW_RISK_HOUSEHOLD</x:v>
      </x:c>
      <x:c r="T54" s="53" t="str">
        <x:v>S1 допускается только после замены всех DESIGN/TBD полей точным low-risk методом и независимой safety-проверки.</x:v>
      </x:c>
      <x:c r="U54" s="53" t="n">
        <x:v>3</x:v>
      </x:c>
      <x:c r="V54" s="53" t="str">
        <x:v>ANY_SAFE_PERIOD</x:v>
      </x:c>
      <x:c r="W54" s="53" t="str">
        <x:v>records/science/SCI-CHEM-02/YYYY-MM-DD/</x:v>
      </x:c>
      <x:c r="X54" s="53" t="str">
        <x:v>PSP-016|SUP-PHY-025</x:v>
      </x:c>
      <x:c r="Y54" s="53" t="str">
        <x:v>PROVISIONAL_TOPIC_CANDIDATES_NOT_METHOD_REVIEWED</x:v>
      </x:c>
      <x:c r="Z54" s="53" t="str">
        <x:v>BLOCKED_UNTIL_EXACT_METHOD_SOURCE_SAFETY_AND_LOCAL_REVIEW</x:v>
      </x:c>
      <x:c r="AA54" s="53" t="str">
        <x:v>DESIGN_ONLY_NOT_EXECUTED</x:v>
      </x:c>
      <x:c r="AB5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4" s="53" t="str">
        <x:v>0.4</x:v>
      </x:c>
    </x:row>
    <x:row r="55">
      <x:c r="A55" s="26" t="str">
        <x:v>PRJ-052</x:v>
      </x:c>
      <x:c r="B55" s="26" t="str">
        <x:v>SCI-CHEM-03</x:v>
      </x:c>
      <x:c r="C55" s="26" t="str">
        <x:v>CHEM</x:v>
      </x:c>
      <x:c r="D55" s="26" t="str">
        <x:v>Практическая проверка: Растворы, концентрации и безопасное разбавление</x:v>
      </x:c>
      <x:c r="E55" s="26" t="str">
        <x:v>LOW_RISK_BENCH_OR_FIELD</x:v>
      </x:c>
      <x:c r="F55" s="26" t="str">
        <x:v>Объяснить базовую модель, выполнить допустимую для класса риска проверку и документировать пределы по теме «Растворы, концентрации и безопасное разбавление».</x:v>
      </x:c>
      <x:c r="G55" s="26" t="str">
        <x:v>SCI-CHEM-02|SCI-METH-13|право остановить опыт|инструкция оборудования</x:v>
      </x:c>
      <x:c r="H55" s="26" t="str">
        <x:v>TBD_NON_EXECUTABLE: точные item/model/material/range/PPE для состав/концентрация должны быть утверждены до начала</x:v>
      </x:c>
      <x:c r="I55" s="26" t="str">
        <x:v>Сформулировать вопрос; записать метод и единицы; выполнить расчёт концентрации без реактивных/токсичных веществ; сохранить сырые данные; повторить; оценить неопределённость; сделать ограниченный вывод.</x:v>
      </x:c>
      <x:c r="J55" s="26" t="str">
        <x:v>расчёт концентрации без реактивных/токсичных веществ</x:v>
      </x:c>
      <x:c r="K55" s="26" t="str">
        <x:v>SI или явно названный стандарт</x:v>
      </x:c>
      <x:c r="L55" s="26" t="str">
        <x:v>TBD_BEFORE_EXECUTION_FROM_EXACT_METHOD: диапазон/критерий фиксируется до результата; post-hoc подгонка запрещена.</x:v>
      </x:c>
      <x:c r="M55" s="26" t="str">
        <x:v>сырые данные + фото/скриншот при допустимости + расчёт + uncertainty + подпись reviewer + hash пакета</x:v>
      </x:c>
      <x:c r="N55" s="26" t="n">
        <x:v>3</x:v>
      </x:c>
      <x:c r="O55" s="26" t="str">
        <x:v>TBD_METHOD_SPECIFIC: range/resolution/bias/repeat spread/operator effects утверждаются до execution</x:v>
      </x:c>
      <x:c r="P55" s="26" t="str">
        <x:v>DESIGN_PLACEHOLDER_NOT_EXECUTABLE: item-specific hazard analysis, материалы, энергия, концентрация, СИЗ и отходы ещё не утверждены.</x:v>
      </x:c>
      <x:c r="Q55" s="26" t="str">
        <x:v>BLOCKED_BEFORE_START: до точного method/source review запрещено начинать; после review нужны наблюдаемые численные/событийные stop conditions.</x:v>
      </x:c>
      <x:c r="R55" s="26" t="str">
        <x:v>TBD_ITEM_SPECIFIC_AND_LOCAL: пока маршрут отходов не утверждён, физическое выполнение блокировано.</x:v>
      </x:c>
      <x:c r="S55" s="26" t="str">
        <x:v>S1_LOW_RISK_HOUSEHOLD</x:v>
      </x:c>
      <x:c r="T55" s="26" t="str">
        <x:v>S1 допускается только после замены всех DESIGN/TBD полей точным low-risk методом и независимой safety-проверки.</x:v>
      </x:c>
      <x:c r="U55" s="26" t="n">
        <x:v>3</x:v>
      </x:c>
      <x:c r="V55" s="26" t="str">
        <x:v>ANY_SAFE_PERIOD</x:v>
      </x:c>
      <x:c r="W55" s="26" t="str">
        <x:v>records/science/SCI-CHEM-03/YYYY-MM-DD/</x:v>
      </x:c>
      <x:c r="X55" s="26" t="str">
        <x:v>PSP-016|SUP-PHY-025</x:v>
      </x:c>
      <x:c r="Y55" s="26" t="str">
        <x:v>PROVISIONAL_TOPIC_CANDIDATES_NOT_METHOD_REVIEWED</x:v>
      </x:c>
      <x:c r="Z55" s="26" t="str">
        <x:v>BLOCKED_UNTIL_EXACT_METHOD_SOURCE_SAFETY_AND_LOCAL_REVIEW</x:v>
      </x:c>
      <x:c r="AA55" s="26" t="str">
        <x:v>DESIGN_ONLY_NOT_EXECUTED</x:v>
      </x:c>
      <x:c r="AB5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5" s="26" t="str">
        <x:v>0.4</x:v>
      </x:c>
    </x:row>
    <x:row r="56">
      <x:c r="A56" s="53" t="str">
        <x:v>PRJ-053</x:v>
      </x:c>
      <x:c r="B56" s="53" t="str">
        <x:v>SCI-CHEM-04</x:v>
      </x:c>
      <x:c r="C56" s="53" t="str">
        <x:v>CHEM</x:v>
      </x:c>
      <x:c r="D56" s="53" t="str">
        <x:v>Практическая проверка: Кислотность, pH и буферные системы</x:v>
      </x:c>
      <x:c r="E56" s="53" t="str">
        <x:v>LOW_RISK_BENCH_OR_FIELD</x:v>
      </x:c>
      <x:c r="F56" s="53" t="str">
        <x:v>Объяснить базовую модель, выполнить допустимую для класса риска проверку и документировать пределы по теме «Кислотность, pH и буферные системы».</x:v>
      </x:c>
      <x:c r="G56" s="53" t="str">
        <x:v>SCI-CHEM-03|SCI-METH-13|право остановить опыт|инструкция оборудования</x:v>
      </x:c>
      <x:c r="H56" s="53" t="str">
        <x:v>TBD_NON_EXECUTABLE: точные item/model/material/range/PPE для состав/концентрация должны быть утверждены до начала</x:v>
      </x:c>
      <x:c r="I56" s="53" t="str">
        <x:v>Сформулировать вопрос; записать метод и единицы; выполнить готовая тест-полоска только для питьевой воды, столового уксуса или пищевого сока в отдельной одноразовой ёмкости; cleaners, неизвестные жидкости, смешивание и tasting запрещены; сохранить сырые данные; повторить; оценить неопределённость; сделать ограниченный вывод.</x:v>
      </x:c>
      <x:c r="J56" s="53" t="str">
        <x:v>готовая тест-полоска только для питьевой воды, столового уксуса или пищевого сока в отдельной одноразовой ёмкости; cleaners, неизвестные жидкости, смешивание и tasting запрещены</x:v>
      </x:c>
      <x:c r="K56" s="53" t="str">
        <x:v>SI или явно названный стандарт</x:v>
      </x:c>
      <x:c r="L56" s="53" t="str">
        <x:v>TBD_BEFORE_EXECUTION_FROM_EXACT_METHOD: диапазон/критерий фиксируется до результата; post-hoc подгонка запрещена.</x:v>
      </x:c>
      <x:c r="M56" s="53" t="str">
        <x:v>сырые данные + фото/скриншот при допустимости + расчёт + uncertainty + подпись reviewer + hash пакета</x:v>
      </x:c>
      <x:c r="N56" s="53" t="n">
        <x:v>3</x:v>
      </x:c>
      <x:c r="O56" s="53" t="str">
        <x:v>TBD_METHOD_SPECIFIC: range/resolution/bias/repeat spread/operator effects утверждаются до execution</x:v>
      </x:c>
      <x:c r="P56" s="53" t="str">
        <x:v>DESIGN_PLACEHOLDER_NOT_EXECUTABLE: item-specific hazard analysis, материалы, энергия, концентрация, СИЗ и отходы ещё не утверждены.</x:v>
      </x:c>
      <x:c r="Q56" s="53" t="str">
        <x:v>BLOCKED_BEFORE_START: до точного method/source review запрещено начинать; после review нужны наблюдаемые численные/событийные stop conditions.</x:v>
      </x:c>
      <x:c r="R56" s="53" t="str">
        <x:v>TBD_ITEM_SPECIFIC_AND_LOCAL: пока маршрут отходов не утверждён, физическое выполнение блокировано.</x:v>
      </x:c>
      <x:c r="S56" s="53" t="str">
        <x:v>S1_LOW_RISK_HOUSEHOLD</x:v>
      </x:c>
      <x:c r="T56" s="53" t="str">
        <x:v>S1 допускается только после замены всех DESIGN/TBD полей точным low-risk методом и независимой safety-проверки.</x:v>
      </x:c>
      <x:c r="U56" s="53" t="n">
        <x:v>3</x:v>
      </x:c>
      <x:c r="V56" s="53" t="str">
        <x:v>ANY_SAFE_PERIOD</x:v>
      </x:c>
      <x:c r="W56" s="53" t="str">
        <x:v>records/science/SCI-CHEM-04/YYYY-MM-DD/</x:v>
      </x:c>
      <x:c r="X56" s="53" t="str">
        <x:v>PSP-016|SUP-PHY-025</x:v>
      </x:c>
      <x:c r="Y56" s="53" t="str">
        <x:v>PROVISIONAL_TOPIC_CANDIDATES_NOT_METHOD_REVIEWED</x:v>
      </x:c>
      <x:c r="Z56" s="53" t="str">
        <x:v>BLOCKED_UNTIL_EXACT_METHOD_SOURCE_SAFETY_AND_LOCAL_REVIEW</x:v>
      </x:c>
      <x:c r="AA56" s="53" t="str">
        <x:v>DESIGN_ONLY_NOT_EXECUTED</x:v>
      </x:c>
      <x:c r="AB5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6" s="53" t="str">
        <x:v>0.4</x:v>
      </x:c>
    </x:row>
    <x:row r="57">
      <x:c r="A57" s="26" t="str">
        <x:v>PRJ-054</x:v>
      </x:c>
      <x:c r="B57" s="26" t="str">
        <x:v>SCI-CHEM-05</x:v>
      </x:c>
      <x:c r="C57" s="26" t="str">
        <x:v>CHEM</x:v>
      </x:c>
      <x:c r="D57" s="26" t="str">
        <x:v>Практическая проверка: Газы, давление и температурные зависимости</x:v>
      </x:c>
      <x:c r="E57" s="26" t="str">
        <x:v>REFERENCE_ONLY_NO_EXECUTION</x:v>
      </x:c>
      <x:c r="F57" s="26" t="str">
        <x:v>Объяснить базовую модель, выполнить допустимую для класса риска проверку и документировать пределы по теме «Газы, давление и температурные зависимости».</x:v>
      </x:c>
      <x:c r="G57" s="26" t="str">
        <x:v>SCI-CHEM-04|SCI-METH-13|право остановить опыт|инструкция оборудования</x:v>
      </x:c>
      <x:c r="H57" s="26" t="str">
        <x:v>TBD_NON_EXECUTABLE: точные item/model/material/range/PPE для состав/концентрация должны быть утверждены до начала</x:v>
      </x:c>
      <x:c r="I57" s="26" t="str">
        <x:v>Только чтение, распознавание опасности и анализ опубликованных данных: анализ опубликованных данных; герметичные нагреваемые сосуды запрещены. Никаких бытовых экспериментов, культивирования, давления, огня или опасных веществ.</x:v>
      </x:c>
      <x:c r="J57" s="26" t="str">
        <x:v>анализ опубликованных данных; герметичные нагреваемые сосуды запрещены</x:v>
      </x:c>
      <x:c r="K57" s="26" t="str">
        <x:v>SI или явно названный стандарт</x:v>
      </x:c>
      <x:c r="L57" s="26" t="str">
        <x:v>TBD_BEFORE_EXECUTION_FROM_EXACT_METHOD: диапазон/критерий фиксируется до результата; post-hoc подгонка запрещена.</x:v>
      </x:c>
      <x:c r="M57" s="26" t="str">
        <x:v>сырые данные + фото/скриншот при допустимости + расчёт + uncertainty + подпись reviewer + hash пакета</x:v>
      </x:c>
      <x:c r="N57" s="26" t="n">
        <x:v>1</x:v>
      </x:c>
      <x:c r="O57" s="26" t="str">
        <x:v>TBD_METHOD_SPECIFIC: range/resolution/bias/repeat spread/operator effects утверждаются до execution</x:v>
      </x:c>
      <x:c r="P57" s="26" t="str">
        <x:v>Высокий риск тяжёлой травмы, инфекции, отравления, пожара, взрыва или загрязнения.</x:v>
      </x:c>
      <x:c r="Q57" s="26" t="str">
        <x:v>NO-GO для household execution; изолировать ситуацию и обратиться к компетентной службе/специалисту.</x:v>
      </x:c>
      <x:c r="R57" s="26" t="str">
        <x:v>TBD_ITEM_SPECIFIC_AND_LOCAL: пока маршрут отходов не утверждён, физическое выполнение блокировано.</x:v>
      </x:c>
      <x:c r="S57" s="26" t="str">
        <x:v>S4_REFERENCE_ONLY_PROHIBITED_HOUSEHOLD</x:v>
      </x:c>
      <x:c r="T57" s="26" t="str">
        <x:v>Профессиональная площадка и разрешение обязательны для любого физического исполнения.</x:v>
      </x:c>
      <x:c r="U57" s="26" t="n">
        <x:v>2</x:v>
      </x:c>
      <x:c r="V57" s="26" t="str">
        <x:v>ANY_SAFE_PERIOD</x:v>
      </x:c>
      <x:c r="W57" s="26" t="str">
        <x:v>records/science/SCI-CHEM-05/YYYY-MM-DD/</x:v>
      </x:c>
      <x:c r="X57" s="26" t="str">
        <x:v>SUP-PHY-025|SUP-PHY-026</x:v>
      </x:c>
      <x:c r="Y57" s="26" t="str">
        <x:v>PROVISIONAL_TOPIC_CANDIDATES_NOT_METHOD_REVIEWED</x:v>
      </x:c>
      <x:c r="Z57" s="26" t="str">
        <x:v>BLOCKED_UNTIL_EXACT_METHOD_SOURCE_SAFETY_AND_LOCAL_REVIEW</x:v>
      </x:c>
      <x:c r="AA57" s="26" t="str">
        <x:v>DESIGN_ONLY_NOT_EXECUTED</x:v>
      </x:c>
      <x:c r="AB5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7" s="26" t="str">
        <x:v>0.4</x:v>
      </x:c>
    </x:row>
    <x:row r="58">
      <x:c r="A58" s="53" t="str">
        <x:v>PRJ-055</x:v>
      </x:c>
      <x:c r="B58" s="53" t="str">
        <x:v>SCI-CHEM-06</x:v>
      </x:c>
      <x:c r="C58" s="53" t="str">
        <x:v>CHEM</x:v>
      </x:c>
      <x:c r="D58" s="53" t="str">
        <x:v>Практическая проверка: Химическая термодинамика и фазовые равновесия</x:v>
      </x:c>
      <x:c r="E58" s="53" t="str">
        <x:v>LOW_RISK_BENCH_OR_FIELD</x:v>
      </x:c>
      <x:c r="F58" s="53" t="str">
        <x:v>Объяснить базовую модель, выполнить допустимую для класса риска проверку и документировать пределы по теме «Химическая термодинамика и фазовые равновесия».</x:v>
      </x:c>
      <x:c r="G58" s="53" t="str">
        <x:v>SCI-CHEM-05|SCI-METH-13|право остановить опыт|инструкция оборудования</x:v>
      </x:c>
      <x:c r="H58" s="53" t="str">
        <x:v>TBD_NON_EXECUTABLE: точные item/model/material/range/PPE для состав/концентрация должны быть утверждены до начала</x:v>
      </x:c>
      <x:c r="I58" s="53" t="str">
        <x:v>Сформулировать вопрос; записать метод и единицы; выполнить диаграмма состояния и энергетический баланс по данным; сохранить сырые данные; повторить; оценить неопределённость; сделать ограниченный вывод.</x:v>
      </x:c>
      <x:c r="J58" s="53" t="str">
        <x:v>диаграмма состояния и энергетический баланс по данным</x:v>
      </x:c>
      <x:c r="K58" s="53" t="str">
        <x:v>SI или явно названный стандарт</x:v>
      </x:c>
      <x:c r="L58" s="53" t="str">
        <x:v>TBD_BEFORE_EXECUTION_FROM_EXACT_METHOD: диапазон/критерий фиксируется до результата; post-hoc подгонка запрещена.</x:v>
      </x:c>
      <x:c r="M58" s="53" t="str">
        <x:v>сырые данные + фото/скриншот при допустимости + расчёт + uncertainty + подпись reviewer + hash пакета</x:v>
      </x:c>
      <x:c r="N58" s="53" t="n">
        <x:v>3</x:v>
      </x:c>
      <x:c r="O58" s="53" t="str">
        <x:v>TBD_METHOD_SPECIFIC: range/resolution/bias/repeat spread/operator effects утверждаются до execution</x:v>
      </x:c>
      <x:c r="P58" s="53" t="str">
        <x:v>DESIGN_PLACEHOLDER_NOT_EXECUTABLE: item-specific hazard analysis, материалы, энергия, концентрация, СИЗ и отходы ещё не утверждены.</x:v>
      </x:c>
      <x:c r="Q58" s="53" t="str">
        <x:v>BLOCKED_BEFORE_START: до точного method/source review запрещено начинать; после review нужны наблюдаемые численные/событийные stop conditions.</x:v>
      </x:c>
      <x:c r="R58" s="53" t="str">
        <x:v>TBD_ITEM_SPECIFIC_AND_LOCAL: пока маршрут отходов не утверждён, физическое выполнение блокировано.</x:v>
      </x:c>
      <x:c r="S58" s="53" t="str">
        <x:v>S1_LOW_RISK_HOUSEHOLD</x:v>
      </x:c>
      <x:c r="T58" s="53" t="str">
        <x:v>S1 допускается только после замены всех DESIGN/TBD полей точным low-risk методом и независимой safety-проверки.</x:v>
      </x:c>
      <x:c r="U58" s="53" t="n">
        <x:v>3</x:v>
      </x:c>
      <x:c r="V58" s="53" t="str">
        <x:v>ANY_SAFE_PERIOD</x:v>
      </x:c>
      <x:c r="W58" s="53" t="str">
        <x:v>records/science/SCI-CHEM-06/YYYY-MM-DD/</x:v>
      </x:c>
      <x:c r="X58" s="53" t="str">
        <x:v>PSP-016|SUP-PHY-025</x:v>
      </x:c>
      <x:c r="Y58" s="53" t="str">
        <x:v>PROVISIONAL_TOPIC_CANDIDATES_NOT_METHOD_REVIEWED</x:v>
      </x:c>
      <x:c r="Z58" s="53" t="str">
        <x:v>BLOCKED_UNTIL_EXACT_METHOD_SOURCE_SAFETY_AND_LOCAL_REVIEW</x:v>
      </x:c>
      <x:c r="AA58" s="53" t="str">
        <x:v>DESIGN_ONLY_NOT_EXECUTED</x:v>
      </x:c>
      <x:c r="AB5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8" s="53" t="str">
        <x:v>0.4</x:v>
      </x:c>
    </x:row>
    <x:row r="59">
      <x:c r="A59" s="26" t="str">
        <x:v>PRJ-056</x:v>
      </x:c>
      <x:c r="B59" s="26" t="str">
        <x:v>SCI-CHEM-07</x:v>
      </x:c>
      <x:c r="C59" s="26" t="str">
        <x:v>CHEM</x:v>
      </x:c>
      <x:c r="D59" s="26" t="str">
        <x:v>Практическая проверка: Равновесие, растворимость и кристаллизация</x:v>
      </x:c>
      <x:c r="E59" s="26" t="str">
        <x:v>LOW_RISK_BENCH_OR_FIELD</x:v>
      </x:c>
      <x:c r="F59" s="26" t="str">
        <x:v>Объяснить базовую модель, выполнить допустимую для класса риска проверку и документировать пределы по теме «Равновесие, растворимость и кристаллизация».</x:v>
      </x:c>
      <x:c r="G59" s="26" t="str">
        <x:v>SCI-CHEM-06|SCI-METH-13|право остановить опыт|инструкция оборудования</x:v>
      </x:c>
      <x:c r="H59" s="26" t="str">
        <x:v>TBD_NON_EXECUTABLE: точные item/model/material/range/PPE для состав/концентрация должны быть утверждены до начала</x:v>
      </x:c>
      <x:c r="I59" s="26" t="str">
        <x:v>Сформулировать вопрос; записать метод и единицы; выполнить безопасное наблюдение кристаллизации пищевой соли; сохранить сырые данные; повторить; оценить неопределённость; сделать ограниченный вывод.</x:v>
      </x:c>
      <x:c r="J59" s="26" t="str">
        <x:v>безопасное наблюдение кристаллизации пищевой соли</x:v>
      </x:c>
      <x:c r="K59" s="26" t="str">
        <x:v>SI или явно названный стандарт</x:v>
      </x:c>
      <x:c r="L59" s="26" t="str">
        <x:v>TBD_BEFORE_EXECUTION_FROM_EXACT_METHOD: диапазон/критерий фиксируется до результата; post-hoc подгонка запрещена.</x:v>
      </x:c>
      <x:c r="M59" s="26" t="str">
        <x:v>сырые данные + фото/скриншот при допустимости + расчёт + uncertainty + подпись reviewer + hash пакета</x:v>
      </x:c>
      <x:c r="N59" s="26" t="n">
        <x:v>3</x:v>
      </x:c>
      <x:c r="O59" s="26" t="str">
        <x:v>TBD_METHOD_SPECIFIC: range/resolution/bias/repeat spread/operator effects утверждаются до execution</x:v>
      </x:c>
      <x:c r="P59" s="26" t="str">
        <x:v>DESIGN_PLACEHOLDER_NOT_EXECUTABLE: item-specific hazard analysis, материалы, энергия, концентрация, СИЗ и отходы ещё не утверждены.</x:v>
      </x:c>
      <x:c r="Q59" s="26" t="str">
        <x:v>BLOCKED_BEFORE_START: до точного method/source review запрещено начинать; после review нужны наблюдаемые численные/событийные stop conditions.</x:v>
      </x:c>
      <x:c r="R59" s="26" t="str">
        <x:v>TBD_ITEM_SPECIFIC_AND_LOCAL: пока маршрут отходов не утверждён, физическое выполнение блокировано.</x:v>
      </x:c>
      <x:c r="S59" s="26" t="str">
        <x:v>S1_LOW_RISK_HOUSEHOLD</x:v>
      </x:c>
      <x:c r="T59" s="26" t="str">
        <x:v>S1 допускается только после замены всех DESIGN/TBD полей точным low-risk методом и независимой safety-проверки.</x:v>
      </x:c>
      <x:c r="U59" s="26" t="n">
        <x:v>3</x:v>
      </x:c>
      <x:c r="V59" s="26" t="str">
        <x:v>ANY_SAFE_PERIOD</x:v>
      </x:c>
      <x:c r="W59" s="26" t="str">
        <x:v>records/science/SCI-CHEM-07/YYYY-MM-DD/</x:v>
      </x:c>
      <x:c r="X59" s="26" t="str">
        <x:v>PSP-016|SUP-PHY-025</x:v>
      </x:c>
      <x:c r="Y59" s="26" t="str">
        <x:v>PROVISIONAL_TOPIC_CANDIDATES_NOT_METHOD_REVIEWED</x:v>
      </x:c>
      <x:c r="Z59" s="26" t="str">
        <x:v>BLOCKED_UNTIL_EXACT_METHOD_SOURCE_SAFETY_AND_LOCAL_REVIEW</x:v>
      </x:c>
      <x:c r="AA59" s="26" t="str">
        <x:v>DESIGN_ONLY_NOT_EXECUTED</x:v>
      </x:c>
      <x:c r="AB5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59" s="26" t="str">
        <x:v>0.4</x:v>
      </x:c>
    </x:row>
    <x:row r="60">
      <x:c r="A60" s="53" t="str">
        <x:v>PRJ-057</x:v>
      </x:c>
      <x:c r="B60" s="53" t="str">
        <x:v>SCI-CHEM-08</x:v>
      </x:c>
      <x:c r="C60" s="53" t="str">
        <x:v>CHEM</x:v>
      </x:c>
      <x:c r="D60" s="53" t="str">
        <x:v>Практическая проверка: Скорость реакции и влияние условий</x:v>
      </x:c>
      <x:c r="E60" s="53" t="str">
        <x:v>LOW_RISK_BENCH_OR_FIELD</x:v>
      </x:c>
      <x:c r="F60" s="53" t="str">
        <x:v>Объяснить базовую модель, выполнить допустимую для класса риска проверку и документировать пределы по теме «Скорость реакции и влияние условий».</x:v>
      </x:c>
      <x:c r="G60" s="53" t="str">
        <x:v>SCI-CHEM-07|SCI-METH-13|право остановить опыт|инструкция оборудования</x:v>
      </x:c>
      <x:c r="H60" s="53" t="str">
        <x:v>TBD_NON_EXECUTABLE: точные item/model/material/range/PPE для состав/концентрация должны быть утверждены до начала</x:v>
      </x:c>
      <x:c r="I60" s="53" t="str">
        <x:v>Сформулировать вопрос; записать метод и единицы; выполнить наблюдение безопасного пищевого/ферментного процесса без герметизации; сохранить сырые данные; повторить; оценить неопределённость; сделать ограниченный вывод.</x:v>
      </x:c>
      <x:c r="J60" s="53" t="str">
        <x:v>наблюдение безопасного пищевого/ферментного процесса без герметизации</x:v>
      </x:c>
      <x:c r="K60" s="53" t="str">
        <x:v>SI или явно названный стандарт</x:v>
      </x:c>
      <x:c r="L60" s="53" t="str">
        <x:v>TBD_BEFORE_EXECUTION_FROM_EXACT_METHOD: диапазон/критерий фиксируется до результата; post-hoc подгонка запрещена.</x:v>
      </x:c>
      <x:c r="M60" s="53" t="str">
        <x:v>сырые данные + фото/скриншот при допустимости + расчёт + uncertainty + подпись reviewer + hash пакета</x:v>
      </x:c>
      <x:c r="N60" s="53" t="n">
        <x:v>3</x:v>
      </x:c>
      <x:c r="O60" s="53" t="str">
        <x:v>TBD_METHOD_SPECIFIC: range/resolution/bias/repeat spread/operator effects утверждаются до execution</x:v>
      </x:c>
      <x:c r="P60" s="53" t="str">
        <x:v>DESIGN_PLACEHOLDER_NOT_EXECUTABLE: item-specific hazard analysis, материалы, энергия, концентрация, СИЗ и отходы ещё не утверждены.</x:v>
      </x:c>
      <x:c r="Q60" s="53" t="str">
        <x:v>BLOCKED_BEFORE_START: до точного method/source review запрещено начинать; после review нужны наблюдаемые численные/событийные stop conditions.</x:v>
      </x:c>
      <x:c r="R60" s="53" t="str">
        <x:v>TBD_ITEM_SPECIFIC_AND_LOCAL: пока маршрут отходов не утверждён, физическое выполнение блокировано.</x:v>
      </x:c>
      <x:c r="S60" s="53" t="str">
        <x:v>S1_LOW_RISK_HOUSEHOLD</x:v>
      </x:c>
      <x:c r="T60" s="53" t="str">
        <x:v>S1 допускается только после замены всех DESIGN/TBD полей точным low-risk методом и независимой safety-проверки.</x:v>
      </x:c>
      <x:c r="U60" s="53" t="n">
        <x:v>3</x:v>
      </x:c>
      <x:c r="V60" s="53" t="str">
        <x:v>ANY_SAFE_PERIOD</x:v>
      </x:c>
      <x:c r="W60" s="53" t="str">
        <x:v>records/science/SCI-CHEM-08/YYYY-MM-DD/</x:v>
      </x:c>
      <x:c r="X60" s="53" t="str">
        <x:v>PSP-016|SUP-PHY-025</x:v>
      </x:c>
      <x:c r="Y60" s="53" t="str">
        <x:v>PROVISIONAL_TOPIC_CANDIDATES_NOT_METHOD_REVIEWED</x:v>
      </x:c>
      <x:c r="Z60" s="53" t="str">
        <x:v>BLOCKED_UNTIL_EXACT_METHOD_SOURCE_SAFETY_AND_LOCAL_REVIEW</x:v>
      </x:c>
      <x:c r="AA60" s="53" t="str">
        <x:v>DESIGN_ONLY_NOT_EXECUTED</x:v>
      </x:c>
      <x:c r="AB6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0" s="53" t="str">
        <x:v>0.4</x:v>
      </x:c>
    </x:row>
    <x:row r="61">
      <x:c r="A61" s="26" t="str">
        <x:v>PRJ-058</x:v>
      </x:c>
      <x:c r="B61" s="26" t="str">
        <x:v>SCI-CHEM-09</x:v>
      </x:c>
      <x:c r="C61" s="26" t="str">
        <x:v>CHEM</x:v>
      </x:c>
      <x:c r="D61" s="26" t="str">
        <x:v>Практическая проверка: Электрохимия, батареи и коррозия</x:v>
      </x:c>
      <x:c r="E61" s="26" t="str">
        <x:v>LOW_RISK_BENCH_OR_FIELD</x:v>
      </x:c>
      <x:c r="F61" s="26" t="str">
        <x:v>Объяснить базовую модель, выполнить допустимую для класса риска проверку и документировать пределы по теме «Электрохимия, батареи и коррозия».</x:v>
      </x:c>
      <x:c r="G61" s="26" t="str">
        <x:v>SCI-CHEM-08|SCI-METH-13|право остановить опыт|инструкция оборудования</x:v>
      </x:c>
      <x:c r="H61" s="26" t="str">
        <x:v>TBD_NON_EXECUTABLE: точные item/model/material/range/PPE для состав/концентрация должны быть утверждены до начала</x:v>
      </x:c>
      <x:c r="I61" s="26" t="str">
        <x:v>Сформулировать вопрос; записать метод и единицы; выполнить визуальная/массовая оценка коррозии безопасных образцов; сохранить сырые данные; повторить; оценить неопределённость; сделать ограниченный вывод.</x:v>
      </x:c>
      <x:c r="J61" s="26" t="str">
        <x:v>визуальная/массовая оценка коррозии безопасных образцов</x:v>
      </x:c>
      <x:c r="K61" s="26" t="str">
        <x:v>SI или явно названный стандарт</x:v>
      </x:c>
      <x:c r="L61" s="26" t="str">
        <x:v>TBD_BEFORE_EXECUTION_FROM_EXACT_METHOD: диапазон/критерий фиксируется до результата; post-hoc подгонка запрещена.</x:v>
      </x:c>
      <x:c r="M61" s="26" t="str">
        <x:v>сырые данные + фото/скриншот при допустимости + расчёт + uncertainty + подпись reviewer + hash пакета</x:v>
      </x:c>
      <x:c r="N61" s="26" t="n">
        <x:v>3</x:v>
      </x:c>
      <x:c r="O61" s="26" t="str">
        <x:v>TBD_METHOD_SPECIFIC: range/resolution/bias/repeat spread/operator effects утверждаются до execution</x:v>
      </x:c>
      <x:c r="P61" s="26" t="str">
        <x:v>DESIGN_PLACEHOLDER_NOT_EXECUTABLE: item-specific hazard analysis, материалы, энергия, концентрация, СИЗ и отходы ещё не утверждены.</x:v>
      </x:c>
      <x:c r="Q61" s="26" t="str">
        <x:v>BLOCKED_BEFORE_START: до точного method/source review запрещено начинать; после review нужны наблюдаемые численные/событийные stop conditions.</x:v>
      </x:c>
      <x:c r="R61" s="26" t="str">
        <x:v>TBD_ITEM_SPECIFIC_AND_LOCAL: пока маршрут отходов не утверждён, физическое выполнение блокировано.</x:v>
      </x:c>
      <x:c r="S61" s="26" t="str">
        <x:v>S1_LOW_RISK_HOUSEHOLD</x:v>
      </x:c>
      <x:c r="T61" s="26" t="str">
        <x:v>S1 допускается только после замены всех DESIGN/TBD полей точным low-risk методом и независимой safety-проверки.</x:v>
      </x:c>
      <x:c r="U61" s="26" t="n">
        <x:v>3</x:v>
      </x:c>
      <x:c r="V61" s="26" t="str">
        <x:v>ANY_SAFE_PERIOD</x:v>
      </x:c>
      <x:c r="W61" s="26" t="str">
        <x:v>records/science/SCI-CHEM-09/YYYY-MM-DD/</x:v>
      </x:c>
      <x:c r="X61" s="26" t="str">
        <x:v>PSP-016|PSP-067</x:v>
      </x:c>
      <x:c r="Y61" s="26" t="str">
        <x:v>PROVISIONAL_TOPIC_CANDIDATES_NOT_METHOD_REVIEWED</x:v>
      </x:c>
      <x:c r="Z61" s="26" t="str">
        <x:v>BLOCKED_UNTIL_EXACT_METHOD_SOURCE_SAFETY_AND_LOCAL_REVIEW</x:v>
      </x:c>
      <x:c r="AA61" s="26" t="str">
        <x:v>DESIGN_ONLY_NOT_EXECUTED</x:v>
      </x:c>
      <x:c r="AB6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1" s="26" t="str">
        <x:v>0.4</x:v>
      </x:c>
    </x:row>
    <x:row r="62">
      <x:c r="A62" s="53" t="str">
        <x:v>PRJ-059</x:v>
      </x:c>
      <x:c r="B62" s="53" t="str">
        <x:v>SCI-CHEM-10</x:v>
      </x:c>
      <x:c r="C62" s="53" t="str">
        <x:v>CHEM</x:v>
      </x:c>
      <x:c r="D62" s="53" t="str">
        <x:v>Практическая проверка: Аналитическая химия и контроль качества</x:v>
      </x:c>
      <x:c r="E62" s="53" t="str">
        <x:v>SUPERVISED_DEMONSTRATION_ONLY</x:v>
      </x:c>
      <x:c r="F62" s="53" t="str">
        <x:v>Объяснить базовую модель, выполнить допустимую для класса риска проверку и документировать пределы по теме «Аналитическая химия и контроль качества».</x:v>
      </x:c>
      <x:c r="G62" s="53" t="str">
        <x:v>SCI-CHEM-09|SCI-METH-13|право остановить опыт|инструкция оборудования</x:v>
      </x:c>
      <x:c r="H62" s="53" t="str">
        <x:v>TBD_NON_EXECUTABLE: точные item/model/material/range/PPE для состав/концентрация должны быть утверждены до начала</x:v>
      </x:c>
      <x:c r="I62" s="53" t="str">
        <x:v>До допуска: обучение и checklist. Затем только под компетентным надзором выполнить безопасную часть: только после item-level SDS review: заводской водный учебный стандарт известного состава/концентрации и утверждённый путь отходов. Результат и отклонения подписывает supervisor.</x:v>
      </x:c>
      <x:c r="J62" s="53" t="str">
        <x:v>только после item-level SDS review: заводской водный учебный стандарт известного состава/концентрации и утверждённый путь отходов</x:v>
      </x:c>
      <x:c r="K62" s="53" t="str">
        <x:v>SI или явно названный стандарт</x:v>
      </x:c>
      <x:c r="L62" s="53" t="str">
        <x:v>TBD_BEFORE_EXECUTION_FROM_EXACT_METHOD: диапазон/критерий фиксируется до результата; post-hoc подгонка запрещена.</x:v>
      </x:c>
      <x:c r="M62" s="53" t="str">
        <x:v>сырые данные + фото/скриншот при допустимости + расчёт + uncertainty + подпись reviewer + hash пакета</x:v>
      </x:c>
      <x:c r="N62" s="53" t="n">
        <x:v>1</x:v>
      </x:c>
      <x:c r="O62" s="53" t="str">
        <x:v>TBD_METHOD_SPECIFIC: range/resolution/bias/repeat spread/operator effects утверждаются до execution</x:v>
      </x:c>
      <x:c r="P62" s="53" t="str">
        <x:v>DESIGN_PLACEHOLDER_NOT_EXECUTABLE: item-specific hazard analysis, материалы, энергия, концентрация, СИЗ и отходы ещё не утверждены.</x:v>
      </x:c>
      <x:c r="Q62" s="53" t="str">
        <x:v>BLOCKED_BEFORE_START: до точного method/source review запрещено начинать; после review нужны наблюдаемые численные/событийные stop conditions.</x:v>
      </x:c>
      <x:c r="R62" s="53" t="str">
        <x:v>TBD_ITEM_SPECIFIC_AND_LOCAL: пока маршрут отходов не утверждён, физическое выполнение блокировано.</x:v>
      </x:c>
      <x:c r="S62" s="53" t="str">
        <x:v>S2_TRAINED_SUPERVISED</x:v>
      </x:c>
      <x:c r="T62" s="53" t="str">
        <x:v>Компетентный инструктор/ответственный специалист присутствует и может немедленно остановить работу.</x:v>
      </x:c>
      <x:c r="U62" s="53" t="n">
        <x:v>3</x:v>
      </x:c>
      <x:c r="V62" s="53" t="str">
        <x:v>ANY_SAFE_PERIOD</x:v>
      </x:c>
      <x:c r="W62" s="53" t="str">
        <x:v>records/science/SCI-CHEM-10/YYYY-MM-DD/</x:v>
      </x:c>
      <x:c r="X62" s="53" t="str">
        <x:v>PSP-016|PSP-001</x:v>
      </x:c>
      <x:c r="Y62" s="53" t="str">
        <x:v>PROVISIONAL_TOPIC_CANDIDATES_NOT_METHOD_REVIEWED</x:v>
      </x:c>
      <x:c r="Z62" s="53" t="str">
        <x:v>BLOCKED_UNTIL_EXACT_METHOD_SOURCE_SAFETY_AND_LOCAL_REVIEW</x:v>
      </x:c>
      <x:c r="AA62" s="53" t="str">
        <x:v>DESIGN_ONLY_NOT_EXECUTED</x:v>
      </x:c>
      <x:c r="AB6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2" s="53" t="str">
        <x:v>0.4</x:v>
      </x:c>
    </x:row>
    <x:row r="63">
      <x:c r="A63" s="26" t="str">
        <x:v>PRJ-060</x:v>
      </x:c>
      <x:c r="B63" s="26" t="str">
        <x:v>SCI-CHEM-11</x:v>
      </x:c>
      <x:c r="C63" s="26" t="str">
        <x:v>CHEM</x:v>
      </x:c>
      <x:c r="D63" s="26" t="str">
        <x:v>Практическая проверка: Металлы, сплавы, полимеры, стекло и керамика</x:v>
      </x:c>
      <x:c r="E63" s="26" t="str">
        <x:v>LOW_RISK_BENCH_OR_FIELD</x:v>
      </x:c>
      <x:c r="F63" s="26" t="str">
        <x:v>Объяснить базовую модель, выполнить допустимую для класса риска проверку и документировать пределы по теме «Металлы, сплавы, полимеры, стекло и керамика».</x:v>
      </x:c>
      <x:c r="G63" s="26" t="str">
        <x:v>SCI-CHEM-10|SCI-METH-13|право остановить опыт|инструкция оборудования</x:v>
      </x:c>
      <x:c r="H63" s="26" t="str">
        <x:v>TBD_NON_EXECUTABLE: точные item/model/material/range/PPE для состав/концентрация должны быть утверждены до начала</x:v>
      </x:c>
      <x:c r="I63" s="26" t="str">
        <x:v>Сформулировать вопрос; записать метод и единицы; выполнить идентификация материала по неразрушаемым признакам; сохранить сырые данные; повторить; оценить неопределённость; сделать ограниченный вывод.</x:v>
      </x:c>
      <x:c r="J63" s="26" t="str">
        <x:v>идентификация материала по неразрушаемым признакам</x:v>
      </x:c>
      <x:c r="K63" s="26" t="str">
        <x:v>SI или явно названный стандарт</x:v>
      </x:c>
      <x:c r="L63" s="26" t="str">
        <x:v>TBD_BEFORE_EXECUTION_FROM_EXACT_METHOD: диапазон/критерий фиксируется до результата; post-hoc подгонка запрещена.</x:v>
      </x:c>
      <x:c r="M63" s="26" t="str">
        <x:v>сырые данные + фото/скриншот при допустимости + расчёт + uncertainty + подпись reviewer + hash пакета</x:v>
      </x:c>
      <x:c r="N63" s="26" t="n">
        <x:v>3</x:v>
      </x:c>
      <x:c r="O63" s="26" t="str">
        <x:v>TBD_METHOD_SPECIFIC: range/resolution/bias/repeat spread/operator effects утверждаются до execution</x:v>
      </x:c>
      <x:c r="P63" s="26" t="str">
        <x:v>DESIGN_PLACEHOLDER_NOT_EXECUTABLE: item-specific hazard analysis, материалы, энергия, концентрация, СИЗ и отходы ещё не утверждены.</x:v>
      </x:c>
      <x:c r="Q63" s="26" t="str">
        <x:v>BLOCKED_BEFORE_START: до точного method/source review запрещено начинать; после review нужны наблюдаемые численные/событийные stop conditions.</x:v>
      </x:c>
      <x:c r="R63" s="26" t="str">
        <x:v>TBD_ITEM_SPECIFIC_AND_LOCAL: пока маршрут отходов не утверждён, физическое выполнение блокировано.</x:v>
      </x:c>
      <x:c r="S63" s="26" t="str">
        <x:v>S1_LOW_RISK_HOUSEHOLD</x:v>
      </x:c>
      <x:c r="T63" s="26" t="str">
        <x:v>S1 допускается только после замены всех DESIGN/TBD полей точным low-risk методом и независимой safety-проверки.</x:v>
      </x:c>
      <x:c r="U63" s="26" t="n">
        <x:v>3</x:v>
      </x:c>
      <x:c r="V63" s="26" t="str">
        <x:v>ANY_SAFE_PERIOD</x:v>
      </x:c>
      <x:c r="W63" s="26" t="str">
        <x:v>records/science/SCI-CHEM-11/YYYY-MM-DD/</x:v>
      </x:c>
      <x:c r="X63" s="26" t="str">
        <x:v>SUP-PHY-018|SUP-PHY-019</x:v>
      </x:c>
      <x:c r="Y63" s="26" t="str">
        <x:v>PROVISIONAL_TOPIC_CANDIDATES_NOT_METHOD_REVIEWED</x:v>
      </x:c>
      <x:c r="Z63" s="26" t="str">
        <x:v>BLOCKED_UNTIL_EXACT_METHOD_SOURCE_SAFETY_AND_LOCAL_REVIEW</x:v>
      </x:c>
      <x:c r="AA63" s="26" t="str">
        <x:v>DESIGN_ONLY_NOT_EXECUTED</x:v>
      </x:c>
      <x:c r="AB6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3" s="26" t="str">
        <x:v>0.4</x:v>
      </x:c>
    </x:row>
    <x:row r="64">
      <x:c r="A64" s="53" t="str">
        <x:v>PRJ-061</x:v>
      </x:c>
      <x:c r="B64" s="53" t="str">
        <x:v>SCI-CHEM-12</x:v>
      </x:c>
      <x:c r="C64" s="53" t="str">
        <x:v>CHEM</x:v>
      </x:c>
      <x:c r="D64" s="53" t="str">
        <x:v>Практическая проверка: Клеи, покрытия и совместимость материалов</x:v>
      </x:c>
      <x:c r="E64" s="53" t="str">
        <x:v>SUPERVISED_DEMONSTRATION_ONLY</x:v>
      </x:c>
      <x:c r="F64" s="53" t="str">
        <x:v>Объяснить базовую модель, выполнить допустимую для класса риска проверку и документировать пределы по теме «Клеи, покрытия и совместимость материалов».</x:v>
      </x:c>
      <x:c r="G64" s="53" t="str">
        <x:v>SCI-CHEM-11|SCI-METH-13|право остановить опыт|инструкция оборудования</x:v>
      </x:c>
      <x:c r="H64" s="53" t="str">
        <x:v>TBD_NON_EXECUTABLE: точные item/model/material/range/PPE для состав/концентрация должны быть утверждены до начала</x:v>
      </x:c>
      <x:c r="I64" s="53" t="str">
        <x:v>До допуска: обучение и checklist. Затем только под компетентным надзором выполнить безопасную часть: только после item-level review конкретного consumer product, SDS, hazard statements, перчаток, вентиляции, количества и утилизации; двухкомпонентные, растворные и изоцианатные системы исключены. Результат и отклонения подписывает supervisor.</x:v>
      </x:c>
      <x:c r="J64" s="53" t="str">
        <x:v>только после item-level review конкретного consumer product, SDS, hazard statements, перчаток, вентиляции, количества и утилизации; двухкомпонентные, растворные и изоцианатные системы исключены</x:v>
      </x:c>
      <x:c r="K64" s="53" t="str">
        <x:v>SI или явно названный стандарт</x:v>
      </x:c>
      <x:c r="L64" s="53" t="str">
        <x:v>TBD_BEFORE_EXECUTION_FROM_EXACT_METHOD: диапазон/критерий фиксируется до результата; post-hoc подгонка запрещена.</x:v>
      </x:c>
      <x:c r="M64" s="53" t="str">
        <x:v>сырые данные + фото/скриншот при допустимости + расчёт + uncertainty + подпись reviewer + hash пакета</x:v>
      </x:c>
      <x:c r="N64" s="53" t="n">
        <x:v>1</x:v>
      </x:c>
      <x:c r="O64" s="53" t="str">
        <x:v>TBD_METHOD_SPECIFIC: range/resolution/bias/repeat spread/operator effects утверждаются до execution</x:v>
      </x:c>
      <x:c r="P64" s="53" t="str">
        <x:v>DESIGN_PLACEHOLDER_NOT_EXECUTABLE: item-specific hazard analysis, материалы, энергия, концентрация, СИЗ и отходы ещё не утверждены.</x:v>
      </x:c>
      <x:c r="Q64" s="53" t="str">
        <x:v>BLOCKED_BEFORE_START: до точного method/source review запрещено начинать; после review нужны наблюдаемые численные/событийные stop conditions.</x:v>
      </x:c>
      <x:c r="R64" s="53" t="str">
        <x:v>TBD_ITEM_SPECIFIC_AND_LOCAL: пока маршрут отходов не утверждён, физическое выполнение блокировано.</x:v>
      </x:c>
      <x:c r="S64" s="53" t="str">
        <x:v>S2_TRAINED_SUPERVISED</x:v>
      </x:c>
      <x:c r="T64" s="53" t="str">
        <x:v>Компетентный инструктор/ответственный специалист присутствует и может немедленно остановить работу.</x:v>
      </x:c>
      <x:c r="U64" s="53" t="n">
        <x:v>3</x:v>
      </x:c>
      <x:c r="V64" s="53" t="str">
        <x:v>ANY_SAFE_PERIOD</x:v>
      </x:c>
      <x:c r="W64" s="53" t="str">
        <x:v>records/science/SCI-CHEM-12/YYYY-MM-DD/</x:v>
      </x:c>
      <x:c r="X64" s="53" t="str">
        <x:v>SUP-PHY-018|SUP-PHY-019</x:v>
      </x:c>
      <x:c r="Y64" s="53" t="str">
        <x:v>PROVISIONAL_TOPIC_CANDIDATES_NOT_METHOD_REVIEWED</x:v>
      </x:c>
      <x:c r="Z64" s="53" t="str">
        <x:v>BLOCKED_UNTIL_EXACT_METHOD_SOURCE_SAFETY_AND_LOCAL_REVIEW</x:v>
      </x:c>
      <x:c r="AA64" s="53" t="str">
        <x:v>DESIGN_ONLY_NOT_EXECUTED</x:v>
      </x:c>
      <x:c r="AB6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4" s="53" t="str">
        <x:v>0.4</x:v>
      </x:c>
    </x:row>
    <x:row r="65">
      <x:c r="A65" s="26" t="str">
        <x:v>PRJ-062</x:v>
      </x:c>
      <x:c r="B65" s="26" t="str">
        <x:v>SCI-CHEM-13</x:v>
      </x:c>
      <x:c r="C65" s="26" t="str">
        <x:v>CHEM</x:v>
      </x:c>
      <x:c r="D65" s="26" t="str">
        <x:v>Практическая проверка: Топливо, горение и продукты сгорания</x:v>
      </x:c>
      <x:c r="E65" s="26" t="str">
        <x:v>REFERENCE_ONLY_NO_EXECUTION</x:v>
      </x:c>
      <x:c r="F65" s="26" t="str">
        <x:v>Объяснить базовую модель, выполнить допустимую для класса риска проверку и документировать пределы по теме «Топливо, горение и продукты сгорания».</x:v>
      </x:c>
      <x:c r="G65" s="26" t="str">
        <x:v>SCI-CHEM-12|SCI-METH-13|право остановить опыт|инструкция оборудования</x:v>
      </x:c>
      <x:c r="H65" s="26" t="str">
        <x:v>TBD_NON_EXECUTABLE: точные item/model/material/range/PPE для состав/концентрация должны быть утверждены до начала</x:v>
      </x:c>
      <x:c r="I65" s="26" t="str">
        <x:v>Только чтение, распознавание опасности и анализ опубликованных данных: только распознавание рисков CO/пожара; бытовые опыты запрещены. Никаких бытовых экспериментов, культивирования, давления, огня или опасных веществ.</x:v>
      </x:c>
      <x:c r="J65" s="26" t="str">
        <x:v>только распознавание рисков CO/пожара; бытовые опыты запрещены</x:v>
      </x:c>
      <x:c r="K65" s="26" t="str">
        <x:v>SI или явно названный стандарт</x:v>
      </x:c>
      <x:c r="L65" s="26" t="str">
        <x:v>TBD_BEFORE_EXECUTION_FROM_EXACT_METHOD: диапазон/критерий фиксируется до результата; post-hoc подгонка запрещена.</x:v>
      </x:c>
      <x:c r="M65" s="26" t="str">
        <x:v>сырые данные + фото/скриншот при допустимости + расчёт + uncertainty + подпись reviewer + hash пакета</x:v>
      </x:c>
      <x:c r="N65" s="26" t="n">
        <x:v>1</x:v>
      </x:c>
      <x:c r="O65" s="26" t="str">
        <x:v>TBD_METHOD_SPECIFIC: range/resolution/bias/repeat spread/operator effects утверждаются до execution</x:v>
      </x:c>
      <x:c r="P65" s="26" t="str">
        <x:v>Высокий риск тяжёлой травмы, инфекции, отравления, пожара, взрыва или загрязнения.</x:v>
      </x:c>
      <x:c r="Q65" s="26" t="str">
        <x:v>NO-GO для household execution; изолировать ситуацию и обратиться к компетентной службе/специалисту.</x:v>
      </x:c>
      <x:c r="R65" s="26" t="str">
        <x:v>TBD_ITEM_SPECIFIC_AND_LOCAL: пока маршрут отходов не утверждён, физическое выполнение блокировано.</x:v>
      </x:c>
      <x:c r="S65" s="26" t="str">
        <x:v>S4_REFERENCE_ONLY_PROHIBITED_HOUSEHOLD</x:v>
      </x:c>
      <x:c r="T65" s="26" t="str">
        <x:v>Профессиональная площадка и разрешение обязательны для любого физического исполнения.</x:v>
      </x:c>
      <x:c r="U65" s="26" t="n">
        <x:v>2</x:v>
      </x:c>
      <x:c r="V65" s="26" t="str">
        <x:v>ANY_SAFE_PERIOD</x:v>
      </x:c>
      <x:c r="W65" s="26" t="str">
        <x:v>records/science/SCI-CHEM-13/YYYY-MM-DD/</x:v>
      </x:c>
      <x:c r="X65" s="26" t="str">
        <x:v>SUP-PHY-025|SUP-PHY-026</x:v>
      </x:c>
      <x:c r="Y65" s="26" t="str">
        <x:v>PROVISIONAL_TOPIC_CANDIDATES_NOT_METHOD_REVIEWED</x:v>
      </x:c>
      <x:c r="Z65" s="26" t="str">
        <x:v>BLOCKED_UNTIL_EXACT_METHOD_SOURCE_SAFETY_AND_LOCAL_REVIEW</x:v>
      </x:c>
      <x:c r="AA65" s="26" t="str">
        <x:v>DESIGN_ONLY_NOT_EXECUTED</x:v>
      </x:c>
      <x:c r="AB6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5" s="26" t="str">
        <x:v>0.4</x:v>
      </x:c>
    </x:row>
    <x:row r="66">
      <x:c r="A66" s="53" t="str">
        <x:v>PRJ-063</x:v>
      </x:c>
      <x:c r="B66" s="53" t="str">
        <x:v>SCI-CHEM-14</x:v>
      </x:c>
      <x:c r="C66" s="53" t="str">
        <x:v>CHEM</x:v>
      </x:c>
      <x:c r="D66" s="53" t="str">
        <x:v>Практическая проверка: Химия воды и ограничения бытовой обработки</x:v>
      </x:c>
      <x:c r="E66" s="53" t="str">
        <x:v>LOW_RISK_BENCH_OR_FIELD</x:v>
      </x:c>
      <x:c r="F66" s="53" t="str">
        <x:v>Объяснить базовую модель, выполнить допустимую для класса риска проверку и документировать пределы по теме «Химия воды и ограничения бытовой обработки».</x:v>
      </x:c>
      <x:c r="G66" s="53" t="str">
        <x:v>SCI-CHEM-13|SCI-METH-13|право остановить опыт|инструкция оборудования</x:v>
      </x:c>
      <x:c r="H66" s="53" t="str">
        <x:v>TBD_NON_EXECUTABLE: точные item/model/material/range/PPE для состав/концентрация должны быть утверждены до начала</x:v>
      </x:c>
      <x:c r="I66" s="53" t="str">
        <x:v>Сформулировать вопрос; записать метод и единицы; выполнить чтение лабораторного отчёта и разделение биологических/химических рисков; сохранить сырые данные; повторить; оценить неопределённость; сделать ограниченный вывод.</x:v>
      </x:c>
      <x:c r="J66" s="53" t="str">
        <x:v>чтение лабораторного отчёта и разделение биологических/химических рисков</x:v>
      </x:c>
      <x:c r="K66" s="53" t="str">
        <x:v>SI или явно названный стандарт</x:v>
      </x:c>
      <x:c r="L66" s="53" t="str">
        <x:v>TBD_BEFORE_EXECUTION_FROM_EXACT_METHOD: диапазон/критерий фиксируется до результата; post-hoc подгонка запрещена.</x:v>
      </x:c>
      <x:c r="M66" s="53" t="str">
        <x:v>сырые данные + фото/скриншот при допустимости + расчёт + uncertainty + подпись reviewer + hash пакета</x:v>
      </x:c>
      <x:c r="N66" s="53" t="n">
        <x:v>3</x:v>
      </x:c>
      <x:c r="O66" s="53" t="str">
        <x:v>TBD_METHOD_SPECIFIC: range/resolution/bias/repeat spread/operator effects утверждаются до execution</x:v>
      </x:c>
      <x:c r="P66" s="53" t="str">
        <x:v>DESIGN_PLACEHOLDER_NOT_EXECUTABLE: item-specific hazard analysis, материалы, энергия, концентрация, СИЗ и отходы ещё не утверждены.</x:v>
      </x:c>
      <x:c r="Q66" s="53" t="str">
        <x:v>BLOCKED_BEFORE_START: до точного method/source review запрещено начинать; после review нужны наблюдаемые численные/событийные stop conditions.</x:v>
      </x:c>
      <x:c r="R66" s="53" t="str">
        <x:v>TBD_ITEM_SPECIFIC_AND_LOCAL: пока маршрут отходов не утверждён, физическое выполнение блокировано.</x:v>
      </x:c>
      <x:c r="S66" s="53" t="str">
        <x:v>S1_LOW_RISK_HOUSEHOLD</x:v>
      </x:c>
      <x:c r="T66" s="53" t="str">
        <x:v>S1 допускается только после замены всех DESIGN/TBD полей точным low-risk методом и независимой safety-проверки.</x:v>
      </x:c>
      <x:c r="U66" s="53" t="n">
        <x:v>3</x:v>
      </x:c>
      <x:c r="V66" s="53" t="str">
        <x:v>ANY_SAFE_PERIOD</x:v>
      </x:c>
      <x:c r="W66" s="53" t="str">
        <x:v>records/science/SCI-CHEM-14/YYYY-MM-DD/</x:v>
      </x:c>
      <x:c r="X66" s="53" t="str">
        <x:v>PSP-101|PSP-102</x:v>
      </x:c>
      <x:c r="Y66" s="53" t="str">
        <x:v>PROVISIONAL_TOPIC_CANDIDATES_NOT_METHOD_REVIEWED</x:v>
      </x:c>
      <x:c r="Z66" s="53" t="str">
        <x:v>BLOCKED_UNTIL_EXACT_METHOD_SOURCE_SAFETY_AND_LOCAL_REVIEW</x:v>
      </x:c>
      <x:c r="AA66" s="53" t="str">
        <x:v>DESIGN_ONLY_NOT_EXECUTED</x:v>
      </x:c>
      <x:c r="AB6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6" s="53" t="str">
        <x:v>0.4</x:v>
      </x:c>
    </x:row>
    <x:row r="67">
      <x:c r="A67" s="26" t="str">
        <x:v>PRJ-064</x:v>
      </x:c>
      <x:c r="B67" s="26" t="str">
        <x:v>SCI-CHEM-15</x:v>
      </x:c>
      <x:c r="C67" s="26" t="str">
        <x:v>CHEM</x:v>
      </x:c>
      <x:c r="D67" s="26" t="str">
        <x:v>Практическая проверка: Химия пищи и изменения при хранении</x:v>
      </x:c>
      <x:c r="E67" s="26" t="str">
        <x:v>LOW_RISK_BENCH_OR_FIELD</x:v>
      </x:c>
      <x:c r="F67" s="26" t="str">
        <x:v>Объяснить базовую модель, выполнить допустимую для класса риска проверку и документировать пределы по теме «Химия пищи и изменения при хранении».</x:v>
      </x:c>
      <x:c r="G67" s="26" t="str">
        <x:v>SCI-CHEM-14|SCI-METH-13|право остановить опыт|инструкция оборудования</x:v>
      </x:c>
      <x:c r="H67" s="26" t="str">
        <x:v>TBD_NON_EXECUTABLE: точные item/model/material/range/PPE для состав/концентрация должны быть утверждены до начала</x:v>
      </x:c>
      <x:c r="I67" s="26" t="str">
        <x:v>Сформулировать вопрос; записать метод и единицы; выполнить масса, температура и наблюдение без употребления сомнительных образцов; сохранить сырые данные; повторить; оценить неопределённость; сделать ограниченный вывод.</x:v>
      </x:c>
      <x:c r="J67" s="26" t="str">
        <x:v>масса, температура и наблюдение без употребления сомнительных образцов</x:v>
      </x:c>
      <x:c r="K67" s="26" t="str">
        <x:v>SI или явно названный стандарт</x:v>
      </x:c>
      <x:c r="L67" s="26" t="str">
        <x:v>TBD_BEFORE_EXECUTION_FROM_EXACT_METHOD: диапазон/критерий фиксируется до результата; post-hoc подгонка запрещена.</x:v>
      </x:c>
      <x:c r="M67" s="26" t="str">
        <x:v>сырые данные + фото/скриншот при допустимости + расчёт + uncertainty + подпись reviewer + hash пакета</x:v>
      </x:c>
      <x:c r="N67" s="26" t="n">
        <x:v>3</x:v>
      </x:c>
      <x:c r="O67" s="26" t="str">
        <x:v>TBD_METHOD_SPECIFIC: range/resolution/bias/repeat spread/operator effects утверждаются до execution</x:v>
      </x:c>
      <x:c r="P67" s="26" t="str">
        <x:v>DESIGN_PLACEHOLDER_NOT_EXECUTABLE: item-specific hazard analysis, материалы, энергия, концентрация, СИЗ и отходы ещё не утверждены.</x:v>
      </x:c>
      <x:c r="Q67" s="26" t="str">
        <x:v>BLOCKED_BEFORE_START: до точного method/source review запрещено начинать; после review нужны наблюдаемые численные/событийные stop conditions.</x:v>
      </x:c>
      <x:c r="R67" s="26" t="str">
        <x:v>TBD_ITEM_SPECIFIC_AND_LOCAL: пока маршрут отходов не утверждён, физическое выполнение блокировано.</x:v>
      </x:c>
      <x:c r="S67" s="26" t="str">
        <x:v>S1_LOW_RISK_HOUSEHOLD</x:v>
      </x:c>
      <x:c r="T67" s="26" t="str">
        <x:v>S1 допускается только после замены всех DESIGN/TBD полей точным low-risk методом и независимой safety-проверки.</x:v>
      </x:c>
      <x:c r="U67" s="26" t="n">
        <x:v>3</x:v>
      </x:c>
      <x:c r="V67" s="26" t="str">
        <x:v>ANY_SAFE_PERIOD</x:v>
      </x:c>
      <x:c r="W67" s="26" t="str">
        <x:v>records/science/SCI-CHEM-15/YYYY-MM-DD/</x:v>
      </x:c>
      <x:c r="X67" s="26" t="str">
        <x:v>PSP-016|SUP-LEA-037</x:v>
      </x:c>
      <x:c r="Y67" s="26" t="str">
        <x:v>PROVISIONAL_TOPIC_CANDIDATES_NOT_METHOD_REVIEWED</x:v>
      </x:c>
      <x:c r="Z67" s="26" t="str">
        <x:v>BLOCKED_UNTIL_EXACT_METHOD_SOURCE_SAFETY_AND_LOCAL_REVIEW</x:v>
      </x:c>
      <x:c r="AA67" s="26" t="str">
        <x:v>DESIGN_ONLY_NOT_EXECUTED</x:v>
      </x:c>
      <x:c r="AB6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7" s="26" t="str">
        <x:v>0.4</x:v>
      </x:c>
    </x:row>
    <x:row r="68">
      <x:c r="A68" s="53" t="str">
        <x:v>PRJ-065</x:v>
      </x:c>
      <x:c r="B68" s="53" t="str">
        <x:v>SCI-CHEM-16</x:v>
      </x:c>
      <x:c r="C68" s="53" t="str">
        <x:v>CHEM</x:v>
      </x:c>
      <x:c r="D68" s="53" t="str">
        <x:v>Практическая проверка: SDS, маркировка, совместное хранение и отходы</x:v>
      </x:c>
      <x:c r="E68" s="53" t="str">
        <x:v>LOW_RISK_BENCH_OR_FIELD</x:v>
      </x:c>
      <x:c r="F68" s="53" t="str">
        <x:v>Объяснить базовую модель, выполнить допустимую для класса риска проверку и документировать пределы по теме «SDS, маркировка, совместное хранение и отходы».</x:v>
      </x:c>
      <x:c r="G68" s="53" t="str">
        <x:v>SCI-CHEM-15|SCI-METH-13|право остановить опыт|инструкция оборудования</x:v>
      </x:c>
      <x:c r="H68" s="53" t="str">
        <x:v>TBD_NON_EXECUTABLE: точные item/model/material/range/PPE для состав/концентрация должны быть утверждены до начала</x:v>
      </x:c>
      <x:c r="I68" s="53" t="str">
        <x:v>Сформулировать вопрос; записать метод и единицы; выполнить поиск опасностей, СИЗ, несовместимостей и пути утилизации; сохранить сырые данные; повторить; оценить неопределённость; сделать ограниченный вывод.</x:v>
      </x:c>
      <x:c r="J68" s="53" t="str">
        <x:v>поиск опасностей, СИЗ, несовместимостей и пути утилизации</x:v>
      </x:c>
      <x:c r="K68" s="53" t="str">
        <x:v>SI или явно названный стандарт</x:v>
      </x:c>
      <x:c r="L68" s="53" t="str">
        <x:v>TBD_BEFORE_EXECUTION_FROM_EXACT_METHOD: диапазон/критерий фиксируется до результата; post-hoc подгонка запрещена.</x:v>
      </x:c>
      <x:c r="M68" s="53" t="str">
        <x:v>сырые данные + фото/скриншот при допустимости + расчёт + uncertainty + подпись reviewer + hash пакета</x:v>
      </x:c>
      <x:c r="N68" s="53" t="n">
        <x:v>3</x:v>
      </x:c>
      <x:c r="O68" s="53" t="str">
        <x:v>TBD_METHOD_SPECIFIC: range/resolution/bias/repeat spread/operator effects утверждаются до execution</x:v>
      </x:c>
      <x:c r="P68" s="53" t="str">
        <x:v>DESIGN_PLACEHOLDER_NOT_EXECUTABLE: item-specific hazard analysis, материалы, энергия, концентрация, СИЗ и отходы ещё не утверждены.</x:v>
      </x:c>
      <x:c r="Q68" s="53" t="str">
        <x:v>BLOCKED_BEFORE_START: до точного method/source review запрещено начинать; после review нужны наблюдаемые численные/событийные stop conditions.</x:v>
      </x:c>
      <x:c r="R68" s="53" t="str">
        <x:v>TBD_ITEM_SPECIFIC_AND_LOCAL: пока маршрут отходов не утверждён, физическое выполнение блокировано.</x:v>
      </x:c>
      <x:c r="S68" s="53" t="str">
        <x:v>S1_LOW_RISK_HOUSEHOLD</x:v>
      </x:c>
      <x:c r="T68" s="53" t="str">
        <x:v>S1 допускается только после замены всех DESIGN/TBD полей точным low-risk методом и независимой safety-проверки.</x:v>
      </x:c>
      <x:c r="U68" s="53" t="n">
        <x:v>3</x:v>
      </x:c>
      <x:c r="V68" s="53" t="str">
        <x:v>ANY_SAFE_PERIOD</x:v>
      </x:c>
      <x:c r="W68" s="53" t="str">
        <x:v>records/science/SCI-CHEM-16/YYYY-MM-DD/</x:v>
      </x:c>
      <x:c r="X68" s="53" t="str">
        <x:v>SUP-PHY-025|SUP-PHY-026</x:v>
      </x:c>
      <x:c r="Y68" s="53" t="str">
        <x:v>PROVISIONAL_TOPIC_CANDIDATES_NOT_METHOD_REVIEWED</x:v>
      </x:c>
      <x:c r="Z68" s="53" t="str">
        <x:v>BLOCKED_UNTIL_EXACT_METHOD_SOURCE_SAFETY_AND_LOCAL_REVIEW</x:v>
      </x:c>
      <x:c r="AA68" s="53" t="str">
        <x:v>DESIGN_ONLY_NOT_EXECUTED</x:v>
      </x:c>
      <x:c r="AB6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8" s="53" t="str">
        <x:v>0.4</x:v>
      </x:c>
    </x:row>
    <x:row r="69">
      <x:c r="A69" s="26" t="str">
        <x:v>PRJ-066</x:v>
      </x:c>
      <x:c r="B69" s="26" t="str">
        <x:v>SCI-LIFE-01</x:v>
      </x:c>
      <x:c r="C69" s="26" t="str">
        <x:v>LIFE</x:v>
      </x:c>
      <x:c r="D69" s="26" t="str">
        <x:v>Практическая проверка: Клетка, мембраны и обмен веществ</x:v>
      </x:c>
      <x:c r="E69" s="26" t="str">
        <x:v>OBSERVATION_DATA_OR_CALCULATION</x:v>
      </x:c>
      <x:c r="F69" s="26" t="str">
        <x:v>Объяснить базовую модель, выполнить допустимую для класса риска проверку и документировать пределы по теме «Клетка, мембраны и обмен веществ».</x:v>
      </x:c>
      <x:c r="G69" s="26" t="str">
        <x:v>SCI-METH-01|SCI-METH-07|SCI-METH-14|право остановить опыт|инструкция оборудования</x:v>
      </x:c>
      <x:c r="H69" s="26" t="str">
        <x:v>TBD_NON_EXECUTABLE: точные item/model/material/range/PPE для наблюдение/счёт должны быть утверждены до начала</x:v>
      </x:c>
      <x:c r="I69" s="26" t="str">
        <x:v>Сформулировать вопрос; записать метод и единицы; выполнить аннотированная схема и анализ готового микроснимка; сохранить сырые данные; повторить; оценить неопределённость; сделать ограниченный вывод.</x:v>
      </x:c>
      <x:c r="J69" s="26" t="str">
        <x:v>аннотированная схема и анализ готового микроснимка</x:v>
      </x:c>
      <x:c r="K69" s="26" t="str">
        <x:v>SI или явно названный стандарт</x:v>
      </x:c>
      <x:c r="L69" s="26" t="str">
        <x:v>TBD_BEFORE_EXECUTION_FROM_EXACT_METHOD: диапазон/критерий фиксируется до результата; post-hoc подгонка запрещена.</x:v>
      </x:c>
      <x:c r="M69" s="26" t="str">
        <x:v>сырые данные + фото/скриншот при допустимости + расчёт + uncertainty + подпись reviewer + hash пакета</x:v>
      </x:c>
      <x:c r="N69" s="26" t="n">
        <x:v>2</x:v>
      </x:c>
      <x:c r="O69" s="26" t="str">
        <x:v>TBD_METHOD_SPECIFIC: range/resolution/bias/repeat spread/operator effects утверждаются до execution</x:v>
      </x:c>
      <x:c r="P6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69" s="26" t="str">
        <x:v>STOP при неясных правах, происхождении данных, этическом конфликте или невозможности сохранить исходные данные.</x:v>
      </x:c>
      <x:c r="R69" s="26" t="str">
        <x:v>TBD_ITEM_SPECIFIC_AND_LOCAL: пока маршрут отходов не утверждён, физическое выполнение блокировано.</x:v>
      </x:c>
      <x:c r="S69" s="26" t="str">
        <x:v>S0_OBSERVE_READ</x:v>
      </x:c>
      <x:c r="T69" s="26" t="str">
        <x:v>Самостоятельно после проверки источника; опасное действие из текста не выполняется.</x:v>
      </x:c>
      <x:c r="U69" s="26" t="n">
        <x:v>3</x:v>
      </x:c>
      <x:c r="V69" s="26" t="str">
        <x:v>ANY_SAFE_PERIOD</x:v>
      </x:c>
      <x:c r="W69" s="26" t="str">
        <x:v>records/science/SCI-LIFE-01/YYYY-MM-DD/</x:v>
      </x:c>
      <x:c r="X69" s="26" t="str">
        <x:v>PSP-017</x:v>
      </x:c>
      <x:c r="Y69" s="26" t="str">
        <x:v>PROVISIONAL_TOPIC_CANDIDATES_NOT_METHOD_REVIEWED</x:v>
      </x:c>
      <x:c r="Z69" s="26" t="str">
        <x:v>BLOCKED_UNTIL_EXACT_METHOD_SOURCE_SAFETY_AND_LOCAL_REVIEW</x:v>
      </x:c>
      <x:c r="AA69" s="26" t="str">
        <x:v>DESIGN_ONLY_NOT_EXECUTED</x:v>
      </x:c>
      <x:c r="AB6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69" s="26" t="str">
        <x:v>0.4</x:v>
      </x:c>
    </x:row>
    <x:row r="70">
      <x:c r="A70" s="53" t="str">
        <x:v>PRJ-067</x:v>
      </x:c>
      <x:c r="B70" s="53" t="str">
        <x:v>SCI-LIFE-02</x:v>
      </x:c>
      <x:c r="C70" s="53" t="str">
        <x:v>LIFE</x:v>
      </x:c>
      <x:c r="D70" s="53" t="str">
        <x:v>Практическая проверка: ДНК, наследование и вариация</x:v>
      </x:c>
      <x:c r="E70" s="53" t="str">
        <x:v>OBSERVATION_DATA_OR_CALCULATION</x:v>
      </x:c>
      <x:c r="F70" s="53" t="str">
        <x:v>Объяснить базовую модель, выполнить допустимую для класса риска проверку и документировать пределы по теме «ДНК, наследование и вариация».</x:v>
      </x:c>
      <x:c r="G70" s="53" t="str">
        <x:v>SCI-LIFE-01|SCI-METH-13|право остановить опыт|инструкция оборудования</x:v>
      </x:c>
      <x:c r="H70" s="53" t="str">
        <x:v>TBD_NON_EXECUTABLE: точные item/model/material/range/PPE для наблюдение/счёт должны быть утверждены до начала</x:v>
      </x:c>
      <x:c r="I70" s="53" t="str">
        <x:v>Сформулировать вопрос; записать метод и единицы; выполнить родословная учебного признака без медицинской интерпретации; сохранить сырые данные; повторить; оценить неопределённость; сделать ограниченный вывод.</x:v>
      </x:c>
      <x:c r="J70" s="53" t="str">
        <x:v>родословная учебного признака без медицинской интерпретации</x:v>
      </x:c>
      <x:c r="K70" s="53" t="str">
        <x:v>SI или явно названный стандарт</x:v>
      </x:c>
      <x:c r="L70" s="53" t="str">
        <x:v>TBD_BEFORE_EXECUTION_FROM_EXACT_METHOD: диапазон/критерий фиксируется до результата; post-hoc подгонка запрещена.</x:v>
      </x:c>
      <x:c r="M70" s="53" t="str">
        <x:v>сырые данные + фото/скриншот при допустимости + расчёт + uncertainty + подпись reviewer + hash пакета</x:v>
      </x:c>
      <x:c r="N70" s="53" t="n">
        <x:v>2</x:v>
      </x:c>
      <x:c r="O70" s="53" t="str">
        <x:v>TBD_METHOD_SPECIFIC: range/resolution/bias/repeat spread/operator effects утверждаются до execution</x:v>
      </x:c>
      <x:c r="P7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0" s="53" t="str">
        <x:v>STOP при неясных правах, происхождении данных, этическом конфликте или невозможности сохранить исходные данные.</x:v>
      </x:c>
      <x:c r="R70" s="53" t="str">
        <x:v>TBD_ITEM_SPECIFIC_AND_LOCAL: пока маршрут отходов не утверждён, физическое выполнение блокировано.</x:v>
      </x:c>
      <x:c r="S70" s="53" t="str">
        <x:v>S0_OBSERVE_READ</x:v>
      </x:c>
      <x:c r="T70" s="53" t="str">
        <x:v>Самостоятельно после проверки источника; опасное действие из текста не выполняется.</x:v>
      </x:c>
      <x:c r="U70" s="53" t="n">
        <x:v>3</x:v>
      </x:c>
      <x:c r="V70" s="53" t="str">
        <x:v>ANY_SAFE_PERIOD</x:v>
      </x:c>
      <x:c r="W70" s="53" t="str">
        <x:v>records/science/SCI-LIFE-02/YYYY-MM-DD/</x:v>
      </x:c>
      <x:c r="X70" s="53" t="str">
        <x:v>PSP-017</x:v>
      </x:c>
      <x:c r="Y70" s="53" t="str">
        <x:v>PROVISIONAL_TOPIC_CANDIDATES_NOT_METHOD_REVIEWED</x:v>
      </x:c>
      <x:c r="Z70" s="53" t="str">
        <x:v>BLOCKED_UNTIL_EXACT_METHOD_SOURCE_SAFETY_AND_LOCAL_REVIEW</x:v>
      </x:c>
      <x:c r="AA70" s="53" t="str">
        <x:v>DESIGN_ONLY_NOT_EXECUTED</x:v>
      </x:c>
      <x:c r="AB7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0" s="53" t="str">
        <x:v>0.4</x:v>
      </x:c>
    </x:row>
    <x:row r="71">
      <x:c r="A71" s="26" t="str">
        <x:v>PRJ-068</x:v>
      </x:c>
      <x:c r="B71" s="26" t="str">
        <x:v>SCI-LIFE-03</x:v>
      </x:c>
      <x:c r="C71" s="26" t="str">
        <x:v>LIFE</x:v>
      </x:c>
      <x:c r="D71" s="26" t="str">
        <x:v>Практическая проверка: Эволюция, отбор и филогенетика</x:v>
      </x:c>
      <x:c r="E71" s="26" t="str">
        <x:v>OBSERVATION_DATA_OR_CALCULATION</x:v>
      </x:c>
      <x:c r="F71" s="26" t="str">
        <x:v>Объяснить базовую модель, выполнить допустимую для класса риска проверку и документировать пределы по теме «Эволюция, отбор и филогенетика».</x:v>
      </x:c>
      <x:c r="G71" s="26" t="str">
        <x:v>SCI-LIFE-02|SCI-METH-13|право остановить опыт|инструкция оборудования</x:v>
      </x:c>
      <x:c r="H71" s="26" t="str">
        <x:v>TBD_NON_EXECUTABLE: точные item/model/material/range/PPE для наблюдение/счёт должны быть утверждены до начала</x:v>
      </x:c>
      <x:c r="I71" s="26" t="str">
        <x:v>Сформулировать вопрос; записать метод и единицы; выполнить дерево признаков с указанием неопределённости; сохранить сырые данные; повторить; оценить неопределённость; сделать ограниченный вывод.</x:v>
      </x:c>
      <x:c r="J71" s="26" t="str">
        <x:v>дерево признаков с указанием неопределённости</x:v>
      </x:c>
      <x:c r="K71" s="26" t="str">
        <x:v>SI или явно названный стандарт</x:v>
      </x:c>
      <x:c r="L71" s="26" t="str">
        <x:v>TBD_BEFORE_EXECUTION_FROM_EXACT_METHOD: диапазон/критерий фиксируется до результата; post-hoc подгонка запрещена.</x:v>
      </x:c>
      <x:c r="M71" s="26" t="str">
        <x:v>сырые данные + фото/скриншот при допустимости + расчёт + uncertainty + подпись reviewer + hash пакета</x:v>
      </x:c>
      <x:c r="N71" s="26" t="n">
        <x:v>2</x:v>
      </x:c>
      <x:c r="O71" s="26" t="str">
        <x:v>TBD_METHOD_SPECIFIC: range/resolution/bias/repeat spread/operator effects утверждаются до execution</x:v>
      </x:c>
      <x:c r="P7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1" s="26" t="str">
        <x:v>STOP при неясных правах, происхождении данных, этическом конфликте или невозможности сохранить исходные данные.</x:v>
      </x:c>
      <x:c r="R71" s="26" t="str">
        <x:v>TBD_ITEM_SPECIFIC_AND_LOCAL: пока маршрут отходов не утверждён, физическое выполнение блокировано.</x:v>
      </x:c>
      <x:c r="S71" s="26" t="str">
        <x:v>S0_OBSERVE_READ</x:v>
      </x:c>
      <x:c r="T71" s="26" t="str">
        <x:v>Самостоятельно после проверки источника; опасное действие из текста не выполняется.</x:v>
      </x:c>
      <x:c r="U71" s="26" t="n">
        <x:v>3</x:v>
      </x:c>
      <x:c r="V71" s="26" t="str">
        <x:v>ANY_SAFE_PERIOD</x:v>
      </x:c>
      <x:c r="W71" s="26" t="str">
        <x:v>records/science/SCI-LIFE-03/YYYY-MM-DD/</x:v>
      </x:c>
      <x:c r="X71" s="26" t="str">
        <x:v>PSP-017</x:v>
      </x:c>
      <x:c r="Y71" s="26" t="str">
        <x:v>PROVISIONAL_TOPIC_CANDIDATES_NOT_METHOD_REVIEWED</x:v>
      </x:c>
      <x:c r="Z71" s="26" t="str">
        <x:v>BLOCKED_UNTIL_EXACT_METHOD_SOURCE_SAFETY_AND_LOCAL_REVIEW</x:v>
      </x:c>
      <x:c r="AA71" s="26" t="str">
        <x:v>DESIGN_ONLY_NOT_EXECUTED</x:v>
      </x:c>
      <x:c r="AB7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1" s="26" t="str">
        <x:v>0.4</x:v>
      </x:c>
    </x:row>
    <x:row r="72">
      <x:c r="A72" s="53" t="str">
        <x:v>PRJ-069</x:v>
      </x:c>
      <x:c r="B72" s="53" t="str">
        <x:v>SCI-LIFE-04</x:v>
      </x:c>
      <x:c r="C72" s="53" t="str">
        <x:v>LIFE</x:v>
      </x:c>
      <x:c r="D72" s="53" t="str">
        <x:v>Практическая проверка: Ботаника и морфология растений</x:v>
      </x:c>
      <x:c r="E72" s="53" t="str">
        <x:v>OBSERVATION_DATA_OR_CALCULATION</x:v>
      </x:c>
      <x:c r="F72" s="53" t="str">
        <x:v>Объяснить базовую модель, выполнить допустимую для класса риска проверку и документировать пределы по теме «Ботаника и морфология растений».</x:v>
      </x:c>
      <x:c r="G72" s="53" t="str">
        <x:v>SCI-LIFE-03|SCI-METH-13|право остановить опыт|инструкция оборудования</x:v>
      </x:c>
      <x:c r="H72" s="53" t="str">
        <x:v>TBD_NON_EXECUTABLE: точные item/model/material/range/PPE для наблюдение/счёт должны быть утверждены до начала</x:v>
      </x:c>
      <x:c r="I72" s="53" t="str">
        <x:v>Сформулировать вопрос; записать метод и единицы; выполнить фотопротокол безопасного известного растения; сохранить сырые данные; повторить; оценить неопределённость; сделать ограниченный вывод.</x:v>
      </x:c>
      <x:c r="J72" s="53" t="str">
        <x:v>фотопротокол безопасного известного растения</x:v>
      </x:c>
      <x:c r="K72" s="53" t="str">
        <x:v>SI или явно названный стандарт</x:v>
      </x:c>
      <x:c r="L72" s="53" t="str">
        <x:v>TBD_BEFORE_EXECUTION_FROM_EXACT_METHOD: диапазон/критерий фиксируется до результата; post-hoc подгонка запрещена.</x:v>
      </x:c>
      <x:c r="M72" s="53" t="str">
        <x:v>сырые данные + фото/скриншот при допустимости + расчёт + uncertainty + подпись reviewer + hash пакета</x:v>
      </x:c>
      <x:c r="N72" s="53" t="n">
        <x:v>2</x:v>
      </x:c>
      <x:c r="O72" s="53" t="str">
        <x:v>TBD_METHOD_SPECIFIC: range/resolution/bias/repeat spread/operator effects утверждаются до execution</x:v>
      </x:c>
      <x:c r="P7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2" s="53" t="str">
        <x:v>STOP при неясных правах, происхождении данных, этическом конфликте или невозможности сохранить исходные данные.</x:v>
      </x:c>
      <x:c r="R72" s="53" t="str">
        <x:v>TBD_ITEM_SPECIFIC_AND_LOCAL: пока маршрут отходов не утверждён, физическое выполнение блокировано.</x:v>
      </x:c>
      <x:c r="S72" s="53" t="str">
        <x:v>S0_OBSERVE_READ</x:v>
      </x:c>
      <x:c r="T72" s="53" t="str">
        <x:v>Самостоятельно после проверки источника; опасное действие из текста не выполняется.</x:v>
      </x:c>
      <x:c r="U72" s="53" t="n">
        <x:v>3</x:v>
      </x:c>
      <x:c r="V72" s="53" t="str">
        <x:v>ANY_SAFE_PERIOD</x:v>
      </x:c>
      <x:c r="W72" s="53" t="str">
        <x:v>records/science/SCI-LIFE-04/YYYY-MM-DD/</x:v>
      </x:c>
      <x:c r="X72" s="53" t="str">
        <x:v>PSP-017|SUP-LEA-001</x:v>
      </x:c>
      <x:c r="Y72" s="53" t="str">
        <x:v>PROVISIONAL_TOPIC_CANDIDATES_NOT_METHOD_REVIEWED</x:v>
      </x:c>
      <x:c r="Z72" s="53" t="str">
        <x:v>BLOCKED_UNTIL_EXACT_METHOD_SOURCE_SAFETY_AND_LOCAL_REVIEW</x:v>
      </x:c>
      <x:c r="AA72" s="53" t="str">
        <x:v>DESIGN_ONLY_NOT_EXECUTED</x:v>
      </x:c>
      <x:c r="AB7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2" s="53" t="str">
        <x:v>0.4</x:v>
      </x:c>
    </x:row>
    <x:row r="73">
      <x:c r="A73" s="26" t="str">
        <x:v>PRJ-070</x:v>
      </x:c>
      <x:c r="B73" s="26" t="str">
        <x:v>SCI-LIFE-05</x:v>
      </x:c>
      <x:c r="C73" s="26" t="str">
        <x:v>LIFE</x:v>
      </x:c>
      <x:c r="D73" s="26" t="str">
        <x:v>Практическая проверка: Физиология растений и фотосинтез</x:v>
      </x:c>
      <x:c r="E73" s="26" t="str">
        <x:v>OBSERVATION_DATA_OR_CALCULATION</x:v>
      </x:c>
      <x:c r="F73" s="26" t="str">
        <x:v>Объяснить базовую модель, выполнить допустимую для класса риска проверку и документировать пределы по теме «Физиология растений и фотосинтез».</x:v>
      </x:c>
      <x:c r="G73" s="26" t="str">
        <x:v>SCI-LIFE-04|SCI-METH-13|право остановить опыт|инструкция оборудования</x:v>
      </x:c>
      <x:c r="H73" s="26" t="str">
        <x:v>TBD_NON_EXECUTABLE: точные item/model/material/range/PPE для наблюдение/счёт должны быть утверждены до начала</x:v>
      </x:c>
      <x:c r="I73" s="26" t="str">
        <x:v>Сформулировать вопрос; записать метод и единицы; выполнить неразрушающий ростовой/световой ряд; сохранить сырые данные; повторить; оценить неопределённость; сделать ограниченный вывод.</x:v>
      </x:c>
      <x:c r="J73" s="26" t="str">
        <x:v>неразрушающий ростовой/световой ряд</x:v>
      </x:c>
      <x:c r="K73" s="26" t="str">
        <x:v>SI или явно названный стандарт</x:v>
      </x:c>
      <x:c r="L73" s="26" t="str">
        <x:v>TBD_BEFORE_EXECUTION_FROM_EXACT_METHOD: диапазон/критерий фиксируется до результата; post-hoc подгонка запрещена.</x:v>
      </x:c>
      <x:c r="M73" s="26" t="str">
        <x:v>сырые данные + фото/скриншот при допустимости + расчёт + uncertainty + подпись reviewer + hash пакета</x:v>
      </x:c>
      <x:c r="N73" s="26" t="n">
        <x:v>2</x:v>
      </x:c>
      <x:c r="O73" s="26" t="str">
        <x:v>TBD_METHOD_SPECIFIC: range/resolution/bias/repeat spread/operator effects утверждаются до execution</x:v>
      </x:c>
      <x:c r="P7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3" s="26" t="str">
        <x:v>STOP при неясных правах, происхождении данных, этическом конфликте или невозможности сохранить исходные данные.</x:v>
      </x:c>
      <x:c r="R73" s="26" t="str">
        <x:v>TBD_ITEM_SPECIFIC_AND_LOCAL: пока маршрут отходов не утверждён, физическое выполнение блокировано.</x:v>
      </x:c>
      <x:c r="S73" s="26" t="str">
        <x:v>S0_OBSERVE_READ</x:v>
      </x:c>
      <x:c r="T73" s="26" t="str">
        <x:v>Самостоятельно после проверки источника; опасное действие из текста не выполняется.</x:v>
      </x:c>
      <x:c r="U73" s="26" t="n">
        <x:v>3</x:v>
      </x:c>
      <x:c r="V73" s="26" t="str">
        <x:v>ANY_SAFE_PERIOD</x:v>
      </x:c>
      <x:c r="W73" s="26" t="str">
        <x:v>records/science/SCI-LIFE-05/YYYY-MM-DD/</x:v>
      </x:c>
      <x:c r="X73" s="26" t="str">
        <x:v>PSP-017</x:v>
      </x:c>
      <x:c r="Y73" s="26" t="str">
        <x:v>PROVISIONAL_TOPIC_CANDIDATES_NOT_METHOD_REVIEWED</x:v>
      </x:c>
      <x:c r="Z73" s="26" t="str">
        <x:v>BLOCKED_UNTIL_EXACT_METHOD_SOURCE_SAFETY_AND_LOCAL_REVIEW</x:v>
      </x:c>
      <x:c r="AA73" s="26" t="str">
        <x:v>DESIGN_ONLY_NOT_EXECUTED</x:v>
      </x:c>
      <x:c r="AB7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3" s="26" t="str">
        <x:v>0.4</x:v>
      </x:c>
    </x:row>
    <x:row r="74">
      <x:c r="A74" s="53" t="str">
        <x:v>PRJ-071</x:v>
      </x:c>
      <x:c r="B74" s="53" t="str">
        <x:v>SCI-LIFE-06</x:v>
      </x:c>
      <x:c r="C74" s="53" t="str">
        <x:v>LIFE</x:v>
      </x:c>
      <x:c r="D74" s="53" t="str">
        <x:v>Практическая проверка: Зоология, поведение и благополучие</x:v>
      </x:c>
      <x:c r="E74" s="53" t="str">
        <x:v>OBSERVATION_DATA_OR_CALCULATION</x:v>
      </x:c>
      <x:c r="F74" s="53" t="str">
        <x:v>Объяснить базовую модель, выполнить допустимую для класса риска проверку и документировать пределы по теме «Зоология, поведение и благополучие».</x:v>
      </x:c>
      <x:c r="G74" s="53" t="str">
        <x:v>SCI-LIFE-05|SCI-METH-13|право остановить опыт|инструкция оборудования</x:v>
      </x:c>
      <x:c r="H74" s="53" t="str">
        <x:v>TBD_NON_EXECUTABLE: точные item/model/material/range/PPE для наблюдение/счёт должны быть утверждены до начала</x:v>
      </x:c>
      <x:c r="I74" s="53" t="str">
        <x:v>Сформулировать вопрос; записать метод и единицы; выполнить неинвазивное наблюдение без кормления дикой фауны; сохранить сырые данные; повторить; оценить неопределённость; сделать ограниченный вывод.</x:v>
      </x:c>
      <x:c r="J74" s="53" t="str">
        <x:v>неинвазивное наблюдение без кормления дикой фауны</x:v>
      </x:c>
      <x:c r="K74" s="53" t="str">
        <x:v>SI или явно названный стандарт</x:v>
      </x:c>
      <x:c r="L74" s="53" t="str">
        <x:v>TBD_BEFORE_EXECUTION_FROM_EXACT_METHOD: диапазон/критерий фиксируется до результата; post-hoc подгонка запрещена.</x:v>
      </x:c>
      <x:c r="M74" s="53" t="str">
        <x:v>сырые данные + фото/скриншот при допустимости + расчёт + uncertainty + подпись reviewer + hash пакета</x:v>
      </x:c>
      <x:c r="N74" s="53" t="n">
        <x:v>2</x:v>
      </x:c>
      <x:c r="O74" s="53" t="str">
        <x:v>TBD_METHOD_SPECIFIC: range/resolution/bias/repeat spread/operator effects утверждаются до execution</x:v>
      </x:c>
      <x:c r="P7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4" s="53" t="str">
        <x:v>STOP при неясных правах, происхождении данных, этическом конфликте или невозможности сохранить исходные данные.</x:v>
      </x:c>
      <x:c r="R74" s="53" t="str">
        <x:v>TBD_ITEM_SPECIFIC_AND_LOCAL: пока маршрут отходов не утверждён, физическое выполнение блокировано.</x:v>
      </x:c>
      <x:c r="S74" s="53" t="str">
        <x:v>S0_OBSERVE_READ</x:v>
      </x:c>
      <x:c r="T74" s="53" t="str">
        <x:v>Самостоятельно после проверки источника; опасное действие из текста не выполняется.</x:v>
      </x:c>
      <x:c r="U74" s="53" t="n">
        <x:v>3</x:v>
      </x:c>
      <x:c r="V74" s="53" t="str">
        <x:v>ANY_SAFE_PERIOD</x:v>
      </x:c>
      <x:c r="W74" s="53" t="str">
        <x:v>records/science/SCI-LIFE-06/YYYY-MM-DD/</x:v>
      </x:c>
      <x:c r="X74" s="53" t="str">
        <x:v>PSP-017|SUP-LEA-049</x:v>
      </x:c>
      <x:c r="Y74" s="53" t="str">
        <x:v>PROVISIONAL_TOPIC_CANDIDATES_NOT_METHOD_REVIEWED</x:v>
      </x:c>
      <x:c r="Z74" s="53" t="str">
        <x:v>BLOCKED_UNTIL_EXACT_METHOD_SOURCE_SAFETY_AND_LOCAL_REVIEW</x:v>
      </x:c>
      <x:c r="AA74" s="53" t="str">
        <x:v>DESIGN_ONLY_NOT_EXECUTED</x:v>
      </x:c>
      <x:c r="AB7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4" s="53" t="str">
        <x:v>0.4</x:v>
      </x:c>
    </x:row>
    <x:row r="75">
      <x:c r="A75" s="26" t="str">
        <x:v>PRJ-072</x:v>
      </x:c>
      <x:c r="B75" s="26" t="str">
        <x:v>SCI-LIFE-07</x:v>
      </x:c>
      <x:c r="C75" s="26" t="str">
        <x:v>LIFE</x:v>
      </x:c>
      <x:c r="D75" s="26" t="str">
        <x:v>Практическая проверка: Микробиология и биобезопасность</x:v>
      </x:c>
      <x:c r="E75" s="26" t="str">
        <x:v>REFERENCE_ONLY_NO_EXECUTION</x:v>
      </x:c>
      <x:c r="F75" s="26" t="str">
        <x:v>Объяснить базовую модель, выполнить допустимую для класса риска проверку и документировать пределы по теме «Микробиология и биобезопасность».</x:v>
      </x:c>
      <x:c r="G75" s="26" t="str">
        <x:v>SCI-LIFE-06|SCI-METH-13|право остановить опыт|инструкция оборудования</x:v>
      </x:c>
      <x:c r="H75" s="26" t="str">
        <x:v>TBD_NON_EXECUTABLE: точные item/model/material/range/PPE для наблюдение/счёт должны быть утверждены до начала</x:v>
      </x:c>
      <x:c r="I75" s="26" t="str">
        <x:v>Только чтение, распознавание опасности и анализ опубликованных данных: работа только с опубликованными данными; культивирование неизвестных организмов запрещено. Никаких бытовых экспериментов, культивирования, давления, огня или опасных веществ.</x:v>
      </x:c>
      <x:c r="J75" s="26" t="str">
        <x:v>работа только с опубликованными данными; культивирование неизвестных организмов запрещено</x:v>
      </x:c>
      <x:c r="K75" s="26" t="str">
        <x:v>SI или явно названный стандарт</x:v>
      </x:c>
      <x:c r="L75" s="26" t="str">
        <x:v>TBD_BEFORE_EXECUTION_FROM_EXACT_METHOD: диапазон/критерий фиксируется до результата; post-hoc подгонка запрещена.</x:v>
      </x:c>
      <x:c r="M75" s="26" t="str">
        <x:v>сырые данные + фото/скриншот при допустимости + расчёт + uncertainty + подпись reviewer + hash пакета</x:v>
      </x:c>
      <x:c r="N75" s="26" t="n">
        <x:v>1</x:v>
      </x:c>
      <x:c r="O75" s="26" t="str">
        <x:v>TBD_METHOD_SPECIFIC: range/resolution/bias/repeat spread/operator effects утверждаются до execution</x:v>
      </x:c>
      <x:c r="P75" s="26" t="str">
        <x:v>Высокий риск тяжёлой травмы, инфекции, отравления, пожара, взрыва или загрязнения.</x:v>
      </x:c>
      <x:c r="Q75" s="26" t="str">
        <x:v>NO-GO для household execution; изолировать ситуацию и обратиться к компетентной службе/специалисту.</x:v>
      </x:c>
      <x:c r="R75" s="26" t="str">
        <x:v>TBD_ITEM_SPECIFIC_AND_LOCAL: пока маршрут отходов не утверждён, физическое выполнение блокировано.</x:v>
      </x:c>
      <x:c r="S75" s="26" t="str">
        <x:v>S4_REFERENCE_ONLY_PROHIBITED_HOUSEHOLD</x:v>
      </x:c>
      <x:c r="T75" s="26" t="str">
        <x:v>Профессиональная площадка и разрешение обязательны для любого физического исполнения.</x:v>
      </x:c>
      <x:c r="U75" s="26" t="n">
        <x:v>2</x:v>
      </x:c>
      <x:c r="V75" s="26" t="str">
        <x:v>ANY_SAFE_PERIOD</x:v>
      </x:c>
      <x:c r="W75" s="26" t="str">
        <x:v>records/science/SCI-LIFE-07/YYYY-MM-DD/</x:v>
      </x:c>
      <x:c r="X75" s="26" t="str">
        <x:v>PSP-019|SUP-PHY-025</x:v>
      </x:c>
      <x:c r="Y75" s="26" t="str">
        <x:v>PROVISIONAL_TOPIC_CANDIDATES_NOT_METHOD_REVIEWED</x:v>
      </x:c>
      <x:c r="Z75" s="26" t="str">
        <x:v>BLOCKED_UNTIL_EXACT_METHOD_SOURCE_SAFETY_AND_LOCAL_REVIEW</x:v>
      </x:c>
      <x:c r="AA75" s="26" t="str">
        <x:v>DESIGN_ONLY_NOT_EXECUTED</x:v>
      </x:c>
      <x:c r="AB7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5" s="26" t="str">
        <x:v>0.4</x:v>
      </x:c>
    </x:row>
    <x:row r="76">
      <x:c r="A76" s="53" t="str">
        <x:v>PRJ-073</x:v>
      </x:c>
      <x:c r="B76" s="53" t="str">
        <x:v>SCI-LIFE-08</x:v>
      </x:c>
      <x:c r="C76" s="53" t="str">
        <x:v>LIFE</x:v>
      </x:c>
      <x:c r="D76" s="53" t="str">
        <x:v>Практическая проверка: Микроскопия готовых безопасных препаратов</x:v>
      </x:c>
      <x:c r="E76" s="53" t="str">
        <x:v>LOW_RISK_BENCH_OR_FIELD</x:v>
      </x:c>
      <x:c r="F76" s="53" t="str">
        <x:v>Объяснить базовую модель, выполнить допустимую для класса риска проверку и документировать пределы по теме «Микроскопия готовых безопасных препаратов».</x:v>
      </x:c>
      <x:c r="G76" s="53" t="str">
        <x:v>SCI-LIFE-07|SCI-METH-13|право остановить опыт|инструкция оборудования</x:v>
      </x:c>
      <x:c r="H76" s="53" t="str">
        <x:v>TBD_NON_EXECUTABLE: точные item/model/material/range/PPE для наблюдение/счёт должны быть утверждены до начала</x:v>
      </x:c>
      <x:c r="I76" s="53" t="str">
        <x:v>Сформулировать вопрос; записать метод и единицы; выполнить фокус, масштаб и рисунок готового слайда; сохранить сырые данные; повторить; оценить неопределённость; сделать ограниченный вывод.</x:v>
      </x:c>
      <x:c r="J76" s="53" t="str">
        <x:v>фокус, масштаб и рисунок готового слайда</x:v>
      </x:c>
      <x:c r="K76" s="53" t="str">
        <x:v>SI или явно названный стандарт</x:v>
      </x:c>
      <x:c r="L76" s="53" t="str">
        <x:v>TBD_BEFORE_EXECUTION_FROM_EXACT_METHOD: диапазон/критерий фиксируется до результата; post-hoc подгонка запрещена.</x:v>
      </x:c>
      <x:c r="M76" s="53" t="str">
        <x:v>сырые данные + фото/скриншот при допустимости + расчёт + uncertainty + подпись reviewer + hash пакета</x:v>
      </x:c>
      <x:c r="N76" s="53" t="n">
        <x:v>3</x:v>
      </x:c>
      <x:c r="O76" s="53" t="str">
        <x:v>TBD_METHOD_SPECIFIC: range/resolution/bias/repeat spread/operator effects утверждаются до execution</x:v>
      </x:c>
      <x:c r="P76" s="53" t="str">
        <x:v>DESIGN_PLACEHOLDER_NOT_EXECUTABLE: item-specific hazard analysis, материалы, энергия, концентрация, СИЗ и отходы ещё не утверждены.</x:v>
      </x:c>
      <x:c r="Q76" s="53" t="str">
        <x:v>BLOCKED_BEFORE_START: до точного method/source review запрещено начинать; после review нужны наблюдаемые численные/событийные stop conditions.</x:v>
      </x:c>
      <x:c r="R76" s="53" t="str">
        <x:v>TBD_ITEM_SPECIFIC_AND_LOCAL: пока маршрут отходов не утверждён, физическое выполнение блокировано.</x:v>
      </x:c>
      <x:c r="S76" s="53" t="str">
        <x:v>S1_LOW_RISK_HOUSEHOLD</x:v>
      </x:c>
      <x:c r="T76" s="53" t="str">
        <x:v>S1 допускается только после замены всех DESIGN/TBD полей точным low-risk методом и независимой safety-проверки.</x:v>
      </x:c>
      <x:c r="U76" s="53" t="n">
        <x:v>3</x:v>
      </x:c>
      <x:c r="V76" s="53" t="str">
        <x:v>ANY_SAFE_PERIOD</x:v>
      </x:c>
      <x:c r="W76" s="53" t="str">
        <x:v>records/science/SCI-LIFE-08/YYYY-MM-DD/</x:v>
      </x:c>
      <x:c r="X76" s="53" t="str">
        <x:v>PSP-017</x:v>
      </x:c>
      <x:c r="Y76" s="53" t="str">
        <x:v>PROVISIONAL_TOPIC_CANDIDATES_NOT_METHOD_REVIEWED</x:v>
      </x:c>
      <x:c r="Z76" s="53" t="str">
        <x:v>BLOCKED_UNTIL_EXACT_METHOD_SOURCE_SAFETY_AND_LOCAL_REVIEW</x:v>
      </x:c>
      <x:c r="AA76" s="53" t="str">
        <x:v>DESIGN_ONLY_NOT_EXECUTED</x:v>
      </x:c>
      <x:c r="AB7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6" s="53" t="str">
        <x:v>0.4</x:v>
      </x:c>
    </x:row>
    <x:row r="77">
      <x:c r="A77" s="26" t="str">
        <x:v>PRJ-074</x:v>
      </x:c>
      <x:c r="B77" s="26" t="str">
        <x:v>SCI-LIFE-09</x:v>
      </x:c>
      <x:c r="C77" s="26" t="str">
        <x:v>LIFE</x:v>
      </x:c>
      <x:c r="D77" s="26" t="str">
        <x:v>Практическая проверка: Систематика и определение видов</x:v>
      </x:c>
      <x:c r="E77" s="26" t="str">
        <x:v>OBSERVATION_DATA_OR_CALCULATION</x:v>
      </x:c>
      <x:c r="F77" s="26" t="str">
        <x:v>Объяснить базовую модель, выполнить допустимую для класса риска проверку и документировать пределы по теме «Систематика и определение видов».</x:v>
      </x:c>
      <x:c r="G77" s="26" t="str">
        <x:v>SCI-LIFE-08|SCI-METH-13|право остановить опыт|инструкция оборудования</x:v>
      </x:c>
      <x:c r="H77" s="26" t="str">
        <x:v>TBD_NON_EXECUTABLE: точные item/model/material/range/PPE для наблюдение/счёт должны быть утверждены до начала</x:v>
      </x:c>
      <x:c r="I77" s="26" t="str">
        <x:v>Сформулировать вопрос; записать метод и единицы; выполнить определение по нескольким признакам с фото и географией; сохранить сырые данные; повторить; оценить неопределённость; сделать ограниченный вывод.</x:v>
      </x:c>
      <x:c r="J77" s="26" t="str">
        <x:v>определение по нескольким признакам с фото и географией</x:v>
      </x:c>
      <x:c r="K77" s="26" t="str">
        <x:v>SI или явно названный стандарт</x:v>
      </x:c>
      <x:c r="L77" s="26" t="str">
        <x:v>TBD_BEFORE_EXECUTION_FROM_EXACT_METHOD: диапазон/критерий фиксируется до результата; post-hoc подгонка запрещена.</x:v>
      </x:c>
      <x:c r="M77" s="26" t="str">
        <x:v>сырые данные + фото/скриншот при допустимости + расчёт + uncertainty + подпись reviewer + hash пакета</x:v>
      </x:c>
      <x:c r="N77" s="26" t="n">
        <x:v>2</x:v>
      </x:c>
      <x:c r="O77" s="26" t="str">
        <x:v>TBD_METHOD_SPECIFIC: range/resolution/bias/repeat spread/operator effects утверждаются до execution</x:v>
      </x:c>
      <x:c r="P7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7" s="26" t="str">
        <x:v>STOP при неясных правах, происхождении данных, этическом конфликте или невозможности сохранить исходные данные.</x:v>
      </x:c>
      <x:c r="R77" s="26" t="str">
        <x:v>TBD_ITEM_SPECIFIC_AND_LOCAL: пока маршрут отходов не утверждён, физическое выполнение блокировано.</x:v>
      </x:c>
      <x:c r="S77" s="26" t="str">
        <x:v>S0_OBSERVE_READ</x:v>
      </x:c>
      <x:c r="T77" s="26" t="str">
        <x:v>Самостоятельно после проверки источника; опасное действие из текста не выполняется.</x:v>
      </x:c>
      <x:c r="U77" s="26" t="n">
        <x:v>3</x:v>
      </x:c>
      <x:c r="V77" s="26" t="str">
        <x:v>ANY_SAFE_PERIOD</x:v>
      </x:c>
      <x:c r="W77" s="26" t="str">
        <x:v>records/science/SCI-LIFE-09/YYYY-MM-DD/</x:v>
      </x:c>
      <x:c r="X77" s="26" t="str">
        <x:v>PSP-017|SUP-LEA-001</x:v>
      </x:c>
      <x:c r="Y77" s="26" t="str">
        <x:v>PROVISIONAL_TOPIC_CANDIDATES_NOT_METHOD_REVIEWED</x:v>
      </x:c>
      <x:c r="Z77" s="26" t="str">
        <x:v>BLOCKED_UNTIL_EXACT_METHOD_SOURCE_SAFETY_AND_LOCAL_REVIEW</x:v>
      </x:c>
      <x:c r="AA77" s="26" t="str">
        <x:v>DESIGN_ONLY_NOT_EXECUTED</x:v>
      </x:c>
      <x:c r="AB7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7" s="26" t="str">
        <x:v>0.4</x:v>
      </x:c>
    </x:row>
    <x:row r="78">
      <x:c r="A78" s="53" t="str">
        <x:v>PRJ-075</x:v>
      </x:c>
      <x:c r="B78" s="53" t="str">
        <x:v>SCI-LIFE-10</x:v>
      </x:c>
      <x:c r="C78" s="53" t="str">
        <x:v>LIFE</x:v>
      </x:c>
      <x:c r="D78" s="53" t="str">
        <x:v>Практическая проверка: Популяции, пищевые сети и экосистемные связи</x:v>
      </x:c>
      <x:c r="E78" s="53" t="str">
        <x:v>OBSERVATION_DATA_OR_CALCULATION</x:v>
      </x:c>
      <x:c r="F78" s="53" t="str">
        <x:v>Объяснить базовую модель, выполнить допустимую для класса риска проверку и документировать пределы по теме «Популяции, пищевые сети и экосистемные связи».</x:v>
      </x:c>
      <x:c r="G78" s="53" t="str">
        <x:v>SCI-LIFE-09|SCI-METH-13|право остановить опыт|инструкция оборудования</x:v>
      </x:c>
      <x:c r="H78" s="53" t="str">
        <x:v>TBD_NON_EXECUTABLE: точные item/model/material/range/PPE для наблюдение/счёт должны быть утверждены до начала</x:v>
      </x:c>
      <x:c r="I78" s="53" t="str">
        <x:v>Сформулировать вопрос; записать метод и единицы; выполнить наблюдательный маршрут с повторяемыми точками; сохранить сырые данные; повторить; оценить неопределённость; сделать ограниченный вывод.</x:v>
      </x:c>
      <x:c r="J78" s="53" t="str">
        <x:v>наблюдательный маршрут с повторяемыми точками</x:v>
      </x:c>
      <x:c r="K78" s="53" t="str">
        <x:v>SI или явно названный стандарт</x:v>
      </x:c>
      <x:c r="L78" s="53" t="str">
        <x:v>TBD_BEFORE_EXECUTION_FROM_EXACT_METHOD: диапазон/критерий фиксируется до результата; post-hoc подгонка запрещена.</x:v>
      </x:c>
      <x:c r="M78" s="53" t="str">
        <x:v>сырые данные + фото/скриншот при допустимости + расчёт + uncertainty + подпись reviewer + hash пакета</x:v>
      </x:c>
      <x:c r="N78" s="53" t="n">
        <x:v>2</x:v>
      </x:c>
      <x:c r="O78" s="53" t="str">
        <x:v>TBD_METHOD_SPECIFIC: range/resolution/bias/repeat spread/operator effects утверждаются до execution</x:v>
      </x:c>
      <x:c r="P7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8" s="53" t="str">
        <x:v>STOP при неясных правах, происхождении данных, этическом конфликте или невозможности сохранить исходные данные.</x:v>
      </x:c>
      <x:c r="R78" s="53" t="str">
        <x:v>TBD_ITEM_SPECIFIC_AND_LOCAL: пока маршрут отходов не утверждён, физическое выполнение блокировано.</x:v>
      </x:c>
      <x:c r="S78" s="53" t="str">
        <x:v>S0_OBSERVE_READ</x:v>
      </x:c>
      <x:c r="T78" s="53" t="str">
        <x:v>Самостоятельно после проверки источника; опасное действие из текста не выполняется.</x:v>
      </x:c>
      <x:c r="U78" s="53" t="n">
        <x:v>3</x:v>
      </x:c>
      <x:c r="V78" s="53" t="str">
        <x:v>ANY_SAFE_PERIOD</x:v>
      </x:c>
      <x:c r="W78" s="53" t="str">
        <x:v>records/science/SCI-LIFE-10/YYYY-MM-DD/</x:v>
      </x:c>
      <x:c r="X78" s="53" t="str">
        <x:v>PSP-017|PSP-048</x:v>
      </x:c>
      <x:c r="Y78" s="53" t="str">
        <x:v>PROVISIONAL_TOPIC_CANDIDATES_NOT_METHOD_REVIEWED</x:v>
      </x:c>
      <x:c r="Z78" s="53" t="str">
        <x:v>BLOCKED_UNTIL_EXACT_METHOD_SOURCE_SAFETY_AND_LOCAL_REVIEW</x:v>
      </x:c>
      <x:c r="AA78" s="53" t="str">
        <x:v>DESIGN_ONLY_NOT_EXECUTED</x:v>
      </x:c>
      <x:c r="AB7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8" s="53" t="str">
        <x:v>0.4</x:v>
      </x:c>
    </x:row>
    <x:row r="79">
      <x:c r="A79" s="26" t="str">
        <x:v>PRJ-076</x:v>
      </x:c>
      <x:c r="B79" s="26" t="str">
        <x:v>SCI-LIFE-11</x:v>
      </x:c>
      <x:c r="C79" s="26" t="str">
        <x:v>LIFE</x:v>
      </x:c>
      <x:c r="D79" s="26" t="str">
        <x:v>Практическая проверка: Опыление и взаимодействия растение–животное</x:v>
      </x:c>
      <x:c r="E79" s="26" t="str">
        <x:v>OBSERVATION_DATA_OR_CALCULATION</x:v>
      </x:c>
      <x:c r="F79" s="26" t="str">
        <x:v>Объяснить базовую модель, выполнить допустимую для класса риска проверку и документировать пределы по теме «Опыление и взаимодействия растение–животное».</x:v>
      </x:c>
      <x:c r="G79" s="26" t="str">
        <x:v>SCI-LIFE-10|SCI-METH-13|право остановить опыт|инструкция оборудования</x:v>
      </x:c>
      <x:c r="H79" s="26" t="str">
        <x:v>TBD_NON_EXECUTABLE: точные item/model/material/range/PPE для наблюдение/счёт должны быть утверждены до начала</x:v>
      </x:c>
      <x:c r="I79" s="26" t="str">
        <x:v>Сформулировать вопрос; записать метод и единицы; выполнить счёт посещений без вмешательства в гнёзда; сохранить сырые данные; повторить; оценить неопределённость; сделать ограниченный вывод.</x:v>
      </x:c>
      <x:c r="J79" s="26" t="str">
        <x:v>счёт посещений без вмешательства в гнёзда</x:v>
      </x:c>
      <x:c r="K79" s="26" t="str">
        <x:v>SI или явно названный стандарт</x:v>
      </x:c>
      <x:c r="L79" s="26" t="str">
        <x:v>TBD_BEFORE_EXECUTION_FROM_EXACT_METHOD: диапазон/критерий фиксируется до результата; post-hoc подгонка запрещена.</x:v>
      </x:c>
      <x:c r="M79" s="26" t="str">
        <x:v>сырые данные + фото/скриншот при допустимости + расчёт + uncertainty + подпись reviewer + hash пакета</x:v>
      </x:c>
      <x:c r="N79" s="26" t="n">
        <x:v>2</x:v>
      </x:c>
      <x:c r="O79" s="26" t="str">
        <x:v>TBD_METHOD_SPECIFIC: range/resolution/bias/repeat spread/operator effects утверждаются до execution</x:v>
      </x:c>
      <x:c r="P7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79" s="26" t="str">
        <x:v>STOP при неясных правах, происхождении данных, этическом конфликте или невозможности сохранить исходные данные.</x:v>
      </x:c>
      <x:c r="R79" s="26" t="str">
        <x:v>TBD_ITEM_SPECIFIC_AND_LOCAL: пока маршрут отходов не утверждён, физическое выполнение блокировано.</x:v>
      </x:c>
      <x:c r="S79" s="26" t="str">
        <x:v>S0_OBSERVE_READ</x:v>
      </x:c>
      <x:c r="T79" s="26" t="str">
        <x:v>Самостоятельно после проверки источника; опасное действие из текста не выполняется.</x:v>
      </x:c>
      <x:c r="U79" s="26" t="n">
        <x:v>3</x:v>
      </x:c>
      <x:c r="V79" s="26" t="str">
        <x:v>ANY_SAFE_PERIOD</x:v>
      </x:c>
      <x:c r="W79" s="26" t="str">
        <x:v>records/science/SCI-LIFE-11/YYYY-MM-DD/</x:v>
      </x:c>
      <x:c r="X79" s="26" t="str">
        <x:v>PSP-017|PSP-048</x:v>
      </x:c>
      <x:c r="Y79" s="26" t="str">
        <x:v>PROVISIONAL_TOPIC_CANDIDATES_NOT_METHOD_REVIEWED</x:v>
      </x:c>
      <x:c r="Z79" s="26" t="str">
        <x:v>BLOCKED_UNTIL_EXACT_METHOD_SOURCE_SAFETY_AND_LOCAL_REVIEW</x:v>
      </x:c>
      <x:c r="AA79" s="26" t="str">
        <x:v>DESIGN_ONLY_NOT_EXECUTED</x:v>
      </x:c>
      <x:c r="AB7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79" s="26" t="str">
        <x:v>0.4</x:v>
      </x:c>
    </x:row>
    <x:row r="80">
      <x:c r="A80" s="53" t="str">
        <x:v>PRJ-077</x:v>
      </x:c>
      <x:c r="B80" s="53" t="str">
        <x:v>SCI-LIFE-12</x:v>
      </x:c>
      <x:c r="C80" s="53" t="str">
        <x:v>LIFE</x:v>
      </x:c>
      <x:c r="D80" s="53" t="str">
        <x:v>Практическая проверка: Разложение, почвенная биота и круговороты</x:v>
      </x:c>
      <x:c r="E80" s="53" t="str">
        <x:v>OBSERVATION_DATA_OR_CALCULATION</x:v>
      </x:c>
      <x:c r="F80" s="53" t="str">
        <x:v>Объяснить базовую модель, выполнить допустимую для класса риска проверку и документировать пределы по теме «Разложение, почвенная биота и круговороты».</x:v>
      </x:c>
      <x:c r="G80" s="53" t="str">
        <x:v>SCI-LIFE-11|SCI-METH-13|право остановить опыт|инструкция оборудования</x:v>
      </x:c>
      <x:c r="H80" s="53" t="str">
        <x:v>TBD_NON_EXECUTABLE: точные item/model/material/range/PPE для наблюдение/счёт должны быть утверждены до начала</x:v>
      </x:c>
      <x:c r="I80" s="53" t="str">
        <x:v>Сформулировать вопрос; записать метод и единицы; выполнить закрытый наблюдательный журнал без выращивания неизвестных культур; сохранить сырые данные; повторить; оценить неопределённость; сделать ограниченный вывод.</x:v>
      </x:c>
      <x:c r="J80" s="53" t="str">
        <x:v>закрытый наблюдательный журнал без выращивания неизвестных культур</x:v>
      </x:c>
      <x:c r="K80" s="53" t="str">
        <x:v>SI или явно названный стандарт</x:v>
      </x:c>
      <x:c r="L80" s="53" t="str">
        <x:v>TBD_BEFORE_EXECUTION_FROM_EXACT_METHOD: диапазон/критерий фиксируется до результата; post-hoc подгонка запрещена.</x:v>
      </x:c>
      <x:c r="M80" s="53" t="str">
        <x:v>сырые данные + фото/скриншот при допустимости + расчёт + uncertainty + подпись reviewer + hash пакета</x:v>
      </x:c>
      <x:c r="N80" s="53" t="n">
        <x:v>2</x:v>
      </x:c>
      <x:c r="O80" s="53" t="str">
        <x:v>TBD_METHOD_SPECIFIC: range/resolution/bias/repeat spread/operator effects утверждаются до execution</x:v>
      </x:c>
      <x:c r="P8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0" s="53" t="str">
        <x:v>STOP при неясных правах, происхождении данных, этическом конфликте или невозможности сохранить исходные данные.</x:v>
      </x:c>
      <x:c r="R80" s="53" t="str">
        <x:v>TBD_ITEM_SPECIFIC_AND_LOCAL: пока маршрут отходов не утверждён, физическое выполнение блокировано.</x:v>
      </x:c>
      <x:c r="S80" s="53" t="str">
        <x:v>S0_OBSERVE_READ</x:v>
      </x:c>
      <x:c r="T80" s="53" t="str">
        <x:v>Самостоятельно после проверки источника; опасное действие из текста не выполняется.</x:v>
      </x:c>
      <x:c r="U80" s="53" t="n">
        <x:v>3</x:v>
      </x:c>
      <x:c r="V80" s="53" t="str">
        <x:v>ANY_SAFE_PERIOD</x:v>
      </x:c>
      <x:c r="W80" s="53" t="str">
        <x:v>records/science/SCI-LIFE-12/YYYY-MM-DD/</x:v>
      </x:c>
      <x:c r="X80" s="53" t="str">
        <x:v>PSP-017|PSP-048</x:v>
      </x:c>
      <x:c r="Y80" s="53" t="str">
        <x:v>PROVISIONAL_TOPIC_CANDIDATES_NOT_METHOD_REVIEWED</x:v>
      </x:c>
      <x:c r="Z80" s="53" t="str">
        <x:v>BLOCKED_UNTIL_EXACT_METHOD_SOURCE_SAFETY_AND_LOCAL_REVIEW</x:v>
      </x:c>
      <x:c r="AA80" s="53" t="str">
        <x:v>DESIGN_ONLY_NOT_EXECUTED</x:v>
      </x:c>
      <x:c r="AB8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0" s="53" t="str">
        <x:v>0.4</x:v>
      </x:c>
    </x:row>
    <x:row r="81">
      <x:c r="A81" s="26" t="str">
        <x:v>PRJ-078</x:v>
      </x:c>
      <x:c r="B81" s="26" t="str">
        <x:v>SCI-LIFE-13</x:v>
      </x:c>
      <x:c r="C81" s="26" t="str">
        <x:v>LIFE</x:v>
      </x:c>
      <x:c r="D81" s="26" t="str">
        <x:v>Практическая проверка: Биоразнообразие и мониторинг участка</x:v>
      </x:c>
      <x:c r="E81" s="26" t="str">
        <x:v>OBSERVATION_DATA_OR_CALCULATION</x:v>
      </x:c>
      <x:c r="F81" s="26" t="str">
        <x:v>Объяснить базовую модель, выполнить допустимую для класса риска проверку и документировать пределы по теме «Биоразнообразие и мониторинг участка».</x:v>
      </x:c>
      <x:c r="G81" s="26" t="str">
        <x:v>SCI-LIFE-12|SCI-METH-13|право остановить опыт|инструкция оборудования</x:v>
      </x:c>
      <x:c r="H81" s="26" t="str">
        <x:v>TBD_NON_EXECUTABLE: точные item/model/material/range/PPE для наблюдение/счёт должны быть утверждены до начала</x:v>
      </x:c>
      <x:c r="I81" s="26" t="str">
        <x:v>Сформулировать вопрос; записать метод и единицы; выполнить фиксированный маршрут, фото-точки и список видов; сохранить сырые данные; повторить; оценить неопределённость; сделать ограниченный вывод.</x:v>
      </x:c>
      <x:c r="J81" s="26" t="str">
        <x:v>фиксированный маршрут, фото-точки и список видов</x:v>
      </x:c>
      <x:c r="K81" s="26" t="str">
        <x:v>SI или явно названный стандарт</x:v>
      </x:c>
      <x:c r="L81" s="26" t="str">
        <x:v>TBD_BEFORE_EXECUTION_FROM_EXACT_METHOD: диапазон/критерий фиксируется до результата; post-hoc подгонка запрещена.</x:v>
      </x:c>
      <x:c r="M81" s="26" t="str">
        <x:v>сырые данные + фото/скриншот при допустимости + расчёт + uncertainty + подпись reviewer + hash пакета</x:v>
      </x:c>
      <x:c r="N81" s="26" t="n">
        <x:v>2</x:v>
      </x:c>
      <x:c r="O81" s="26" t="str">
        <x:v>TBD_METHOD_SPECIFIC: range/resolution/bias/repeat spread/operator effects утверждаются до execution</x:v>
      </x:c>
      <x:c r="P8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1" s="26" t="str">
        <x:v>STOP при неясных правах, происхождении данных, этическом конфликте или невозможности сохранить исходные данные.</x:v>
      </x:c>
      <x:c r="R81" s="26" t="str">
        <x:v>TBD_ITEM_SPECIFIC_AND_LOCAL: пока маршрут отходов не утверждён, физическое выполнение блокировано.</x:v>
      </x:c>
      <x:c r="S81" s="26" t="str">
        <x:v>S0_OBSERVE_READ</x:v>
      </x:c>
      <x:c r="T81" s="26" t="str">
        <x:v>Самостоятельно после проверки источника; опасное действие из текста не выполняется.</x:v>
      </x:c>
      <x:c r="U81" s="26" t="n">
        <x:v>3</x:v>
      </x:c>
      <x:c r="V81" s="26" t="str">
        <x:v>ANY_SAFE_PERIOD</x:v>
      </x:c>
      <x:c r="W81" s="26" t="str">
        <x:v>records/science/SCI-LIFE-13/YYYY-MM-DD/</x:v>
      </x:c>
      <x:c r="X81" s="26" t="str">
        <x:v>PSP-017|PSP-048</x:v>
      </x:c>
      <x:c r="Y81" s="26" t="str">
        <x:v>PROVISIONAL_TOPIC_CANDIDATES_NOT_METHOD_REVIEWED</x:v>
      </x:c>
      <x:c r="Z81" s="26" t="str">
        <x:v>BLOCKED_UNTIL_EXACT_METHOD_SOURCE_SAFETY_AND_LOCAL_REVIEW</x:v>
      </x:c>
      <x:c r="AA81" s="26" t="str">
        <x:v>DESIGN_ONLY_NOT_EXECUTED</x:v>
      </x:c>
      <x:c r="AB8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1" s="26" t="str">
        <x:v>0.4</x:v>
      </x:c>
    </x:row>
    <x:row r="82">
      <x:c r="A82" s="53" t="str">
        <x:v>PRJ-079</x:v>
      </x:c>
      <x:c r="B82" s="53" t="str">
        <x:v>SCI-LIFE-14</x:v>
      </x:c>
      <x:c r="C82" s="53" t="str">
        <x:v>LIFE</x:v>
      </x:c>
      <x:c r="D82" s="53" t="str">
        <x:v>Практическая проверка: Биостатистика и экологическое моделирование</x:v>
      </x:c>
      <x:c r="E82" s="53" t="str">
        <x:v>OBSERVATION_DATA_OR_CALCULATION</x:v>
      </x:c>
      <x:c r="F82" s="53" t="str">
        <x:v>Объяснить базовую модель, выполнить допустимую для класса риска проверку и документировать пределы по теме «Биостатистика и экологическое моделирование».</x:v>
      </x:c>
      <x:c r="G82" s="53" t="str">
        <x:v>SCI-LIFE-13|SCI-METH-13|право остановить опыт|инструкция оборудования</x:v>
      </x:c>
      <x:c r="H82" s="53" t="str">
        <x:v>TBD_NON_EXECUTABLE: точные item/model/material/range/PPE для наблюдение/счёт должны быть утверждены до начала</x:v>
      </x:c>
      <x:c r="I82" s="53" t="str">
        <x:v>Сформулировать вопрос; записать метод и единицы; выполнить повторный анализ открытого набора данных; сохранить сырые данные; повторить; оценить неопределённость; сделать ограниченный вывод.</x:v>
      </x:c>
      <x:c r="J82" s="53" t="str">
        <x:v>повторный анализ открытого набора данных</x:v>
      </x:c>
      <x:c r="K82" s="53" t="str">
        <x:v>SI или явно названный стандарт</x:v>
      </x:c>
      <x:c r="L82" s="53" t="str">
        <x:v>TBD_BEFORE_EXECUTION_FROM_EXACT_METHOD: диапазон/критерий фиксируется до результата; post-hoc подгонка запрещена.</x:v>
      </x:c>
      <x:c r="M82" s="53" t="str">
        <x:v>сырые данные + фото/скриншот при допустимости + расчёт + uncertainty + подпись reviewer + hash пакета</x:v>
      </x:c>
      <x:c r="N82" s="53" t="n">
        <x:v>2</x:v>
      </x:c>
      <x:c r="O82" s="53" t="str">
        <x:v>TBD_METHOD_SPECIFIC: range/resolution/bias/repeat spread/operator effects утверждаются до execution</x:v>
      </x:c>
      <x:c r="P8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2" s="53" t="str">
        <x:v>STOP при неясных правах, происхождении данных, этическом конфликте или невозможности сохранить исходные данные.</x:v>
      </x:c>
      <x:c r="R82" s="53" t="str">
        <x:v>TBD_ITEM_SPECIFIC_AND_LOCAL: пока маршрут отходов не утверждён, физическое выполнение блокировано.</x:v>
      </x:c>
      <x:c r="S82" s="53" t="str">
        <x:v>S0_OBSERVE_READ</x:v>
      </x:c>
      <x:c r="T82" s="53" t="str">
        <x:v>Самостоятельно после проверки источника; опасное действие из текста не выполняется.</x:v>
      </x:c>
      <x:c r="U82" s="53" t="n">
        <x:v>3</x:v>
      </x:c>
      <x:c r="V82" s="53" t="str">
        <x:v>ANY_SAFE_PERIOD</x:v>
      </x:c>
      <x:c r="W82" s="53" t="str">
        <x:v>records/science/SCI-LIFE-14/YYYY-MM-DD/</x:v>
      </x:c>
      <x:c r="X82" s="53" t="str">
        <x:v>PSP-017|PSP-048</x:v>
      </x:c>
      <x:c r="Y82" s="53" t="str">
        <x:v>PROVISIONAL_TOPIC_CANDIDATES_NOT_METHOD_REVIEWED</x:v>
      </x:c>
      <x:c r="Z82" s="53" t="str">
        <x:v>BLOCKED_UNTIL_EXACT_METHOD_SOURCE_SAFETY_AND_LOCAL_REVIEW</x:v>
      </x:c>
      <x:c r="AA82" s="53" t="str">
        <x:v>DESIGN_ONLY_NOT_EXECUTED</x:v>
      </x:c>
      <x:c r="AB8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2" s="53" t="str">
        <x:v>0.4</x:v>
      </x:c>
    </x:row>
    <x:row r="83">
      <x:c r="A83" s="26" t="str">
        <x:v>PRJ-080</x:v>
      </x:c>
      <x:c r="B83" s="26" t="str">
        <x:v>SCI-LIFE-15</x:v>
      </x:c>
      <x:c r="C83" s="26" t="str">
        <x:v>LIFE</x:v>
      </x:c>
      <x:c r="D83" s="26" t="str">
        <x:v>Практическая проверка: Биоинформатика и работа с открытыми последовательностями</x:v>
      </x:c>
      <x:c r="E83" s="26" t="str">
        <x:v>OBSERVATION_DATA_OR_CALCULATION</x:v>
      </x:c>
      <x:c r="F83" s="26" t="str">
        <x:v>Объяснить базовую модель, выполнить допустимую для класса риска проверку и документировать пределы по теме «Биоинформатика и работа с открытыми последовательностями».</x:v>
      </x:c>
      <x:c r="G83" s="26" t="str">
        <x:v>SCI-LIFE-14|SCI-METH-13|право остановить опыт|инструкция оборудования</x:v>
      </x:c>
      <x:c r="H83" s="26" t="str">
        <x:v>TBD_NON_EXECUTABLE: точные item/model/material/range/PPE для наблюдение/счёт должны быть утверждены до начала</x:v>
      </x:c>
      <x:c r="I83" s="26" t="str">
        <x:v>Сформулировать вопрос; записать метод и единицы; выполнить воспроизводимый поиск по публичной базе без персональных данных; сохранить сырые данные; повторить; оценить неопределённость; сделать ограниченный вывод.</x:v>
      </x:c>
      <x:c r="J83" s="26" t="str">
        <x:v>воспроизводимый поиск по публичной базе без персональных данных</x:v>
      </x:c>
      <x:c r="K83" s="26" t="str">
        <x:v>SI или явно названный стандарт</x:v>
      </x:c>
      <x:c r="L83" s="26" t="str">
        <x:v>TBD_BEFORE_EXECUTION_FROM_EXACT_METHOD: диапазон/критерий фиксируется до результата; post-hoc подгонка запрещена.</x:v>
      </x:c>
      <x:c r="M83" s="26" t="str">
        <x:v>сырые данные + фото/скриншот при допустимости + расчёт + uncertainty + подпись reviewer + hash пакета</x:v>
      </x:c>
      <x:c r="N83" s="26" t="n">
        <x:v>2</x:v>
      </x:c>
      <x:c r="O83" s="26" t="str">
        <x:v>TBD_METHOD_SPECIFIC: range/resolution/bias/repeat spread/operator effects утверждаются до execution</x:v>
      </x:c>
      <x:c r="P8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3" s="26" t="str">
        <x:v>STOP при неясных правах, происхождении данных, этическом конфликте или невозможности сохранить исходные данные.</x:v>
      </x:c>
      <x:c r="R83" s="26" t="str">
        <x:v>TBD_ITEM_SPECIFIC_AND_LOCAL: пока маршрут отходов не утверждён, физическое выполнение блокировано.</x:v>
      </x:c>
      <x:c r="S83" s="26" t="str">
        <x:v>S0_OBSERVE_READ</x:v>
      </x:c>
      <x:c r="T83" s="26" t="str">
        <x:v>Самостоятельно после проверки источника; опасное действие из текста не выполняется.</x:v>
      </x:c>
      <x:c r="U83" s="26" t="n">
        <x:v>3</x:v>
      </x:c>
      <x:c r="V83" s="26" t="str">
        <x:v>ANY_SAFE_PERIOD</x:v>
      </x:c>
      <x:c r="W83" s="26" t="str">
        <x:v>records/science/SCI-LIFE-15/YYYY-MM-DD/</x:v>
      </x:c>
      <x:c r="X83" s="26" t="str">
        <x:v>PSP-060|SUP-LEA-003</x:v>
      </x:c>
      <x:c r="Y83" s="26" t="str">
        <x:v>PROVISIONAL_TOPIC_CANDIDATES_NOT_METHOD_REVIEWED</x:v>
      </x:c>
      <x:c r="Z83" s="26" t="str">
        <x:v>BLOCKED_UNTIL_EXACT_METHOD_SOURCE_SAFETY_AND_LOCAL_REVIEW</x:v>
      </x:c>
      <x:c r="AA83" s="26" t="str">
        <x:v>DESIGN_ONLY_NOT_EXECUTED</x:v>
      </x:c>
      <x:c r="AB8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3" s="26" t="str">
        <x:v>0.4</x:v>
      </x:c>
    </x:row>
    <x:row r="84">
      <x:c r="A84" s="53" t="str">
        <x:v>PRJ-081</x:v>
      </x:c>
      <x:c r="B84" s="53" t="str">
        <x:v>SCI-LIFE-16</x:v>
      </x:c>
      <x:c r="C84" s="53" t="str">
        <x:v>LIFE</x:v>
      </x:c>
      <x:c r="D84" s="53" t="str">
        <x:v>Практическая проверка: Охрана природы, инвазивные виды и правовые границы</x:v>
      </x:c>
      <x:c r="E84" s="53" t="str">
        <x:v>OBSERVATION_DATA_OR_CALCULATION</x:v>
      </x:c>
      <x:c r="F84" s="53" t="str">
        <x:v>Объяснить базовую модель, выполнить допустимую для класса риска проверку и документировать пределы по теме «Охрана природы, инвазивные виды и правовые границы».</x:v>
      </x:c>
      <x:c r="G84" s="53" t="str">
        <x:v>SCI-LIFE-15|SCI-METH-13|право остановить опыт|инструкция оборудования</x:v>
      </x:c>
      <x:c r="H84" s="53" t="str">
        <x:v>TBD_NON_EXECUTABLE: точные item/model/material/range/PPE для наблюдение/счёт должны быть утверждены до начала</x:v>
      </x:c>
      <x:c r="I84" s="53" t="str">
        <x:v>Сформулировать вопрос; записать метод и единицы; выполнить карта наблюдений и передача компетентному органу; сохранить сырые данные; повторить; оценить неопределённость; сделать ограниченный вывод.</x:v>
      </x:c>
      <x:c r="J84" s="53" t="str">
        <x:v>карта наблюдений и передача компетентному органу</x:v>
      </x:c>
      <x:c r="K84" s="53" t="str">
        <x:v>SI или явно названный стандарт</x:v>
      </x:c>
      <x:c r="L84" s="53" t="str">
        <x:v>TBD_BEFORE_EXECUTION_FROM_EXACT_METHOD: диапазон/критерий фиксируется до результата; post-hoc подгонка запрещена.</x:v>
      </x:c>
      <x:c r="M84" s="53" t="str">
        <x:v>сырые данные + фото/скриншот при допустимости + расчёт + uncertainty + подпись reviewer + hash пакета</x:v>
      </x:c>
      <x:c r="N84" s="53" t="n">
        <x:v>2</x:v>
      </x:c>
      <x:c r="O84" s="53" t="str">
        <x:v>TBD_METHOD_SPECIFIC: range/resolution/bias/repeat spread/operator effects утверждаются до execution</x:v>
      </x:c>
      <x:c r="P8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4" s="53" t="str">
        <x:v>STOP при неясных правах, происхождении данных, этическом конфликте или невозможности сохранить исходные данные.</x:v>
      </x:c>
      <x:c r="R84" s="53" t="str">
        <x:v>TBD_ITEM_SPECIFIC_AND_LOCAL: пока маршрут отходов не утверждён, физическое выполнение блокировано.</x:v>
      </x:c>
      <x:c r="S84" s="53" t="str">
        <x:v>S0_OBSERVE_READ</x:v>
      </x:c>
      <x:c r="T84" s="53" t="str">
        <x:v>Самостоятельно после проверки источника; опасное действие из текста не выполняется.</x:v>
      </x:c>
      <x:c r="U84" s="53" t="n">
        <x:v>3</x:v>
      </x:c>
      <x:c r="V84" s="53" t="str">
        <x:v>ANY_SAFE_PERIOD</x:v>
      </x:c>
      <x:c r="W84" s="53" t="str">
        <x:v>records/science/SCI-LIFE-16/YYYY-MM-DD/</x:v>
      </x:c>
      <x:c r="X84" s="53" t="str">
        <x:v>PSP-048|SUP-LEA-005</x:v>
      </x:c>
      <x:c r="Y84" s="53" t="str">
        <x:v>PROVISIONAL_TOPIC_CANDIDATES_NOT_METHOD_REVIEWED</x:v>
      </x:c>
      <x:c r="Z84" s="53" t="str">
        <x:v>BLOCKED_UNTIL_EXACT_METHOD_SOURCE_SAFETY_AND_LOCAL_REVIEW</x:v>
      </x:c>
      <x:c r="AA84" s="53" t="str">
        <x:v>DESIGN_ONLY_NOT_EXECUTED</x:v>
      </x:c>
      <x:c r="AB8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4" s="53" t="str">
        <x:v>0.4</x:v>
      </x:c>
    </x:row>
    <x:row r="85">
      <x:c r="A85" s="26" t="str">
        <x:v>PRJ-082</x:v>
      </x:c>
      <x:c r="B85" s="26" t="str">
        <x:v>SCI-HEALTH-01</x:v>
      </x:c>
      <x:c r="C85" s="26" t="str">
        <x:v>HEALTH</x:v>
      </x:c>
      <x:c r="D85" s="26" t="str">
        <x:v>Практическая проверка: Анатомия, физиология и медицинская терминология</x:v>
      </x:c>
      <x:c r="E85" s="26" t="str">
        <x:v>OBSERVATION_DATA_OR_CALCULATION</x:v>
      </x:c>
      <x:c r="F85" s="26" t="str">
        <x:v>Объяснить базовую модель, выполнить допустимую для класса риска проверку и документировать пределы по теме «Анатомия, физиология и медицинская терминология».</x:v>
      </x:c>
      <x:c r="G85" s="26" t="str">
        <x:v>SCI-METH-01|SCI-METH-07|SCI-METH-14|право остановить опыт|инструкция оборудования</x:v>
      </x:c>
      <x:c r="H85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85" s="26" t="str">
        <x:v>Сформулировать вопрос; записать метод и единицы; выполнить объяснение нормальной функции без постановки диагноза; сохранить сырые данные; повторить; оценить неопределённость; сделать ограниченный вывод.</x:v>
      </x:c>
      <x:c r="J85" s="26" t="str">
        <x:v>объяснение нормальной функции без постановки диагноза</x:v>
      </x:c>
      <x:c r="K85" s="26" t="str">
        <x:v>SI или явно названный стандарт</x:v>
      </x:c>
      <x:c r="L85" s="26" t="str">
        <x:v>TBD_BEFORE_EXECUTION_FROM_EXACT_METHOD: диапазон/критерий фиксируется до результата; post-hoc подгонка запрещена.</x:v>
      </x:c>
      <x:c r="M85" s="26" t="str">
        <x:v>сырые данные + фото/скриншот при допустимости + расчёт + uncertainty + подпись reviewer + hash пакета</x:v>
      </x:c>
      <x:c r="N85" s="26" t="n">
        <x:v>2</x:v>
      </x:c>
      <x:c r="O85" s="26" t="str">
        <x:v>TBD_METHOD_SPECIFIC: range/resolution/bias/repeat spread/operator effects утверждаются до execution</x:v>
      </x:c>
      <x:c r="P8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5" s="26" t="str">
        <x:v>STOP при неясных правах, происхождении данных, этическом конфликте или невозможности сохранить исходные данные.</x:v>
      </x:c>
      <x:c r="R85" s="26" t="str">
        <x:v>TBD_ITEM_SPECIFIC_AND_LOCAL: пока маршрут отходов не утверждён, физическое выполнение блокировано.</x:v>
      </x:c>
      <x:c r="S85" s="26" t="str">
        <x:v>S0_OBSERVE_READ</x:v>
      </x:c>
      <x:c r="T85" s="26" t="str">
        <x:v>Самостоятельно после проверки источника; опасное действие из текста не выполняется.</x:v>
      </x:c>
      <x:c r="U85" s="26" t="n">
        <x:v>3</x:v>
      </x:c>
      <x:c r="V85" s="26" t="str">
        <x:v>ANY_SAFE_PERIOD</x:v>
      </x:c>
      <x:c r="W85" s="26" t="str">
        <x:v>records/science/SCI-HEALTH-01/YYYY-MM-DD/</x:v>
      </x:c>
      <x:c r="X85" s="26" t="str">
        <x:v>PSP-018</x:v>
      </x:c>
      <x:c r="Y85" s="26" t="str">
        <x:v>PROVISIONAL_TOPIC_CANDIDATES_NOT_METHOD_REVIEWED</x:v>
      </x:c>
      <x:c r="Z85" s="26" t="str">
        <x:v>BLOCKED_UNTIL_EXACT_METHOD_SOURCE_SAFETY_AND_LOCAL_REVIEW</x:v>
      </x:c>
      <x:c r="AA85" s="26" t="str">
        <x:v>DESIGN_ONLY_NOT_EXECUTED</x:v>
      </x:c>
      <x:c r="AB8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5" s="26" t="str">
        <x:v>0.4</x:v>
      </x:c>
    </x:row>
    <x:row r="86">
      <x:c r="A86" s="53" t="str">
        <x:v>PRJ-083</x:v>
      </x:c>
      <x:c r="B86" s="53" t="str">
        <x:v>SCI-HEALTH-02</x:v>
      </x:c>
      <x:c r="C86" s="53" t="str">
        <x:v>HEALTH</x:v>
      </x:c>
      <x:c r="D86" s="53" t="str">
        <x:v>Практическая проверка: Навигация по системе здравоохранения и красные флаги</x:v>
      </x:c>
      <x:c r="E86" s="53" t="str">
        <x:v>OBSERVATION_DATA_OR_CALCULATION</x:v>
      </x:c>
      <x:c r="F86" s="53" t="str">
        <x:v>Объяснить базовую модель, выполнить допустимую для класса риска проверку и документировать пределы по теме «Навигация по системе здравоохранения и красные флаги».</x:v>
      </x:c>
      <x:c r="G86" s="53" t="str">
        <x:v>SCI-HEALTH-01|SCI-METH-13|право остановить опыт|инструкция оборудования</x:v>
      </x:c>
      <x:c r="H86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86" s="53" t="str">
        <x:v>Сформулировать вопрос; записать метод и единицы; выполнить правильный маршрут 112/SNS24/профильная служба по учебному сценарию; сохранить сырые данные; повторить; оценить неопределённость; сделать ограниченный вывод.</x:v>
      </x:c>
      <x:c r="J86" s="53" t="str">
        <x:v>правильный маршрут 112/SNS24/профильная служба по учебному сценарию</x:v>
      </x:c>
      <x:c r="K86" s="53" t="str">
        <x:v>SI или явно названный стандарт</x:v>
      </x:c>
      <x:c r="L86" s="53" t="str">
        <x:v>TBD_BEFORE_EXECUTION_FROM_EXACT_METHOD: диапазон/критерий фиксируется до результата; post-hoc подгонка запрещена.</x:v>
      </x:c>
      <x:c r="M86" s="53" t="str">
        <x:v>сырые данные + фото/скриншот при допустимости + расчёт + uncertainty + подпись reviewer + hash пакета</x:v>
      </x:c>
      <x:c r="N86" s="53" t="n">
        <x:v>2</x:v>
      </x:c>
      <x:c r="O86" s="53" t="str">
        <x:v>TBD_METHOD_SPECIFIC: range/resolution/bias/repeat spread/operator effects утверждаются до execution</x:v>
      </x:c>
      <x:c r="P8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86" s="53" t="str">
        <x:v>STOP при неясных правах, происхождении данных, этическом конфликте или невозможности сохранить исходные данные.</x:v>
      </x:c>
      <x:c r="R86" s="53" t="str">
        <x:v>TBD_ITEM_SPECIFIC_AND_LOCAL: пока маршрут отходов не утверждён, физическое выполнение блокировано.</x:v>
      </x:c>
      <x:c r="S86" s="53" t="str">
        <x:v>S0_OBSERVE_READ</x:v>
      </x:c>
      <x:c r="T86" s="53" t="str">
        <x:v>Самостоятельно после проверки источника; опасное действие из текста не выполняется.</x:v>
      </x:c>
      <x:c r="U86" s="53" t="n">
        <x:v>3</x:v>
      </x:c>
      <x:c r="V86" s="53" t="str">
        <x:v>ANY_SAFE_PERIOD</x:v>
      </x:c>
      <x:c r="W86" s="53" t="str">
        <x:v>records/science/SCI-HEALTH-02/YYYY-MM-DD/</x:v>
      </x:c>
      <x:c r="X86" s="53" t="str">
        <x:v>PSP-094|PSP-051</x:v>
      </x:c>
      <x:c r="Y86" s="53" t="str">
        <x:v>PROVISIONAL_TOPIC_CANDIDATES_NOT_METHOD_REVIEWED</x:v>
      </x:c>
      <x:c r="Z86" s="53" t="str">
        <x:v>BLOCKED_UNTIL_EXACT_METHOD_SOURCE_SAFETY_AND_LOCAL_REVIEW</x:v>
      </x:c>
      <x:c r="AA86" s="53" t="str">
        <x:v>DESIGN_ONLY_NOT_EXECUTED</x:v>
      </x:c>
      <x:c r="AB8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6" s="53" t="str">
        <x:v>0.4</x:v>
      </x:c>
    </x:row>
    <x:row r="87">
      <x:c r="A87" s="26" t="str">
        <x:v>PRJ-084</x:v>
      </x:c>
      <x:c r="B87" s="26" t="str">
        <x:v>SCI-HEALTH-03</x:v>
      </x:c>
      <x:c r="C87" s="26" t="str">
        <x:v>HEALTH</x:v>
      </x:c>
      <x:c r="D87" s="26" t="str">
        <x:v>Практическая проверка: Безопасное измерение температуры, пульса и частоты дыхания</x:v>
      </x:c>
      <x:c r="E87" s="26" t="str">
        <x:v>LOW_RISK_BENCH_OR_FIELD</x:v>
      </x:c>
      <x:c r="F87" s="26" t="str">
        <x:v>Объяснить базовую модель, выполнить допустимую для класса риска проверку и документировать пределы по теме «Безопасное измерение температуры, пульса и частоты дыхания».</x:v>
      </x:c>
      <x:c r="G87" s="26" t="str">
        <x:v>SCI-HEALTH-02|SCI-METH-13|право остановить опыт|инструкция оборудования</x:v>
      </x:c>
      <x:c r="H87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87" s="26" t="str">
        <x:v>Сформулировать вопрос; записать метод и единицы; выполнить повтор измерения согласно инструкции прибора без диагностики; сохранить сырые данные; повторить; оценить неопределённость; сделать ограниченный вывод.</x:v>
      </x:c>
      <x:c r="J87" s="26" t="str">
        <x:v>повтор измерения согласно инструкции прибора без диагностики</x:v>
      </x:c>
      <x:c r="K87" s="26" t="str">
        <x:v>SI или явно названный стандарт</x:v>
      </x:c>
      <x:c r="L87" s="26" t="str">
        <x:v>TBD_BEFORE_EXECUTION_FROM_EXACT_METHOD: диапазон/критерий фиксируется до результата; post-hoc подгонка запрещена.</x:v>
      </x:c>
      <x:c r="M87" s="26" t="str">
        <x:v>сырые данные + фото/скриншот при допустимости + расчёт + uncertainty + подпись reviewer + hash пакета</x:v>
      </x:c>
      <x:c r="N87" s="26" t="n">
        <x:v>3</x:v>
      </x:c>
      <x:c r="O87" s="26" t="str">
        <x:v>TBD_METHOD_SPECIFIC: range/resolution/bias/repeat spread/operator effects утверждаются до execution</x:v>
      </x:c>
      <x:c r="P87" s="26" t="str">
        <x:v>DESIGN_PLACEHOLDER_NOT_EXECUTABLE: item-specific hazard analysis, материалы, энергия, концентрация, СИЗ и отходы ещё не утверждены.</x:v>
      </x:c>
      <x:c r="Q87" s="26" t="str">
        <x:v>BLOCKED_BEFORE_START: до точного method/source review запрещено начинать; после review нужны наблюдаемые численные/событийные stop conditions.</x:v>
      </x:c>
      <x:c r="R87" s="26" t="str">
        <x:v>TBD_ITEM_SPECIFIC_AND_LOCAL: пока маршрут отходов не утверждён, физическое выполнение блокировано.</x:v>
      </x:c>
      <x:c r="S87" s="26" t="str">
        <x:v>S1_LOW_RISK_HOUSEHOLD</x:v>
      </x:c>
      <x:c r="T87" s="26" t="str">
        <x:v>S1 допускается только после замены всех DESIGN/TBD полей точным low-risk методом и независимой safety-проверки.</x:v>
      </x:c>
      <x:c r="U87" s="26" t="n">
        <x:v>3</x:v>
      </x:c>
      <x:c r="V87" s="26" t="str">
        <x:v>ANY_SAFE_PERIOD</x:v>
      </x:c>
      <x:c r="W87" s="26" t="str">
        <x:v>records/science/SCI-HEALTH-03/YYYY-MM-DD/</x:v>
      </x:c>
      <x:c r="X87" s="26" t="str">
        <x:v>PSP-018|PSP-051</x:v>
      </x:c>
      <x:c r="Y87" s="26" t="str">
        <x:v>PROVISIONAL_TOPIC_CANDIDATES_NOT_METHOD_REVIEWED</x:v>
      </x:c>
      <x:c r="Z87" s="26" t="str">
        <x:v>BLOCKED_UNTIL_EXACT_METHOD_SOURCE_SAFETY_AND_LOCAL_REVIEW</x:v>
      </x:c>
      <x:c r="AA87" s="26" t="str">
        <x:v>DESIGN_ONLY_NOT_EXECUTED</x:v>
      </x:c>
      <x:c r="AB8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7" s="26" t="str">
        <x:v>0.4</x:v>
      </x:c>
    </x:row>
    <x:row r="88">
      <x:c r="A88" s="53" t="str">
        <x:v>PRJ-085</x:v>
      </x:c>
      <x:c r="B88" s="53" t="str">
        <x:v>SCI-HEALTH-04</x:v>
      </x:c>
      <x:c r="C88" s="53" t="str">
        <x:v>HEALTH</x:v>
      </x:c>
      <x:c r="D88" s="53" t="str">
        <x:v>Практическая проверка: Первая помощь, BLS/AED и удушье</x:v>
      </x:c>
      <x:c r="E88" s="53" t="str">
        <x:v>SUPERVISED_DEMONSTRATION_ONLY</x:v>
      </x:c>
      <x:c r="F88" s="53" t="str">
        <x:v>Объяснить базовую модель, выполнить допустимую для класса риска проверку и документировать пределы по теме «Первая помощь, BLS/AED и удушье».</x:v>
      </x:c>
      <x:c r="G88" s="53" t="str">
        <x:v>SCI-HEALTH-03|SCI-METH-13|право остановить опыт|инструкция оборудования</x:v>
      </x:c>
      <x:c r="H88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88" s="53" t="str">
        <x:v>До допуска: обучение и checklist. Затем только под компетентным надзором выполнить безопасную часть: только сертифицированное обучение и манекен. Результат и отклонения подписывает supervisor.</x:v>
      </x:c>
      <x:c r="J88" s="53" t="str">
        <x:v>только сертифицированное обучение и манекен</x:v>
      </x:c>
      <x:c r="K88" s="53" t="str">
        <x:v>SI или явно названный стандарт</x:v>
      </x:c>
      <x:c r="L88" s="53" t="str">
        <x:v>TBD_BEFORE_EXECUTION_FROM_EXACT_METHOD: диапазон/критерий фиксируется до результата; post-hoc подгонка запрещена.</x:v>
      </x:c>
      <x:c r="M88" s="53" t="str">
        <x:v>сырые данные + фото/скриншот при допустимости + расчёт + uncertainty + подпись reviewer + hash пакета</x:v>
      </x:c>
      <x:c r="N88" s="53" t="n">
        <x:v>1</x:v>
      </x:c>
      <x:c r="O88" s="53" t="str">
        <x:v>TBD_METHOD_SPECIFIC: range/resolution/bias/repeat spread/operator effects утверждаются до execution</x:v>
      </x:c>
      <x:c r="P88" s="53" t="str">
        <x:v>DESIGN_PLACEHOLDER_NOT_EXECUTABLE: item-specific hazard analysis, материалы, энергия, концентрация, СИЗ и отходы ещё не утверждены.</x:v>
      </x:c>
      <x:c r="Q88" s="53" t="str">
        <x:v>BLOCKED_BEFORE_START: до точного method/source review запрещено начинать; после review нужны наблюдаемые численные/событийные stop conditions.</x:v>
      </x:c>
      <x:c r="R88" s="53" t="str">
        <x:v>TBD_ITEM_SPECIFIC_AND_LOCAL: пока маршрут отходов не утверждён, физическое выполнение блокировано.</x:v>
      </x:c>
      <x:c r="S88" s="53" t="str">
        <x:v>S2_TRAINED_SUPERVISED</x:v>
      </x:c>
      <x:c r="T88" s="53" t="str">
        <x:v>Компетентный инструктор/ответственный специалист присутствует и может немедленно остановить работу.</x:v>
      </x:c>
      <x:c r="U88" s="53" t="n">
        <x:v>3</x:v>
      </x:c>
      <x:c r="V88" s="53" t="str">
        <x:v>ANY_SAFE_PERIOD</x:v>
      </x:c>
      <x:c r="W88" s="53" t="str">
        <x:v>records/science/SCI-HEALTH-04/YYYY-MM-DD/</x:v>
      </x:c>
      <x:c r="X88" s="53" t="str">
        <x:v>PSP-055|PSP-056</x:v>
      </x:c>
      <x:c r="Y88" s="53" t="str">
        <x:v>PROVISIONAL_TOPIC_CANDIDATES_NOT_METHOD_REVIEWED</x:v>
      </x:c>
      <x:c r="Z88" s="53" t="str">
        <x:v>BLOCKED_UNTIL_EXACT_METHOD_SOURCE_SAFETY_AND_LOCAL_REVIEW</x:v>
      </x:c>
      <x:c r="AA88" s="53" t="str">
        <x:v>DESIGN_ONLY_NOT_EXECUTED</x:v>
      </x:c>
      <x:c r="AB8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8" s="53" t="str">
        <x:v>0.4</x:v>
      </x:c>
    </x:row>
    <x:row r="89">
      <x:c r="A89" s="26" t="str">
        <x:v>PRJ-086</x:v>
      </x:c>
      <x:c r="B89" s="26" t="str">
        <x:v>SCI-HEALTH-05</x:v>
      </x:c>
      <x:c r="C89" s="26" t="str">
        <x:v>HEALTH</x:v>
      </x:c>
      <x:c r="D89" s="26" t="str">
        <x:v>Практическая проверка: Инфекционный контроль, руки, поверхности и вентиляция</x:v>
      </x:c>
      <x:c r="E89" s="26" t="str">
        <x:v>LOW_RISK_BENCH_OR_FIELD</x:v>
      </x:c>
      <x:c r="F89" s="26" t="str">
        <x:v>Объяснить базовую модель, выполнить допустимую для класса риска проверку и документировать пределы по теме «Инфекционный контроль, руки, поверхности и вентиляция».</x:v>
      </x:c>
      <x:c r="G89" s="26" t="str">
        <x:v>SCI-HEALTH-04|SCI-METH-13|право остановить опыт|инструкция оборудования</x:v>
      </x:c>
      <x:c r="H89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89" s="26" t="str">
        <x:v>Сформулировать вопрос; записать метод и единицы; выполнить аудит процесса без культивирования микроорганизмов; сохранить сырые данные; повторить; оценить неопределённость; сделать ограниченный вывод.</x:v>
      </x:c>
      <x:c r="J89" s="26" t="str">
        <x:v>аудит процесса без культивирования микроорганизмов</x:v>
      </x:c>
      <x:c r="K89" s="26" t="str">
        <x:v>SI или явно названный стандарт</x:v>
      </x:c>
      <x:c r="L89" s="26" t="str">
        <x:v>TBD_BEFORE_EXECUTION_FROM_EXACT_METHOD: диапазон/критерий фиксируется до результата; post-hoc подгонка запрещена.</x:v>
      </x:c>
      <x:c r="M89" s="26" t="str">
        <x:v>сырые данные + фото/скриншот при допустимости + расчёт + uncertainty + подпись reviewer + hash пакета</x:v>
      </x:c>
      <x:c r="N89" s="26" t="n">
        <x:v>3</x:v>
      </x:c>
      <x:c r="O89" s="26" t="str">
        <x:v>TBD_METHOD_SPECIFIC: range/resolution/bias/repeat spread/operator effects утверждаются до execution</x:v>
      </x:c>
      <x:c r="P89" s="26" t="str">
        <x:v>DESIGN_PLACEHOLDER_NOT_EXECUTABLE: item-specific hazard analysis, материалы, энергия, концентрация, СИЗ и отходы ещё не утверждены.</x:v>
      </x:c>
      <x:c r="Q89" s="26" t="str">
        <x:v>BLOCKED_BEFORE_START: до точного method/source review запрещено начинать; после review нужны наблюдаемые численные/событийные stop conditions.</x:v>
      </x:c>
      <x:c r="R89" s="26" t="str">
        <x:v>TBD_ITEM_SPECIFIC_AND_LOCAL: пока маршрут отходов не утверждён, физическое выполнение блокировано.</x:v>
      </x:c>
      <x:c r="S89" s="26" t="str">
        <x:v>S1_LOW_RISK_HOUSEHOLD</x:v>
      </x:c>
      <x:c r="T89" s="26" t="str">
        <x:v>S1 допускается только после замены всех DESIGN/TBD полей точным low-risk методом и независимой safety-проверки.</x:v>
      </x:c>
      <x:c r="U89" s="26" t="n">
        <x:v>3</x:v>
      </x:c>
      <x:c r="V89" s="26" t="str">
        <x:v>ANY_SAFE_PERIOD</x:v>
      </x:c>
      <x:c r="W89" s="26" t="str">
        <x:v>records/science/SCI-HEALTH-05/YYYY-MM-DD/</x:v>
      </x:c>
      <x:c r="X89" s="26" t="str">
        <x:v>PSP-051|PSP-053</x:v>
      </x:c>
      <x:c r="Y89" s="26" t="str">
        <x:v>PROVISIONAL_TOPIC_CANDIDATES_NOT_METHOD_REVIEWED</x:v>
      </x:c>
      <x:c r="Z89" s="26" t="str">
        <x:v>BLOCKED_UNTIL_EXACT_METHOD_SOURCE_SAFETY_AND_LOCAL_REVIEW</x:v>
      </x:c>
      <x:c r="AA89" s="26" t="str">
        <x:v>DESIGN_ONLY_NOT_EXECUTED</x:v>
      </x:c>
      <x:c r="AB8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89" s="26" t="str">
        <x:v>0.4</x:v>
      </x:c>
    </x:row>
    <x:row r="90">
      <x:c r="A90" s="53" t="str">
        <x:v>PRJ-087</x:v>
      </x:c>
      <x:c r="B90" s="53" t="str">
        <x:v>SCI-HEALTH-06</x:v>
      </x:c>
      <x:c r="C90" s="53" t="str">
        <x:v>HEALTH</x:v>
      </x:c>
      <x:c r="D90" s="53" t="str">
        <x:v>Практическая проверка: Эпидемиология и интерпретация риска</x:v>
      </x:c>
      <x:c r="E90" s="53" t="str">
        <x:v>OBSERVATION_DATA_OR_CALCULATION</x:v>
      </x:c>
      <x:c r="F90" s="53" t="str">
        <x:v>Объяснить базовую модель, выполнить допустимую для класса риска проверку и документировать пределы по теме «Эпидемиология и интерпретация риска».</x:v>
      </x:c>
      <x:c r="G90" s="53" t="str">
        <x:v>SCI-HEALTH-05|SCI-METH-13|право остановить опыт|инструкция оборудования</x:v>
      </x:c>
      <x:c r="H90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90" s="53" t="str">
        <x:v>Сформулировать вопрос; записать метод и единицы; выполнить расчёт показателей по обезличенным опубликованным данным; сохранить сырые данные; повторить; оценить неопределённость; сделать ограниченный вывод.</x:v>
      </x:c>
      <x:c r="J90" s="53" t="str">
        <x:v>расчёт показателей по обезличенным опубликованным данным</x:v>
      </x:c>
      <x:c r="K90" s="53" t="str">
        <x:v>SI или явно названный стандарт</x:v>
      </x:c>
      <x:c r="L90" s="53" t="str">
        <x:v>TBD_BEFORE_EXECUTION_FROM_EXACT_METHOD: диапазон/критерий фиксируется до результата; post-hoc подгонка запрещена.</x:v>
      </x:c>
      <x:c r="M90" s="53" t="str">
        <x:v>сырые данные + фото/скриншот при допустимости + расчёт + uncertainty + подпись reviewer + hash пакета</x:v>
      </x:c>
      <x:c r="N90" s="53" t="n">
        <x:v>2</x:v>
      </x:c>
      <x:c r="O90" s="53" t="str">
        <x:v>TBD_METHOD_SPECIFIC: range/resolution/bias/repeat spread/operator effects утверждаются до execution</x:v>
      </x:c>
      <x:c r="P9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90" s="53" t="str">
        <x:v>STOP при неясных правах, происхождении данных, этическом конфликте или невозможности сохранить исходные данные.</x:v>
      </x:c>
      <x:c r="R90" s="53" t="str">
        <x:v>TBD_ITEM_SPECIFIC_AND_LOCAL: пока маршрут отходов не утверждён, физическое выполнение блокировано.</x:v>
      </x:c>
      <x:c r="S90" s="53" t="str">
        <x:v>S0_OBSERVE_READ</x:v>
      </x:c>
      <x:c r="T90" s="53" t="str">
        <x:v>Самостоятельно после проверки источника; опасное действие из текста не выполняется.</x:v>
      </x:c>
      <x:c r="U90" s="53" t="n">
        <x:v>3</x:v>
      </x:c>
      <x:c r="V90" s="53" t="str">
        <x:v>ANY_SAFE_PERIOD</x:v>
      </x:c>
      <x:c r="W90" s="53" t="str">
        <x:v>records/science/SCI-HEALTH-06/YYYY-MM-DD/</x:v>
      </x:c>
      <x:c r="X90" s="53" t="str">
        <x:v>PSP-053|SUP-LEA-044</x:v>
      </x:c>
      <x:c r="Y90" s="53" t="str">
        <x:v>PROVISIONAL_TOPIC_CANDIDATES_NOT_METHOD_REVIEWED</x:v>
      </x:c>
      <x:c r="Z90" s="53" t="str">
        <x:v>BLOCKED_UNTIL_EXACT_METHOD_SOURCE_SAFETY_AND_LOCAL_REVIEW</x:v>
      </x:c>
      <x:c r="AA90" s="53" t="str">
        <x:v>DESIGN_ONLY_NOT_EXECUTED</x:v>
      </x:c>
      <x:c r="AB9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0" s="53" t="str">
        <x:v>0.4</x:v>
      </x:c>
    </x:row>
    <x:row r="91">
      <x:c r="A91" s="26" t="str">
        <x:v>PRJ-088</x:v>
      </x:c>
      <x:c r="B91" s="26" t="str">
        <x:v>SCI-HEALTH-07</x:v>
      </x:c>
      <x:c r="C91" s="26" t="str">
        <x:v>HEALTH</x:v>
      </x:c>
      <x:c r="D91" s="26" t="str">
        <x:v>Практическая проверка: Питание, пищевой дневник и дефициты</x:v>
      </x:c>
      <x:c r="E91" s="26" t="str">
        <x:v>OBSERVATION_DATA_OR_CALCULATION</x:v>
      </x:c>
      <x:c r="F91" s="26" t="str">
        <x:v>Объяснить базовую модель, выполнить допустимую для класса риска проверку и документировать пределы по теме «Питание, пищевой дневник и дефициты».</x:v>
      </x:c>
      <x:c r="G91" s="26" t="str">
        <x:v>SCI-HEALTH-06|SCI-METH-13|право остановить опыт|инструкция оборудования</x:v>
      </x:c>
      <x:c r="H91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91" s="26" t="str">
        <x:v>Сформулировать вопрос; записать метод и единицы; выполнить сбалансированный рацион по официальным рекомендациям без лечебной диеты; сохранить сырые данные; повторить; оценить неопределённость; сделать ограниченный вывод.</x:v>
      </x:c>
      <x:c r="J91" s="26" t="str">
        <x:v>сбалансированный рацион по официальным рекомендациям без лечебной диеты</x:v>
      </x:c>
      <x:c r="K91" s="26" t="str">
        <x:v>SI или явно названный стандарт</x:v>
      </x:c>
      <x:c r="L91" s="26" t="str">
        <x:v>TBD_BEFORE_EXECUTION_FROM_EXACT_METHOD: диапазон/критерий фиксируется до результата; post-hoc подгонка запрещена.</x:v>
      </x:c>
      <x:c r="M91" s="26" t="str">
        <x:v>сырые данные + фото/скриншот при допустимости + расчёт + uncertainty + подпись reviewer + hash пакета</x:v>
      </x:c>
      <x:c r="N91" s="26" t="n">
        <x:v>2</x:v>
      </x:c>
      <x:c r="O91" s="26" t="str">
        <x:v>TBD_METHOD_SPECIFIC: range/resolution/bias/repeat spread/operator effects утверждаются до execution</x:v>
      </x:c>
      <x:c r="P9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91" s="26" t="str">
        <x:v>STOP при неясных правах, происхождении данных, этическом конфликте или невозможности сохранить исходные данные.</x:v>
      </x:c>
      <x:c r="R91" s="26" t="str">
        <x:v>TBD_ITEM_SPECIFIC_AND_LOCAL: пока маршрут отходов не утверждён, физическое выполнение блокировано.</x:v>
      </x:c>
      <x:c r="S91" s="26" t="str">
        <x:v>S0_OBSERVE_READ</x:v>
      </x:c>
      <x:c r="T91" s="26" t="str">
        <x:v>Самостоятельно после проверки источника; опасное действие из текста не выполняется.</x:v>
      </x:c>
      <x:c r="U91" s="26" t="n">
        <x:v>3</x:v>
      </x:c>
      <x:c r="V91" s="26" t="str">
        <x:v>ANY_SAFE_PERIOD</x:v>
      </x:c>
      <x:c r="W91" s="26" t="str">
        <x:v>records/science/SCI-HEALTH-07/YYYY-MM-DD/</x:v>
      </x:c>
      <x:c r="X91" s="26" t="str">
        <x:v>PSP-060|SUP-LEA-036</x:v>
      </x:c>
      <x:c r="Y91" s="26" t="str">
        <x:v>PROVISIONAL_TOPIC_CANDIDATES_NOT_METHOD_REVIEWED</x:v>
      </x:c>
      <x:c r="Z91" s="26" t="str">
        <x:v>BLOCKED_UNTIL_EXACT_METHOD_SOURCE_SAFETY_AND_LOCAL_REVIEW</x:v>
      </x:c>
      <x:c r="AA91" s="26" t="str">
        <x:v>DESIGN_ONLY_NOT_EXECUTED</x:v>
      </x:c>
      <x:c r="AB9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1" s="26" t="str">
        <x:v>0.4</x:v>
      </x:c>
    </x:row>
    <x:row r="92">
      <x:c r="A92" s="53" t="str">
        <x:v>PRJ-089</x:v>
      </x:c>
      <x:c r="B92" s="53" t="str">
        <x:v>SCI-HEALTH-08</x:v>
      </x:c>
      <x:c r="C92" s="53" t="str">
        <x:v>HEALTH</x:v>
      </x:c>
      <x:c r="D92" s="53" t="str">
        <x:v>Практическая проверка: Психологическая первая помощь и поддерживающее общение</x:v>
      </x:c>
      <x:c r="E92" s="53" t="str">
        <x:v>LOW_RISK_BENCH_OR_FIELD</x:v>
      </x:c>
      <x:c r="F92" s="53" t="str">
        <x:v>Объяснить базовую модель, выполнить допустимую для класса риска проверку и документировать пределы по теме «Психологическая первая помощь и поддерживающее общение».</x:v>
      </x:c>
      <x:c r="G92" s="53" t="str">
        <x:v>SCI-HEALTH-07|SCI-METH-13|право остановить опыт|инструкция оборудования</x:v>
      </x:c>
      <x:c r="H92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92" s="53" t="str">
        <x:v>Сформулировать вопрос; записать метод и единицы; выполнить сценарий слушания, безопасности и направления за помощью; сохранить сырые данные; повторить; оценить неопределённость; сделать ограниченный вывод.</x:v>
      </x:c>
      <x:c r="J92" s="53" t="str">
        <x:v>сценарий слушания, безопасности и направления за помощью</x:v>
      </x:c>
      <x:c r="K92" s="53" t="str">
        <x:v>SI или явно названный стандарт</x:v>
      </x:c>
      <x:c r="L92" s="53" t="str">
        <x:v>TBD_BEFORE_EXECUTION_FROM_EXACT_METHOD: диапазон/критерий фиксируется до результата; post-hoc подгонка запрещена.</x:v>
      </x:c>
      <x:c r="M92" s="53" t="str">
        <x:v>сырые данные + фото/скриншот при допустимости + расчёт + uncertainty + подпись reviewer + hash пакета</x:v>
      </x:c>
      <x:c r="N92" s="53" t="n">
        <x:v>3</x:v>
      </x:c>
      <x:c r="O92" s="53" t="str">
        <x:v>TBD_METHOD_SPECIFIC: range/resolution/bias/repeat spread/operator effects утверждаются до execution</x:v>
      </x:c>
      <x:c r="P92" s="53" t="str">
        <x:v>DESIGN_PLACEHOLDER_NOT_EXECUTABLE: item-specific hazard analysis, материалы, энергия, концентрация, СИЗ и отходы ещё не утверждены.</x:v>
      </x:c>
      <x:c r="Q92" s="53" t="str">
        <x:v>BLOCKED_BEFORE_START: до точного method/source review запрещено начинать; после review нужны наблюдаемые численные/событийные stop conditions.</x:v>
      </x:c>
      <x:c r="R92" s="53" t="str">
        <x:v>TBD_ITEM_SPECIFIC_AND_LOCAL: пока маршрут отходов не утверждён, физическое выполнение блокировано.</x:v>
      </x:c>
      <x:c r="S92" s="53" t="str">
        <x:v>S1_LOW_RISK_HOUSEHOLD</x:v>
      </x:c>
      <x:c r="T92" s="53" t="str">
        <x:v>S1 допускается только после замены всех DESIGN/TBD полей точным low-risk методом и независимой safety-проверки.</x:v>
      </x:c>
      <x:c r="U92" s="53" t="n">
        <x:v>3</x:v>
      </x:c>
      <x:c r="V92" s="53" t="str">
        <x:v>ANY_SAFE_PERIOD</x:v>
      </x:c>
      <x:c r="W92" s="53" t="str">
        <x:v>records/science/SCI-HEALTH-08/YYYY-MM-DD/</x:v>
      </x:c>
      <x:c r="X92" s="53" t="str">
        <x:v>PSP-051</x:v>
      </x:c>
      <x:c r="Y92" s="53" t="str">
        <x:v>PROVISIONAL_TOPIC_CANDIDATES_NOT_METHOD_REVIEWED</x:v>
      </x:c>
      <x:c r="Z92" s="53" t="str">
        <x:v>BLOCKED_UNTIL_EXACT_METHOD_SOURCE_SAFETY_AND_LOCAL_REVIEW</x:v>
      </x:c>
      <x:c r="AA92" s="53" t="str">
        <x:v>DESIGN_ONLY_NOT_EXECUTED</x:v>
      </x:c>
      <x:c r="AB9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2" s="53" t="str">
        <x:v>0.4</x:v>
      </x:c>
    </x:row>
    <x:row r="93">
      <x:c r="A93" s="26" t="str">
        <x:v>PRJ-090</x:v>
      </x:c>
      <x:c r="B93" s="26" t="str">
        <x:v>SCI-HEALTH-09</x:v>
      </x:c>
      <x:c r="C93" s="26" t="str">
        <x:v>HEALTH</x:v>
      </x:c>
      <x:c r="D93" s="26" t="str">
        <x:v>Практическая проверка: Непрерывность хронического лечения</x:v>
      </x:c>
      <x:c r="E93" s="26" t="str">
        <x:v>SUPERVISED_DEMONSTRATION_ONLY</x:v>
      </x:c>
      <x:c r="F93" s="26" t="str">
        <x:v>Объяснить базовую модель, выполнить допустимую для класса риска проверку и документировать пределы по теме «Непрерывность хронического лечения».</x:v>
      </x:c>
      <x:c r="G93" s="26" t="str">
        <x:v>SCI-HEALTH-08|SCI-METH-13|право остановить опыт|инструкция оборудования</x:v>
      </x:c>
      <x:c r="H93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93" s="26" t="str">
        <x:v>До допуска: обучение и checklist. Затем только под компетентным надзором выполнить безопасную часть: сверенный с врачом/фармацевтом личный план без изменения доз. Результат и отклонения подписывает supervisor.</x:v>
      </x:c>
      <x:c r="J93" s="26" t="str">
        <x:v>сверенный с врачом/фармацевтом личный план без изменения доз</x:v>
      </x:c>
      <x:c r="K93" s="26" t="str">
        <x:v>SI или явно названный стандарт</x:v>
      </x:c>
      <x:c r="L93" s="26" t="str">
        <x:v>TBD_BEFORE_EXECUTION_FROM_EXACT_METHOD: диапазон/критерий фиксируется до результата; post-hoc подгонка запрещена.</x:v>
      </x:c>
      <x:c r="M93" s="26" t="str">
        <x:v>сырые данные + фото/скриншот при допустимости + расчёт + uncertainty + подпись reviewer + hash пакета</x:v>
      </x:c>
      <x:c r="N93" s="26" t="n">
        <x:v>1</x:v>
      </x:c>
      <x:c r="O93" s="26" t="str">
        <x:v>TBD_METHOD_SPECIFIC: range/resolution/bias/repeat spread/operator effects утверждаются до execution</x:v>
      </x:c>
      <x:c r="P93" s="26" t="str">
        <x:v>DESIGN_PLACEHOLDER_NOT_EXECUTABLE: item-specific hazard analysis, материалы, энергия, концентрация, СИЗ и отходы ещё не утверждены.</x:v>
      </x:c>
      <x:c r="Q93" s="26" t="str">
        <x:v>BLOCKED_BEFORE_START: до точного method/source review запрещено начинать; после review нужны наблюдаемые численные/событийные stop conditions.</x:v>
      </x:c>
      <x:c r="R93" s="26" t="str">
        <x:v>TBD_ITEM_SPECIFIC_AND_LOCAL: пока маршрут отходов не утверждён, физическое выполнение блокировано.</x:v>
      </x:c>
      <x:c r="S93" s="26" t="str">
        <x:v>S2_TRAINED_SUPERVISED</x:v>
      </x:c>
      <x:c r="T93" s="26" t="str">
        <x:v>Компетентный инструктор/ответственный специалист присутствует и может немедленно остановить работу.</x:v>
      </x:c>
      <x:c r="U93" s="26" t="n">
        <x:v>3</x:v>
      </x:c>
      <x:c r="V93" s="26" t="str">
        <x:v>ANY_SAFE_PERIOD</x:v>
      </x:c>
      <x:c r="W93" s="26" t="str">
        <x:v>records/science/SCI-HEALTH-09/YYYY-MM-DD/</x:v>
      </x:c>
      <x:c r="X93" s="26" t="str">
        <x:v>PSP-117|PSP-095</x:v>
      </x:c>
      <x:c r="Y93" s="26" t="str">
        <x:v>PROVISIONAL_TOPIC_CANDIDATES_NOT_METHOD_REVIEWED</x:v>
      </x:c>
      <x:c r="Z93" s="26" t="str">
        <x:v>BLOCKED_UNTIL_EXACT_METHOD_SOURCE_SAFETY_AND_LOCAL_REVIEW</x:v>
      </x:c>
      <x:c r="AA93" s="26" t="str">
        <x:v>DESIGN_ONLY_NOT_EXECUTED</x:v>
      </x:c>
      <x:c r="AB9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3" s="26" t="str">
        <x:v>0.4</x:v>
      </x:c>
    </x:row>
    <x:row r="94">
      <x:c r="A94" s="53" t="str">
        <x:v>PRJ-091</x:v>
      </x:c>
      <x:c r="B94" s="53" t="str">
        <x:v>SCI-HEALTH-10</x:v>
      </x:c>
      <x:c r="C94" s="53" t="str">
        <x:v>HEALTH</x:v>
      </x:c>
      <x:c r="D94" s="53" t="str">
        <x:v>Практическая проверка: Материнство, ребёнок и развитие</x:v>
      </x:c>
      <x:c r="E94" s="53" t="str">
        <x:v>SUPERVISED_DEMONSTRATION_ONLY</x:v>
      </x:c>
      <x:c r="F94" s="53" t="str">
        <x:v>Объяснить базовую модель, выполнить допустимую для класса риска проверку и документировать пределы по теме «Материнство, ребёнок и развитие».</x:v>
      </x:c>
      <x:c r="G94" s="53" t="str">
        <x:v>SCI-HEALTH-09|SCI-METH-13|право остановить опыт|инструкция оборудования</x:v>
      </x:c>
      <x:c r="H94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94" s="53" t="str">
        <x:v>До допуска: обучение и checklist. Затем только под компетентным надзором выполнить безопасную часть: распознавание повода для профессиональной помощи. Результат и отклонения подписывает supervisor.</x:v>
      </x:c>
      <x:c r="J94" s="53" t="str">
        <x:v>распознавание повода для профессиональной помощи</x:v>
      </x:c>
      <x:c r="K94" s="53" t="str">
        <x:v>SI или явно названный стандарт</x:v>
      </x:c>
      <x:c r="L94" s="53" t="str">
        <x:v>TBD_BEFORE_EXECUTION_FROM_EXACT_METHOD: диапазон/критерий фиксируется до результата; post-hoc подгонка запрещена.</x:v>
      </x:c>
      <x:c r="M94" s="53" t="str">
        <x:v>сырые данные + фото/скриншот при допустимости + расчёт + uncertainty + подпись reviewer + hash пакета</x:v>
      </x:c>
      <x:c r="N94" s="53" t="n">
        <x:v>1</x:v>
      </x:c>
      <x:c r="O94" s="53" t="str">
        <x:v>TBD_METHOD_SPECIFIC: range/resolution/bias/repeat spread/operator effects утверждаются до execution</x:v>
      </x:c>
      <x:c r="P94" s="53" t="str">
        <x:v>DESIGN_PLACEHOLDER_NOT_EXECUTABLE: item-specific hazard analysis, материалы, энергия, концентрация, СИЗ и отходы ещё не утверждены.</x:v>
      </x:c>
      <x:c r="Q94" s="53" t="str">
        <x:v>BLOCKED_BEFORE_START: до точного method/source review запрещено начинать; после review нужны наблюдаемые численные/событийные stop conditions.</x:v>
      </x:c>
      <x:c r="R94" s="53" t="str">
        <x:v>TBD_ITEM_SPECIFIC_AND_LOCAL: пока маршрут отходов не утверждён, физическое выполнение блокировано.</x:v>
      </x:c>
      <x:c r="S94" s="53" t="str">
        <x:v>S2_TRAINED_SUPERVISED</x:v>
      </x:c>
      <x:c r="T94" s="53" t="str">
        <x:v>Компетентный инструктор/ответственный специалист присутствует и может немедленно остановить работу.</x:v>
      </x:c>
      <x:c r="U94" s="53" t="n">
        <x:v>3</x:v>
      </x:c>
      <x:c r="V94" s="53" t="str">
        <x:v>ANY_SAFE_PERIOD</x:v>
      </x:c>
      <x:c r="W94" s="53" t="str">
        <x:v>records/science/SCI-HEALTH-10/YYYY-MM-DD/</x:v>
      </x:c>
      <x:c r="X94" s="53" t="str">
        <x:v>PSP-051|PSP-094</x:v>
      </x:c>
      <x:c r="Y94" s="53" t="str">
        <x:v>PROVISIONAL_TOPIC_CANDIDATES_NOT_METHOD_REVIEWED</x:v>
      </x:c>
      <x:c r="Z94" s="53" t="str">
        <x:v>BLOCKED_UNTIL_EXACT_METHOD_SOURCE_SAFETY_AND_LOCAL_REVIEW</x:v>
      </x:c>
      <x:c r="AA94" s="53" t="str">
        <x:v>DESIGN_ONLY_NOT_EXECUTED</x:v>
      </x:c>
      <x:c r="AB9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4" s="53" t="str">
        <x:v>0.4</x:v>
      </x:c>
    </x:row>
    <x:row r="95">
      <x:c r="A95" s="26" t="str">
        <x:v>PRJ-092</x:v>
      </x:c>
      <x:c r="B95" s="26" t="str">
        <x:v>SCI-HEALTH-11</x:v>
      </x:c>
      <x:c r="C95" s="26" t="str">
        <x:v>HEALTH</x:v>
      </x:c>
      <x:c r="D95" s="26" t="str">
        <x:v>Практическая проверка: Старение, инвалидность и доступность</x:v>
      </x:c>
      <x:c r="E95" s="26" t="str">
        <x:v>LOW_RISK_BENCH_OR_FIELD</x:v>
      </x:c>
      <x:c r="F95" s="26" t="str">
        <x:v>Объяснить базовую модель, выполнить допустимую для класса риска проверку и документировать пределы по теме «Старение, инвалидность и доступность».</x:v>
      </x:c>
      <x:c r="G95" s="26" t="str">
        <x:v>SCI-HEALTH-10|SCI-METH-13|право остановить опыт|инструкция оборудования</x:v>
      </x:c>
      <x:c r="H95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95" s="26" t="str">
        <x:v>Сформулировать вопрос; записать метод и единицы; выполнить аудит барьеров и безопасной поддержки без подъёма человека в одиночку; сохранить сырые данные; повторить; оценить неопределённость; сделать ограниченный вывод.</x:v>
      </x:c>
      <x:c r="J95" s="26" t="str">
        <x:v>аудит барьеров и безопасной поддержки без подъёма человека в одиночку</x:v>
      </x:c>
      <x:c r="K95" s="26" t="str">
        <x:v>SI или явно названный стандарт</x:v>
      </x:c>
      <x:c r="L95" s="26" t="str">
        <x:v>TBD_BEFORE_EXECUTION_FROM_EXACT_METHOD: диапазон/критерий фиксируется до результата; post-hoc подгонка запрещена.</x:v>
      </x:c>
      <x:c r="M95" s="26" t="str">
        <x:v>сырые данные + фото/скриншот при допустимости + расчёт + uncertainty + подпись reviewer + hash пакета</x:v>
      </x:c>
      <x:c r="N95" s="26" t="n">
        <x:v>3</x:v>
      </x:c>
      <x:c r="O95" s="26" t="str">
        <x:v>TBD_METHOD_SPECIFIC: range/resolution/bias/repeat spread/operator effects утверждаются до execution</x:v>
      </x:c>
      <x:c r="P95" s="26" t="str">
        <x:v>DESIGN_PLACEHOLDER_NOT_EXECUTABLE: item-specific hazard analysis, материалы, энергия, концентрация, СИЗ и отходы ещё не утверждены.</x:v>
      </x:c>
      <x:c r="Q95" s="26" t="str">
        <x:v>BLOCKED_BEFORE_START: до точного method/source review запрещено начинать; после review нужны наблюдаемые численные/событийные stop conditions.</x:v>
      </x:c>
      <x:c r="R95" s="26" t="str">
        <x:v>TBD_ITEM_SPECIFIC_AND_LOCAL: пока маршрут отходов не утверждён, физическое выполнение блокировано.</x:v>
      </x:c>
      <x:c r="S95" s="26" t="str">
        <x:v>S1_LOW_RISK_HOUSEHOLD</x:v>
      </x:c>
      <x:c r="T95" s="26" t="str">
        <x:v>S1 допускается только после замены всех DESIGN/TBD полей точным low-risk методом и независимой safety-проверки.</x:v>
      </x:c>
      <x:c r="U95" s="26" t="n">
        <x:v>3</x:v>
      </x:c>
      <x:c r="V95" s="26" t="str">
        <x:v>ANY_SAFE_PERIOD</x:v>
      </x:c>
      <x:c r="W95" s="26" t="str">
        <x:v>records/science/SCI-HEALTH-11/YYYY-MM-DD/</x:v>
      </x:c>
      <x:c r="X95" s="26" t="str">
        <x:v>PSP-051|PSP-094</x:v>
      </x:c>
      <x:c r="Y95" s="26" t="str">
        <x:v>PROVISIONAL_TOPIC_CANDIDATES_NOT_METHOD_REVIEWED</x:v>
      </x:c>
      <x:c r="Z95" s="26" t="str">
        <x:v>BLOCKED_UNTIL_EXACT_METHOD_SOURCE_SAFETY_AND_LOCAL_REVIEW</x:v>
      </x:c>
      <x:c r="AA95" s="26" t="str">
        <x:v>DESIGN_ONLY_NOT_EXECUTED</x:v>
      </x:c>
      <x:c r="AB9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5" s="26" t="str">
        <x:v>0.4</x:v>
      </x:c>
    </x:row>
    <x:row r="96">
      <x:c r="A96" s="53" t="str">
        <x:v>PRJ-093</x:v>
      </x:c>
      <x:c r="B96" s="53" t="str">
        <x:v>SCI-HEALTH-12</x:v>
      </x:c>
      <x:c r="C96" s="53" t="str">
        <x:v>HEALTH</x:v>
      </x:c>
      <x:c r="D96" s="53" t="str">
        <x:v>Практическая проверка: Профилактическая стоматология</x:v>
      </x:c>
      <x:c r="E96" s="53" t="str">
        <x:v>LOW_RISK_BENCH_OR_FIELD</x:v>
      </x:c>
      <x:c r="F96" s="53" t="str">
        <x:v>Объяснить базовую модель, выполнить допустимую для класса риска проверку и документировать пределы по теме «Профилактическая стоматология».</x:v>
      </x:c>
      <x:c r="G96" s="53" t="str">
        <x:v>SCI-HEALTH-11|SCI-METH-13|право остановить опыт|инструкция оборудования</x:v>
      </x:c>
      <x:c r="H96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96" s="53" t="str">
        <x:v>Сформулировать вопрос; записать метод и единицы; выполнить гигиена и распознавание срочности; процедуры запрещены; сохранить сырые данные; повторить; оценить неопределённость; сделать ограниченный вывод.</x:v>
      </x:c>
      <x:c r="J96" s="53" t="str">
        <x:v>гигиена и распознавание срочности; процедуры запрещены</x:v>
      </x:c>
      <x:c r="K96" s="53" t="str">
        <x:v>SI или явно названный стандарт</x:v>
      </x:c>
      <x:c r="L96" s="53" t="str">
        <x:v>TBD_BEFORE_EXECUTION_FROM_EXACT_METHOD: диапазон/критерий фиксируется до результата; post-hoc подгонка запрещена.</x:v>
      </x:c>
      <x:c r="M96" s="53" t="str">
        <x:v>сырые данные + фото/скриншот при допустимости + расчёт + uncertainty + подпись reviewer + hash пакета</x:v>
      </x:c>
      <x:c r="N96" s="53" t="n">
        <x:v>3</x:v>
      </x:c>
      <x:c r="O96" s="53" t="str">
        <x:v>TBD_METHOD_SPECIFIC: range/resolution/bias/repeat spread/operator effects утверждаются до execution</x:v>
      </x:c>
      <x:c r="P96" s="53" t="str">
        <x:v>DESIGN_PLACEHOLDER_NOT_EXECUTABLE: item-specific hazard analysis, материалы, энергия, концентрация, СИЗ и отходы ещё не утверждены.</x:v>
      </x:c>
      <x:c r="Q96" s="53" t="str">
        <x:v>BLOCKED_BEFORE_START: до точного method/source review запрещено начинать; после review нужны наблюдаемые численные/событийные stop conditions.</x:v>
      </x:c>
      <x:c r="R96" s="53" t="str">
        <x:v>TBD_ITEM_SPECIFIC_AND_LOCAL: пока маршрут отходов не утверждён, физическое выполнение блокировано.</x:v>
      </x:c>
      <x:c r="S96" s="53" t="str">
        <x:v>S1_LOW_RISK_HOUSEHOLD</x:v>
      </x:c>
      <x:c r="T96" s="53" t="str">
        <x:v>S1 допускается только после замены всех DESIGN/TBD полей точным low-risk методом и независимой safety-проверки.</x:v>
      </x:c>
      <x:c r="U96" s="53" t="n">
        <x:v>3</x:v>
      </x:c>
      <x:c r="V96" s="53" t="str">
        <x:v>ANY_SAFE_PERIOD</x:v>
      </x:c>
      <x:c r="W96" s="53" t="str">
        <x:v>records/science/SCI-HEALTH-12/YYYY-MM-DD/</x:v>
      </x:c>
      <x:c r="X96" s="53" t="str">
        <x:v>PSP-051|PSP-094</x:v>
      </x:c>
      <x:c r="Y96" s="53" t="str">
        <x:v>PROVISIONAL_TOPIC_CANDIDATES_NOT_METHOD_REVIEWED</x:v>
      </x:c>
      <x:c r="Z96" s="53" t="str">
        <x:v>BLOCKED_UNTIL_EXACT_METHOD_SOURCE_SAFETY_AND_LOCAL_REVIEW</x:v>
      </x:c>
      <x:c r="AA96" s="53" t="str">
        <x:v>DESIGN_ONLY_NOT_EXECUTED</x:v>
      </x:c>
      <x:c r="AB9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6" s="53" t="str">
        <x:v>0.4</x:v>
      </x:c>
    </x:row>
    <x:row r="97">
      <x:c r="A97" s="26" t="str">
        <x:v>PRJ-094</x:v>
      </x:c>
      <x:c r="B97" s="26" t="str">
        <x:v>SCI-HEALTH-13</x:v>
      </x:c>
      <x:c r="C97" s="26" t="str">
        <x:v>HEALTH</x:v>
      </x:c>
      <x:c r="D97" s="26" t="str">
        <x:v>Практическая проверка: Эргономика, усталость и профессиональные риски</x:v>
      </x:c>
      <x:c r="E97" s="26" t="str">
        <x:v>OBSERVATION_DATA_OR_CALCULATION</x:v>
      </x:c>
      <x:c r="F97" s="26" t="str">
        <x:v>Объяснить базовую модель, выполнить допустимую для класса риска проверку и документировать пределы по теме «Эргономика, усталость и профессиональные риски».</x:v>
      </x:c>
      <x:c r="G97" s="26" t="str">
        <x:v>SCI-HEALTH-12|SCI-METH-13|право остановить опыт|инструкция оборудования</x:v>
      </x:c>
      <x:c r="H97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97" s="26" t="str">
        <x:v>Сформулировать вопрос; записать метод и единицы; выполнить наблюдение рабочей позы, нагрузки и отдыха; сохранить сырые данные; повторить; оценить неопределённость; сделать ограниченный вывод.</x:v>
      </x:c>
      <x:c r="J97" s="26" t="str">
        <x:v>наблюдение рабочей позы, нагрузки и отдыха</x:v>
      </x:c>
      <x:c r="K97" s="26" t="str">
        <x:v>SI или явно названный стандарт</x:v>
      </x:c>
      <x:c r="L97" s="26" t="str">
        <x:v>TBD_BEFORE_EXECUTION_FROM_EXACT_METHOD: диапазон/критерий фиксируется до результата; post-hoc подгонка запрещена.</x:v>
      </x:c>
      <x:c r="M97" s="26" t="str">
        <x:v>сырые данные + фото/скриншот при допустимости + расчёт + uncertainty + подпись reviewer + hash пакета</x:v>
      </x:c>
      <x:c r="N97" s="26" t="n">
        <x:v>2</x:v>
      </x:c>
      <x:c r="O97" s="26" t="str">
        <x:v>TBD_METHOD_SPECIFIC: range/resolution/bias/repeat spread/operator effects утверждаются до execution</x:v>
      </x:c>
      <x:c r="P9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97" s="26" t="str">
        <x:v>STOP при неясных правах, происхождении данных, этическом конфликте или невозможности сохранить исходные данные.</x:v>
      </x:c>
      <x:c r="R97" s="26" t="str">
        <x:v>TBD_ITEM_SPECIFIC_AND_LOCAL: пока маршрут отходов не утверждён, физическое выполнение блокировано.</x:v>
      </x:c>
      <x:c r="S97" s="26" t="str">
        <x:v>S0_OBSERVE_READ</x:v>
      </x:c>
      <x:c r="T97" s="26" t="str">
        <x:v>Самостоятельно после проверки источника; опасное действие из текста не выполняется.</x:v>
      </x:c>
      <x:c r="U97" s="26" t="n">
        <x:v>3</x:v>
      </x:c>
      <x:c r="V97" s="26" t="str">
        <x:v>ANY_SAFE_PERIOD</x:v>
      </x:c>
      <x:c r="W97" s="26" t="str">
        <x:v>records/science/SCI-HEALTH-13/YYYY-MM-DD/</x:v>
      </x:c>
      <x:c r="X97" s="26" t="str">
        <x:v>PSP-066</x:v>
      </x:c>
      <x:c r="Y97" s="26" t="str">
        <x:v>PROVISIONAL_TOPIC_CANDIDATES_NOT_METHOD_REVIEWED</x:v>
      </x:c>
      <x:c r="Z97" s="26" t="str">
        <x:v>BLOCKED_UNTIL_EXACT_METHOD_SOURCE_SAFETY_AND_LOCAL_REVIEW</x:v>
      </x:c>
      <x:c r="AA97" s="26" t="str">
        <x:v>DESIGN_ONLY_NOT_EXECUTED</x:v>
      </x:c>
      <x:c r="AB9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7" s="26" t="str">
        <x:v>0.4</x:v>
      </x:c>
    </x:row>
    <x:row r="98">
      <x:c r="A98" s="53" t="str">
        <x:v>PRJ-095</x:v>
      </x:c>
      <x:c r="B98" s="53" t="str">
        <x:v>SCI-HEALTH-14</x:v>
      </x:c>
      <x:c r="C98" s="53" t="str">
        <x:v>HEALTH</x:v>
      </x:c>
      <x:c r="D98" s="53" t="str">
        <x:v>Практическая проверка: Токсикологическая информация и обращение в CIAV</x:v>
      </x:c>
      <x:c r="E98" s="53" t="str">
        <x:v>OBSERVATION_DATA_OR_CALCULATION</x:v>
      </x:c>
      <x:c r="F98" s="53" t="str">
        <x:v>Объяснить базовую модель, выполнить допустимую для класса риска проверку и документировать пределы по теме «Токсикологическая информация и обращение в CIAV».</x:v>
      </x:c>
      <x:c r="G98" s="53" t="str">
        <x:v>SCI-HEALTH-13|SCI-METH-13|право остановить опыт|инструкция оборудования</x:v>
      </x:c>
      <x:c r="H98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98" s="53" t="str">
        <x:v>Сформулировать вопрос; записать метод и единицы; выполнить идентификация продукта и подготовка точных данных; лечение не импровизируется; сохранить сырые данные; повторить; оценить неопределённость; сделать ограниченный вывод.</x:v>
      </x:c>
      <x:c r="J98" s="53" t="str">
        <x:v>идентификация продукта и подготовка точных данных; лечение не импровизируется</x:v>
      </x:c>
      <x:c r="K98" s="53" t="str">
        <x:v>SI или явно названный стандарт</x:v>
      </x:c>
      <x:c r="L98" s="53" t="str">
        <x:v>TBD_BEFORE_EXECUTION_FROM_EXACT_METHOD: диапазон/критерий фиксируется до результата; post-hoc подгонка запрещена.</x:v>
      </x:c>
      <x:c r="M98" s="53" t="str">
        <x:v>сырые данные + фото/скриншот при допустимости + расчёт + uncertainty + подпись reviewer + hash пакета</x:v>
      </x:c>
      <x:c r="N98" s="53" t="n">
        <x:v>2</x:v>
      </x:c>
      <x:c r="O98" s="53" t="str">
        <x:v>TBD_METHOD_SPECIFIC: range/resolution/bias/repeat spread/operator effects утверждаются до execution</x:v>
      </x:c>
      <x:c r="P9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98" s="53" t="str">
        <x:v>STOP при неясных правах, происхождении данных, этическом конфликте или невозможности сохранить исходные данные.</x:v>
      </x:c>
      <x:c r="R98" s="53" t="str">
        <x:v>TBD_ITEM_SPECIFIC_AND_LOCAL: пока маршрут отходов не утверждён, физическое выполнение блокировано.</x:v>
      </x:c>
      <x:c r="S98" s="53" t="str">
        <x:v>S0_OBSERVE_READ</x:v>
      </x:c>
      <x:c r="T98" s="53" t="str">
        <x:v>Самостоятельно после проверки источника; опасное действие из текста не выполняется.</x:v>
      </x:c>
      <x:c r="U98" s="53" t="n">
        <x:v>3</x:v>
      </x:c>
      <x:c r="V98" s="53" t="str">
        <x:v>ANY_SAFE_PERIOD</x:v>
      </x:c>
      <x:c r="W98" s="53" t="str">
        <x:v>records/science/SCI-HEALTH-14/YYYY-MM-DD/</x:v>
      </x:c>
      <x:c r="X98" s="53" t="str">
        <x:v>PSP-095|SUP-PHY-025</x:v>
      </x:c>
      <x:c r="Y98" s="53" t="str">
        <x:v>PROVISIONAL_TOPIC_CANDIDATES_NOT_METHOD_REVIEWED</x:v>
      </x:c>
      <x:c r="Z98" s="53" t="str">
        <x:v>BLOCKED_UNTIL_EXACT_METHOD_SOURCE_SAFETY_AND_LOCAL_REVIEW</x:v>
      </x:c>
      <x:c r="AA98" s="53" t="str">
        <x:v>DESIGN_ONLY_NOT_EXECUTED</x:v>
      </x:c>
      <x:c r="AB9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8" s="53" t="str">
        <x:v>0.4</x:v>
      </x:c>
    </x:row>
    <x:row r="99">
      <x:c r="A99" s="26" t="str">
        <x:v>PRJ-096</x:v>
      </x:c>
      <x:c r="B99" s="26" t="str">
        <x:v>SCI-HEALTH-15</x:v>
      </x:c>
      <x:c r="C99" s="26" t="str">
        <x:v>HEALTH</x:v>
      </x:c>
      <x:c r="D99" s="26" t="str">
        <x:v>Практическая проверка: Ветеринарное общественное здоровье и благополучие животных</x:v>
      </x:c>
      <x:c r="E99" s="26" t="str">
        <x:v>SUPERVISED_DEMONSTRATION_ONLY</x:v>
      </x:c>
      <x:c r="F99" s="26" t="str">
        <x:v>Объяснить базовую модель, выполнить допустимую для класса риска проверку и документировать пределы по теме «Ветеринарное общественное здоровье и благополучие животных».</x:v>
      </x:c>
      <x:c r="G99" s="26" t="str">
        <x:v>SCI-HEALTH-14|SCI-METH-13|право остановить опыт|инструкция оборудования</x:v>
      </x:c>
      <x:c r="H99" s="26" t="str">
        <x:v>TBD_NON_EXECUTABLE: точные item/model/material/range/PPE для официальный маршрут/неинвазивное наблюдение должны быть утверждены до начала</x:v>
      </x:c>
      <x:c r="I99" s="26" t="str">
        <x:v>До допуска: обучение и checklist. Затем только под компетентным надзором выполнить безопасную часть: маршрут к ветеринару и наблюдательный журнал без процедур. Результат и отклонения подписывает supervisor.</x:v>
      </x:c>
      <x:c r="J99" s="26" t="str">
        <x:v>маршрут к ветеринару и наблюдательный журнал без процедур</x:v>
      </x:c>
      <x:c r="K99" s="26" t="str">
        <x:v>SI или явно названный стандарт</x:v>
      </x:c>
      <x:c r="L99" s="26" t="str">
        <x:v>TBD_BEFORE_EXECUTION_FROM_EXACT_METHOD: диапазон/критерий фиксируется до результата; post-hoc подгонка запрещена.</x:v>
      </x:c>
      <x:c r="M99" s="26" t="str">
        <x:v>сырые данные + фото/скриншот при допустимости + расчёт + uncertainty + подпись reviewer + hash пакета</x:v>
      </x:c>
      <x:c r="N99" s="26" t="n">
        <x:v>1</x:v>
      </x:c>
      <x:c r="O99" s="26" t="str">
        <x:v>TBD_METHOD_SPECIFIC: range/resolution/bias/repeat spread/operator effects утверждаются до execution</x:v>
      </x:c>
      <x:c r="P99" s="26" t="str">
        <x:v>DESIGN_PLACEHOLDER_NOT_EXECUTABLE: item-specific hazard analysis, материалы, энергия, концентрация, СИЗ и отходы ещё не утверждены.</x:v>
      </x:c>
      <x:c r="Q99" s="26" t="str">
        <x:v>BLOCKED_BEFORE_START: до точного method/source review запрещено начинать; после review нужны наблюдаемые численные/событийные stop conditions.</x:v>
      </x:c>
      <x:c r="R99" s="26" t="str">
        <x:v>TBD_ITEM_SPECIFIC_AND_LOCAL: пока маршрут отходов не утверждён, физическое выполнение блокировано.</x:v>
      </x:c>
      <x:c r="S99" s="26" t="str">
        <x:v>S2_TRAINED_SUPERVISED</x:v>
      </x:c>
      <x:c r="T99" s="26" t="str">
        <x:v>Компетентный инструктор/ответственный специалист присутствует и может немедленно остановить работу.</x:v>
      </x:c>
      <x:c r="U99" s="26" t="n">
        <x:v>3</x:v>
      </x:c>
      <x:c r="V99" s="26" t="str">
        <x:v>ANY_SAFE_PERIOD</x:v>
      </x:c>
      <x:c r="W99" s="26" t="str">
        <x:v>records/science/SCI-HEALTH-15/YYYY-MM-DD/</x:v>
      </x:c>
      <x:c r="X99" s="26" t="str">
        <x:v>SUP-LEA-049|PSP-091</x:v>
      </x:c>
      <x:c r="Y99" s="26" t="str">
        <x:v>PROVISIONAL_TOPIC_CANDIDATES_NOT_METHOD_REVIEWED</x:v>
      </x:c>
      <x:c r="Z99" s="26" t="str">
        <x:v>BLOCKED_UNTIL_EXACT_METHOD_SOURCE_SAFETY_AND_LOCAL_REVIEW</x:v>
      </x:c>
      <x:c r="AA99" s="26" t="str">
        <x:v>DESIGN_ONLY_NOT_EXECUTED</x:v>
      </x:c>
      <x:c r="AB9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99" s="26" t="str">
        <x:v>0.4</x:v>
      </x:c>
    </x:row>
    <x:row r="100">
      <x:c r="A100" s="53" t="str">
        <x:v>PRJ-097</x:v>
      </x:c>
      <x:c r="B100" s="53" t="str">
        <x:v>SCI-HEALTH-16</x:v>
      </x:c>
      <x:c r="C100" s="53" t="str">
        <x:v>HEALTH</x:v>
      </x:c>
      <x:c r="D100" s="53" t="str">
        <x:v>Практическая проверка: Медицинские записи, приватность и передача информации</x:v>
      </x:c>
      <x:c r="E100" s="53" t="str">
        <x:v>OBSERVATION_DATA_OR_CALCULATION</x:v>
      </x:c>
      <x:c r="F100" s="53" t="str">
        <x:v>Объяснить базовую модель, выполнить допустимую для класса риска проверку и документировать пределы по теме «Медицинские записи, приватность и передача информации».</x:v>
      </x:c>
      <x:c r="G100" s="53" t="str">
        <x:v>SCI-HEALTH-15|SCI-METH-13|право остановить опыт|инструкция оборудования</x:v>
      </x:c>
      <x:c r="H100" s="53" t="str">
        <x:v>TBD_NON_EXECUTABLE: точные item/model/material/range/PPE для официальный маршрут/неинвазивное наблюдение должны быть утверждены до начала</x:v>
      </x:c>
      <x:c r="I100" s="53" t="str">
        <x:v>Сформулировать вопрос; записать метод и единицы; выполнить структурированный список лекарств/аллергий с контролем доступа; сохранить сырые данные; повторить; оценить неопределённость; сделать ограниченный вывод.</x:v>
      </x:c>
      <x:c r="J100" s="53" t="str">
        <x:v>структурированный список лекарств/аллергий с контролем доступа</x:v>
      </x:c>
      <x:c r="K100" s="53" t="str">
        <x:v>SI или явно названный стандарт</x:v>
      </x:c>
      <x:c r="L100" s="53" t="str">
        <x:v>TBD_BEFORE_EXECUTION_FROM_EXACT_METHOD: диапазон/критерий фиксируется до результата; post-hoc подгонка запрещена.</x:v>
      </x:c>
      <x:c r="M100" s="53" t="str">
        <x:v>сырые данные + фото/скриншот при допустимости + расчёт + uncertainty + подпись reviewer + hash пакета</x:v>
      </x:c>
      <x:c r="N100" s="53" t="n">
        <x:v>2</x:v>
      </x:c>
      <x:c r="O100" s="53" t="str">
        <x:v>TBD_METHOD_SPECIFIC: range/resolution/bias/repeat spread/operator effects утверждаются до execution</x:v>
      </x:c>
      <x:c r="P10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00" s="53" t="str">
        <x:v>STOP при неясных правах, происхождении данных, этическом конфликте или невозможности сохранить исходные данные.</x:v>
      </x:c>
      <x:c r="R100" s="53" t="str">
        <x:v>TBD_ITEM_SPECIFIC_AND_LOCAL: пока маршрут отходов не утверждён, физическое выполнение блокировано.</x:v>
      </x:c>
      <x:c r="S100" s="53" t="str">
        <x:v>S0_OBSERVE_READ</x:v>
      </x:c>
      <x:c r="T100" s="53" t="str">
        <x:v>Самостоятельно после проверки источника; опасное действие из текста не выполняется.</x:v>
      </x:c>
      <x:c r="U100" s="53" t="n">
        <x:v>3</x:v>
      </x:c>
      <x:c r="V100" s="53" t="str">
        <x:v>ANY_SAFE_PERIOD</x:v>
      </x:c>
      <x:c r="W100" s="53" t="str">
        <x:v>records/science/SCI-HEALTH-16/YYYY-MM-DD/</x:v>
      </x:c>
      <x:c r="X100" s="53" t="str">
        <x:v>PSP-117|PSP-094</x:v>
      </x:c>
      <x:c r="Y100" s="53" t="str">
        <x:v>PROVISIONAL_TOPIC_CANDIDATES_NOT_METHOD_REVIEWED</x:v>
      </x:c>
      <x:c r="Z100" s="53" t="str">
        <x:v>BLOCKED_UNTIL_EXACT_METHOD_SOURCE_SAFETY_AND_LOCAL_REVIEW</x:v>
      </x:c>
      <x:c r="AA100" s="53" t="str">
        <x:v>DESIGN_ONLY_NOT_EXECUTED</x:v>
      </x:c>
      <x:c r="AB10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0" s="53" t="str">
        <x:v>0.4</x:v>
      </x:c>
    </x:row>
    <x:row r="101">
      <x:c r="A101" s="26" t="str">
        <x:v>PRJ-098</x:v>
      </x:c>
      <x:c r="B101" s="26" t="str">
        <x:v>SCI-EARTH-01</x:v>
      </x:c>
      <x:c r="C101" s="26" t="str">
        <x:v>EARTH</x:v>
      </x:c>
      <x:c r="D101" s="26" t="str">
        <x:v>Практическая проверка: Минералы, горные породы и геологические процессы</x:v>
      </x:c>
      <x:c r="E101" s="26" t="str">
        <x:v>LOW_RISK_BENCH_OR_FIELD</x:v>
      </x:c>
      <x:c r="F101" s="26" t="str">
        <x:v>Объяснить базовую модель, выполнить допустимую для класса риска проверку и документировать пределы по теме «Минералы, горные породы и геологические процессы».</x:v>
      </x:c>
      <x:c r="G101" s="26" t="str">
        <x:v>SCI-METH-01|SCI-METH-07|SCI-METH-14|право остановить опыт|инструкция оборудования</x:v>
      </x:c>
      <x:c r="H101" s="26" t="str">
        <x:v>TBD_NON_EXECUTABLE: точные item/model/material/range/PPE для пространственно-временной ряд должны быть утверждены до начала</x:v>
      </x:c>
      <x:c r="I101" s="26" t="str">
        <x:v>Сформулировать вопрос; записать метод и единицы; выполнить неразрушающее описание образца без шахт/обрывов; сохранить сырые данные; повторить; оценить неопределённость; сделать ограниченный вывод.</x:v>
      </x:c>
      <x:c r="J101" s="26" t="str">
        <x:v>неразрушающее описание образца без шахт/обрывов</x:v>
      </x:c>
      <x:c r="K101" s="26" t="str">
        <x:v>SI или явно названный стандарт</x:v>
      </x:c>
      <x:c r="L101" s="26" t="str">
        <x:v>TBD_BEFORE_EXECUTION_FROM_EXACT_METHOD: диапазон/критерий фиксируется до результата; post-hoc подгонка запрещена.</x:v>
      </x:c>
      <x:c r="M101" s="26" t="str">
        <x:v>сырые данные + фото/скриншот при допустимости + расчёт + uncertainty + подпись reviewer + hash пакета</x:v>
      </x:c>
      <x:c r="N101" s="26" t="n">
        <x:v>3</x:v>
      </x:c>
      <x:c r="O101" s="26" t="str">
        <x:v>TBD_METHOD_SPECIFIC: range/resolution/bias/repeat spread/operator effects утверждаются до execution</x:v>
      </x:c>
      <x:c r="P101" s="26" t="str">
        <x:v>DESIGN_PLACEHOLDER_NOT_EXECUTABLE: item-specific hazard analysis, материалы, энергия, концентрация, СИЗ и отходы ещё не утверждены.</x:v>
      </x:c>
      <x:c r="Q101" s="26" t="str">
        <x:v>BLOCKED_BEFORE_START: до точного method/source review запрещено начинать; после review нужны наблюдаемые численные/событийные stop conditions.</x:v>
      </x:c>
      <x:c r="R101" s="26" t="str">
        <x:v>TBD_ITEM_SPECIFIC_AND_LOCAL: пока маршрут отходов не утверждён, физическое выполнение блокировано.</x:v>
      </x:c>
      <x:c r="S101" s="26" t="str">
        <x:v>S1_LOW_RISK_HOUSEHOLD</x:v>
      </x:c>
      <x:c r="T101" s="26" t="str">
        <x:v>S1 допускается только после замены всех DESIGN/TBD полей точным low-risk методом и независимой safety-проверки.</x:v>
      </x:c>
      <x:c r="U101" s="26" t="n">
        <x:v>3</x:v>
      </x:c>
      <x:c r="V101" s="26" t="str">
        <x:v>TBD_LOCAL_SEASON</x:v>
      </x:c>
      <x:c r="W101" s="26" t="str">
        <x:v>records/science/SCI-EARTH-01/YYYY-MM-DD/</x:v>
      </x:c>
      <x:c r="X101" s="26" t="str">
        <x:v>PSP-033|PSP-088</x:v>
      </x:c>
      <x:c r="Y101" s="26" t="str">
        <x:v>PROVISIONAL_TOPIC_CANDIDATES_NOT_METHOD_REVIEWED</x:v>
      </x:c>
      <x:c r="Z101" s="26" t="str">
        <x:v>BLOCKED_UNTIL_EXACT_METHOD_SOURCE_SAFETY_AND_LOCAL_REVIEW</x:v>
      </x:c>
      <x:c r="AA101" s="26" t="str">
        <x:v>DESIGN_ONLY_NOT_EXECUTED</x:v>
      </x:c>
      <x:c r="AB10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1" s="26" t="str">
        <x:v>0.4</x:v>
      </x:c>
    </x:row>
    <x:row r="102">
      <x:c r="A102" s="53" t="str">
        <x:v>PRJ-099</x:v>
      </x:c>
      <x:c r="B102" s="53" t="str">
        <x:v>SCI-EARTH-02</x:v>
      </x:c>
      <x:c r="C102" s="53" t="str">
        <x:v>EARTH</x:v>
      </x:c>
      <x:c r="D102" s="53" t="str">
        <x:v>Практическая проверка: Рельеф, эрозия и геоморфология</x:v>
      </x:c>
      <x:c r="E102" s="53" t="str">
        <x:v>LOW_RISK_BENCH_OR_FIELD</x:v>
      </x:c>
      <x:c r="F102" s="53" t="str">
        <x:v>Объяснить базовую модель, выполнить допустимую для класса риска проверку и документировать пределы по теме «Рельеф, эрозия и геоморфология».</x:v>
      </x:c>
      <x:c r="G102" s="53" t="str">
        <x:v>SCI-EARTH-01|SCI-METH-13|право остановить опыт|инструкция оборудования</x:v>
      </x:c>
      <x:c r="H102" s="53" t="str">
        <x:v>TBD_NON_EXECUTABLE: точные item/model/material/range/PPE для пространственно-временной ряд должны быть утверждены до начала</x:v>
      </x:c>
      <x:c r="I102" s="53" t="str">
        <x:v>Сформулировать вопрос; записать метод и единицы; выполнить повторная фото-точка безопасного склона/берега; сохранить сырые данные; повторить; оценить неопределённость; сделать ограниченный вывод.</x:v>
      </x:c>
      <x:c r="J102" s="53" t="str">
        <x:v>повторная фото-точка безопасного склона/берега</x:v>
      </x:c>
      <x:c r="K102" s="53" t="str">
        <x:v>SI или явно названный стандарт</x:v>
      </x:c>
      <x:c r="L102" s="53" t="str">
        <x:v>TBD_BEFORE_EXECUTION_FROM_EXACT_METHOD: диапазон/критерий фиксируется до результата; post-hoc подгонка запрещена.</x:v>
      </x:c>
      <x:c r="M102" s="53" t="str">
        <x:v>сырые данные + фото/скриншот при допустимости + расчёт + uncertainty + подпись reviewer + hash пакета</x:v>
      </x:c>
      <x:c r="N102" s="53" t="n">
        <x:v>3</x:v>
      </x:c>
      <x:c r="O102" s="53" t="str">
        <x:v>TBD_METHOD_SPECIFIC: range/resolution/bias/repeat spread/operator effects утверждаются до execution</x:v>
      </x:c>
      <x:c r="P102" s="53" t="str">
        <x:v>DESIGN_PLACEHOLDER_NOT_EXECUTABLE: item-specific hazard analysis, материалы, энергия, концентрация, СИЗ и отходы ещё не утверждены.</x:v>
      </x:c>
      <x:c r="Q102" s="53" t="str">
        <x:v>BLOCKED_BEFORE_START: до точного method/source review запрещено начинать; после review нужны наблюдаемые численные/событийные stop conditions.</x:v>
      </x:c>
      <x:c r="R102" s="53" t="str">
        <x:v>TBD_ITEM_SPECIFIC_AND_LOCAL: пока маршрут отходов не утверждён, физическое выполнение блокировано.</x:v>
      </x:c>
      <x:c r="S102" s="53" t="str">
        <x:v>S1_LOW_RISK_HOUSEHOLD</x:v>
      </x:c>
      <x:c r="T102" s="53" t="str">
        <x:v>S1 допускается только после замены всех DESIGN/TBD полей точным low-risk методом и независимой safety-проверки.</x:v>
      </x:c>
      <x:c r="U102" s="53" t="n">
        <x:v>3</x:v>
      </x:c>
      <x:c r="V102" s="53" t="str">
        <x:v>TBD_LOCAL_SEASON</x:v>
      </x:c>
      <x:c r="W102" s="53" t="str">
        <x:v>records/science/SCI-EARTH-02/YYYY-MM-DD/</x:v>
      </x:c>
      <x:c r="X102" s="53" t="str">
        <x:v>PSP-033|PSP-088</x:v>
      </x:c>
      <x:c r="Y102" s="53" t="str">
        <x:v>PROVISIONAL_TOPIC_CANDIDATES_NOT_METHOD_REVIEWED</x:v>
      </x:c>
      <x:c r="Z102" s="53" t="str">
        <x:v>BLOCKED_UNTIL_EXACT_METHOD_SOURCE_SAFETY_AND_LOCAL_REVIEW</x:v>
      </x:c>
      <x:c r="AA102" s="53" t="str">
        <x:v>DESIGN_ONLY_NOT_EXECUTED</x:v>
      </x:c>
      <x:c r="AB10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2" s="53" t="str">
        <x:v>0.4</x:v>
      </x:c>
    </x:row>
    <x:row r="103">
      <x:c r="A103" s="26" t="str">
        <x:v>PRJ-100</x:v>
      </x:c>
      <x:c r="B103" s="26" t="str">
        <x:v>SCI-EARTH-03</x:v>
      </x:c>
      <x:c r="C103" s="26" t="str">
        <x:v>EARTH</x:v>
      </x:c>
      <x:c r="D103" s="26" t="str">
        <x:v>Практическая проверка: Почва: горизонты, текстура и структура</x:v>
      </x:c>
      <x:c r="E103" s="26" t="str">
        <x:v>LOW_RISK_BENCH_OR_FIELD</x:v>
      </x:c>
      <x:c r="F103" s="26" t="str">
        <x:v>Объяснить базовую модель, выполнить допустимую для класса риска проверку и документировать пределы по теме «Почва: горизонты, текстура и структура».</x:v>
      </x:c>
      <x:c r="G103" s="26" t="str">
        <x:v>SCI-EARTH-02|SCI-METH-13|право остановить опыт|инструкция оборудования</x:v>
      </x:c>
      <x:c r="H103" s="26" t="str">
        <x:v>TBD_NON_EXECUTABLE: точные item/model/material/range/PPE для пространственно-временной ряд должны быть утверждены до начала</x:v>
      </x:c>
      <x:c r="I103" s="26" t="str">
        <x:v>Сформулировать вопрос; записать метод и единицы; выполнить полевое описание неглубокой безопасной пробы; сохранить сырые данные; повторить; оценить неопределённость; сделать ограниченный вывод.</x:v>
      </x:c>
      <x:c r="J103" s="26" t="str">
        <x:v>полевое описание неглубокой безопасной пробы</x:v>
      </x:c>
      <x:c r="K103" s="26" t="str">
        <x:v>SI или явно названный стандарт</x:v>
      </x:c>
      <x:c r="L103" s="26" t="str">
        <x:v>TBD_BEFORE_EXECUTION_FROM_EXACT_METHOD: диапазон/критерий фиксируется до результата; post-hoc подгонка запрещена.</x:v>
      </x:c>
      <x:c r="M103" s="26" t="str">
        <x:v>сырые данные + фото/скриншот при допустимости + расчёт + uncertainty + подпись reviewer + hash пакета</x:v>
      </x:c>
      <x:c r="N103" s="26" t="n">
        <x:v>3</x:v>
      </x:c>
      <x:c r="O103" s="26" t="str">
        <x:v>TBD_METHOD_SPECIFIC: range/resolution/bias/repeat spread/operator effects утверждаются до execution</x:v>
      </x:c>
      <x:c r="P103" s="26" t="str">
        <x:v>DESIGN_PLACEHOLDER_NOT_EXECUTABLE: item-specific hazard analysis, материалы, энергия, концентрация, СИЗ и отходы ещё не утверждены.</x:v>
      </x:c>
      <x:c r="Q103" s="26" t="str">
        <x:v>BLOCKED_BEFORE_START: до точного method/source review запрещено начинать; после review нужны наблюдаемые численные/событийные stop conditions.</x:v>
      </x:c>
      <x:c r="R103" s="26" t="str">
        <x:v>TBD_ITEM_SPECIFIC_AND_LOCAL: пока маршрут отходов не утверждён, физическое выполнение блокировано.</x:v>
      </x:c>
      <x:c r="S103" s="26" t="str">
        <x:v>S1_LOW_RISK_HOUSEHOLD</x:v>
      </x:c>
      <x:c r="T103" s="26" t="str">
        <x:v>S1 допускается только после замены всех DESIGN/TBD полей точным low-risk методом и независимой safety-проверки.</x:v>
      </x:c>
      <x:c r="U103" s="26" t="n">
        <x:v>3</x:v>
      </x:c>
      <x:c r="V103" s="26" t="str">
        <x:v>TBD_LOCAL_SEASON</x:v>
      </x:c>
      <x:c r="W103" s="26" t="str">
        <x:v>records/science/SCI-EARTH-03/YYYY-MM-DD/</x:v>
      </x:c>
      <x:c r="X103" s="26" t="str">
        <x:v>PSP-045|SUP-LEA-012</x:v>
      </x:c>
      <x:c r="Y103" s="26" t="str">
        <x:v>PROVISIONAL_TOPIC_CANDIDATES_NOT_METHOD_REVIEWED</x:v>
      </x:c>
      <x:c r="Z103" s="26" t="str">
        <x:v>BLOCKED_UNTIL_EXACT_METHOD_SOURCE_SAFETY_AND_LOCAL_REVIEW</x:v>
      </x:c>
      <x:c r="AA103" s="26" t="str">
        <x:v>DESIGN_ONLY_NOT_EXECUTED</x:v>
      </x:c>
      <x:c r="AB10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3" s="26" t="str">
        <x:v>0.4</x:v>
      </x:c>
    </x:row>
    <x:row r="104">
      <x:c r="A104" s="53" t="str">
        <x:v>PRJ-101</x:v>
      </x:c>
      <x:c r="B104" s="53" t="str">
        <x:v>SCI-EARTH-04</x:v>
      </x:c>
      <x:c r="C104" s="53" t="str">
        <x:v>EARTH</x:v>
      </x:c>
      <x:c r="D104" s="53" t="str">
        <x:v>Практическая проверка: Поверхностная вода, водосбор и сток</x:v>
      </x:c>
      <x:c r="E104" s="53" t="str">
        <x:v>LOW_RISK_BENCH_OR_FIELD</x:v>
      </x:c>
      <x:c r="F104" s="53" t="str">
        <x:v>Объяснить базовую модель, выполнить допустимую для класса риска проверку и документировать пределы по теме «Поверхностная вода, водосбор и сток».</x:v>
      </x:c>
      <x:c r="G104" s="53" t="str">
        <x:v>SCI-EARTH-03|SCI-METH-13|право остановить опыт|инструкция оборудования</x:v>
      </x:c>
      <x:c r="H104" s="53" t="str">
        <x:v>TBD_NON_EXECUTABLE: точные item/model/material/range/PPE для пространственно-временной ряд должны быть утверждены до начала</x:v>
      </x:c>
      <x:c r="I104" s="53" t="str">
        <x:v>Сформулировать вопрос; записать метод и единицы; выполнить карта водосбора и наблюдение потока без входа в паводковую воду; сохранить сырые данные; повторить; оценить неопределённость; сделать ограниченный вывод.</x:v>
      </x:c>
      <x:c r="J104" s="53" t="str">
        <x:v>карта водосбора и наблюдение потока без входа в паводковую воду</x:v>
      </x:c>
      <x:c r="K104" s="53" t="str">
        <x:v>SI или явно названный стандарт</x:v>
      </x:c>
      <x:c r="L104" s="53" t="str">
        <x:v>TBD_BEFORE_EXECUTION_FROM_EXACT_METHOD: диапазон/критерий фиксируется до результата; post-hoc подгонка запрещена.</x:v>
      </x:c>
      <x:c r="M104" s="53" t="str">
        <x:v>сырые данные + фото/скриншот при допустимости + расчёт + uncertainty + подпись reviewer + hash пакета</x:v>
      </x:c>
      <x:c r="N104" s="53" t="n">
        <x:v>3</x:v>
      </x:c>
      <x:c r="O104" s="53" t="str">
        <x:v>TBD_METHOD_SPECIFIC: range/resolution/bias/repeat spread/operator effects утверждаются до execution</x:v>
      </x:c>
      <x:c r="P104" s="53" t="str">
        <x:v>DESIGN_PLACEHOLDER_NOT_EXECUTABLE: item-specific hazard analysis, материалы, энергия, концентрация, СИЗ и отходы ещё не утверждены.</x:v>
      </x:c>
      <x:c r="Q104" s="53" t="str">
        <x:v>BLOCKED_BEFORE_START: до точного method/source review запрещено начинать; после review нужны наблюдаемые численные/событийные stop conditions.</x:v>
      </x:c>
      <x:c r="R104" s="53" t="str">
        <x:v>TBD_ITEM_SPECIFIC_AND_LOCAL: пока маршрут отходов не утверждён, физическое выполнение блокировано.</x:v>
      </x:c>
      <x:c r="S104" s="53" t="str">
        <x:v>S1_LOW_RISK_HOUSEHOLD</x:v>
      </x:c>
      <x:c r="T104" s="53" t="str">
        <x:v>S1 допускается только после замены всех DESIGN/TBD полей точным low-risk методом и независимой safety-проверки.</x:v>
      </x:c>
      <x:c r="U104" s="53" t="n">
        <x:v>3</x:v>
      </x:c>
      <x:c r="V104" s="53" t="str">
        <x:v>TBD_LOCAL_SEASON</x:v>
      </x:c>
      <x:c r="W104" s="53" t="str">
        <x:v>records/science/SCI-EARTH-04/YYYY-MM-DD/</x:v>
      </x:c>
      <x:c r="X104" s="53" t="str">
        <x:v>PSP-032|PSP-089</x:v>
      </x:c>
      <x:c r="Y104" s="53" t="str">
        <x:v>PROVISIONAL_TOPIC_CANDIDATES_NOT_METHOD_REVIEWED</x:v>
      </x:c>
      <x:c r="Z104" s="53" t="str">
        <x:v>BLOCKED_UNTIL_EXACT_METHOD_SOURCE_SAFETY_AND_LOCAL_REVIEW</x:v>
      </x:c>
      <x:c r="AA104" s="53" t="str">
        <x:v>DESIGN_ONLY_NOT_EXECUTED</x:v>
      </x:c>
      <x:c r="AB10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4" s="53" t="str">
        <x:v>0.4</x:v>
      </x:c>
    </x:row>
    <x:row r="105">
      <x:c r="A105" s="26" t="str">
        <x:v>PRJ-102</x:v>
      </x:c>
      <x:c r="B105" s="26" t="str">
        <x:v>SCI-EARTH-05</x:v>
      </x:c>
      <x:c r="C105" s="26" t="str">
        <x:v>EARTH</x:v>
      </x:c>
      <x:c r="D105" s="26" t="str">
        <x:v>Практическая проверка: Грунтовые воды и уязвимость источников</x:v>
      </x:c>
      <x:c r="E105" s="26" t="str">
        <x:v>OBSERVATION_DATA_OR_CALCULATION</x:v>
      </x:c>
      <x:c r="F105" s="26" t="str">
        <x:v>Объяснить базовую модель, выполнить допустимую для класса риска проверку и документировать пределы по теме «Грунтовые воды и уязвимость источников».</x:v>
      </x:c>
      <x:c r="G105" s="26" t="str">
        <x:v>SCI-EARTH-04|SCI-METH-13|право остановить опыт|инструкция оборудования</x:v>
      </x:c>
      <x:c r="H105" s="26" t="str">
        <x:v>TBD_NON_EXECUTABLE: точные item/model/material/range/PPE для пространственно-временной ряд должны быть утверждены до начала</x:v>
      </x:c>
      <x:c r="I105" s="26" t="str">
        <x:v>Сформулировать вопрос; записать метод и единицы; выполнить интерпретация официальной гидрогеологической карты; сохранить сырые данные; повторить; оценить неопределённость; сделать ограниченный вывод.</x:v>
      </x:c>
      <x:c r="J105" s="26" t="str">
        <x:v>интерпретация официальной гидрогеологической карты</x:v>
      </x:c>
      <x:c r="K105" s="26" t="str">
        <x:v>SI или явно названный стандарт</x:v>
      </x:c>
      <x:c r="L105" s="26" t="str">
        <x:v>TBD_BEFORE_EXECUTION_FROM_EXACT_METHOD: диапазон/критерий фиксируется до результата; post-hoc подгонка запрещена.</x:v>
      </x:c>
      <x:c r="M105" s="26" t="str">
        <x:v>сырые данные + фото/скриншот при допустимости + расчёт + uncertainty + подпись reviewer + hash пакета</x:v>
      </x:c>
      <x:c r="N105" s="26" t="n">
        <x:v>2</x:v>
      </x:c>
      <x:c r="O105" s="26" t="str">
        <x:v>TBD_METHOD_SPECIFIC: range/resolution/bias/repeat spread/operator effects утверждаются до execution</x:v>
      </x:c>
      <x:c r="P10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05" s="26" t="str">
        <x:v>STOP при неясных правах, происхождении данных, этическом конфликте или невозможности сохранить исходные данные.</x:v>
      </x:c>
      <x:c r="R105" s="26" t="str">
        <x:v>TBD_ITEM_SPECIFIC_AND_LOCAL: пока маршрут отходов не утверждён, физическое выполнение блокировано.</x:v>
      </x:c>
      <x:c r="S105" s="26" t="str">
        <x:v>S0_OBSERVE_READ</x:v>
      </x:c>
      <x:c r="T105" s="26" t="str">
        <x:v>Самостоятельно после проверки источника; опасное действие из текста не выполняется.</x:v>
      </x:c>
      <x:c r="U105" s="26" t="n">
        <x:v>3</x:v>
      </x:c>
      <x:c r="V105" s="26" t="str">
        <x:v>TBD_LOCAL_SEASON</x:v>
      </x:c>
      <x:c r="W105" s="26" t="str">
        <x:v>records/science/SCI-EARTH-05/YYYY-MM-DD/</x:v>
      </x:c>
      <x:c r="X105" s="26" t="str">
        <x:v>PSP-032|PSP-089</x:v>
      </x:c>
      <x:c r="Y105" s="26" t="str">
        <x:v>PROVISIONAL_TOPIC_CANDIDATES_NOT_METHOD_REVIEWED</x:v>
      </x:c>
      <x:c r="Z105" s="26" t="str">
        <x:v>BLOCKED_UNTIL_EXACT_METHOD_SOURCE_SAFETY_AND_LOCAL_REVIEW</x:v>
      </x:c>
      <x:c r="AA105" s="26" t="str">
        <x:v>DESIGN_ONLY_NOT_EXECUTED</x:v>
      </x:c>
      <x:c r="AB10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5" s="26" t="str">
        <x:v>0.4</x:v>
      </x:c>
    </x:row>
    <x:row r="106">
      <x:c r="A106" s="53" t="str">
        <x:v>PRJ-103</x:v>
      </x:c>
      <x:c r="B106" s="53" t="str">
        <x:v>SCI-EARTH-06</x:v>
      </x:c>
      <x:c r="C106" s="53" t="str">
        <x:v>EARTH</x:v>
      </x:c>
      <x:c r="D106" s="53" t="str">
        <x:v>Практическая проверка: Погода, наблюдения и прогноз</x:v>
      </x:c>
      <x:c r="E106" s="53" t="str">
        <x:v>LOW_RISK_BENCH_OR_FIELD</x:v>
      </x:c>
      <x:c r="F106" s="53" t="str">
        <x:v>Объяснить базовую модель, выполнить допустимую для класса риска проверку и документировать пределы по теме «Погода, наблюдения и прогноз».</x:v>
      </x:c>
      <x:c r="G106" s="53" t="str">
        <x:v>SCI-EARTH-05|SCI-METH-13|право остановить опыт|инструкция оборудования</x:v>
      </x:c>
      <x:c r="H106" s="53" t="str">
        <x:v>TBD_NON_EXECUTABLE: точные item/model/material/range/PPE для пространственно-временной ряд должны быть утверждены до начала</x:v>
      </x:c>
      <x:c r="I106" s="53" t="str">
        <x:v>Сформулировать вопрос; записать метод и единицы; выполнить ежедневный ряд температуры, давления и осадков; сохранить сырые данные; повторить; оценить неопределённость; сделать ограниченный вывод.</x:v>
      </x:c>
      <x:c r="J106" s="53" t="str">
        <x:v>ежедневный ряд температуры, давления и осадков</x:v>
      </x:c>
      <x:c r="K106" s="53" t="str">
        <x:v>SI или явно названный стандарт</x:v>
      </x:c>
      <x:c r="L106" s="53" t="str">
        <x:v>TBD_BEFORE_EXECUTION_FROM_EXACT_METHOD: диапазон/критерий фиксируется до результата; post-hoc подгонка запрещена.</x:v>
      </x:c>
      <x:c r="M106" s="53" t="str">
        <x:v>сырые данные + фото/скриншот при допустимости + расчёт + uncertainty + подпись reviewer + hash пакета</x:v>
      </x:c>
      <x:c r="N106" s="53" t="n">
        <x:v>3</x:v>
      </x:c>
      <x:c r="O106" s="53" t="str">
        <x:v>TBD_METHOD_SPECIFIC: range/resolution/bias/repeat spread/operator effects утверждаются до execution</x:v>
      </x:c>
      <x:c r="P106" s="53" t="str">
        <x:v>DESIGN_PLACEHOLDER_NOT_EXECUTABLE: item-specific hazard analysis, материалы, энергия, концентрация, СИЗ и отходы ещё не утверждены.</x:v>
      </x:c>
      <x:c r="Q106" s="53" t="str">
        <x:v>BLOCKED_BEFORE_START: до точного method/source review запрещено начинать; после review нужны наблюдаемые численные/событийные stop conditions.</x:v>
      </x:c>
      <x:c r="R106" s="53" t="str">
        <x:v>TBD_ITEM_SPECIFIC_AND_LOCAL: пока маршрут отходов не утверждён, физическое выполнение блокировано.</x:v>
      </x:c>
      <x:c r="S106" s="53" t="str">
        <x:v>S1_LOW_RISK_HOUSEHOLD</x:v>
      </x:c>
      <x:c r="T106" s="53" t="str">
        <x:v>S1 допускается только после замены всех DESIGN/TBD полей точным low-risk методом и независимой safety-проверки.</x:v>
      </x:c>
      <x:c r="U106" s="53" t="n">
        <x:v>3</x:v>
      </x:c>
      <x:c r="V106" s="53" t="str">
        <x:v>TBD_LOCAL_SEASON</x:v>
      </x:c>
      <x:c r="W106" s="53" t="str">
        <x:v>records/science/SCI-EARTH-06/YYYY-MM-DD/</x:v>
      </x:c>
      <x:c r="X106" s="53" t="str">
        <x:v>PSP-090|PSP-035</x:v>
      </x:c>
      <x:c r="Y106" s="53" t="str">
        <x:v>PROVISIONAL_TOPIC_CANDIDATES_NOT_METHOD_REVIEWED</x:v>
      </x:c>
      <x:c r="Z106" s="53" t="str">
        <x:v>BLOCKED_UNTIL_EXACT_METHOD_SOURCE_SAFETY_AND_LOCAL_REVIEW</x:v>
      </x:c>
      <x:c r="AA106" s="53" t="str">
        <x:v>DESIGN_ONLY_NOT_EXECUTED</x:v>
      </x:c>
      <x:c r="AB10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6" s="53" t="str">
        <x:v>0.4</x:v>
      </x:c>
    </x:row>
    <x:row r="107">
      <x:c r="A107" s="26" t="str">
        <x:v>PRJ-104</x:v>
      </x:c>
      <x:c r="B107" s="26" t="str">
        <x:v>SCI-EARTH-07</x:v>
      </x:c>
      <x:c r="C107" s="26" t="str">
        <x:v>EARTH</x:v>
      </x:c>
      <x:c r="D107" s="26" t="str">
        <x:v>Практическая проверка: Климат, нормы и экстремумы</x:v>
      </x:c>
      <x:c r="E107" s="26" t="str">
        <x:v>LOW_RISK_BENCH_OR_FIELD</x:v>
      </x:c>
      <x:c r="F107" s="26" t="str">
        <x:v>Объяснить базовую модель, выполнить допустимую для класса риска проверку и документировать пределы по теме «Климат, нормы и экстремумы».</x:v>
      </x:c>
      <x:c r="G107" s="26" t="str">
        <x:v>SCI-EARTH-06|SCI-METH-13|право остановить опыт|инструкция оборудования</x:v>
      </x:c>
      <x:c r="H107" s="26" t="str">
        <x:v>TBD_NON_EXECUTABLE: точные item/model/material/range/PPE для пространственно-временной ряд должны быть утверждены до начала</x:v>
      </x:c>
      <x:c r="I107" s="26" t="str">
        <x:v>Сформулировать вопрос; записать метод и единицы; выполнить сравнение локального ряда с официальной климатической нормой; сохранить сырые данные; повторить; оценить неопределённость; сделать ограниченный вывод.</x:v>
      </x:c>
      <x:c r="J107" s="26" t="str">
        <x:v>сравнение локального ряда с официальной климатической нормой</x:v>
      </x:c>
      <x:c r="K107" s="26" t="str">
        <x:v>SI или явно названный стандарт</x:v>
      </x:c>
      <x:c r="L107" s="26" t="str">
        <x:v>TBD_BEFORE_EXECUTION_FROM_EXACT_METHOD: диапазон/критерий фиксируется до результата; post-hoc подгонка запрещена.</x:v>
      </x:c>
      <x:c r="M107" s="26" t="str">
        <x:v>сырые данные + фото/скриншот при допустимости + расчёт + uncertainty + подпись reviewer + hash пакета</x:v>
      </x:c>
      <x:c r="N107" s="26" t="n">
        <x:v>3</x:v>
      </x:c>
      <x:c r="O107" s="26" t="str">
        <x:v>TBD_METHOD_SPECIFIC: range/resolution/bias/repeat spread/operator effects утверждаются до execution</x:v>
      </x:c>
      <x:c r="P107" s="26" t="str">
        <x:v>DESIGN_PLACEHOLDER_NOT_EXECUTABLE: item-specific hazard analysis, материалы, энергия, концентрация, СИЗ и отходы ещё не утверждены.</x:v>
      </x:c>
      <x:c r="Q107" s="26" t="str">
        <x:v>BLOCKED_BEFORE_START: до точного method/source review запрещено начинать; после review нужны наблюдаемые численные/событийные stop conditions.</x:v>
      </x:c>
      <x:c r="R107" s="26" t="str">
        <x:v>TBD_ITEM_SPECIFIC_AND_LOCAL: пока маршрут отходов не утверждён, физическое выполнение блокировано.</x:v>
      </x:c>
      <x:c r="S107" s="26" t="str">
        <x:v>S1_LOW_RISK_HOUSEHOLD</x:v>
      </x:c>
      <x:c r="T107" s="26" t="str">
        <x:v>S1 допускается только после замены всех DESIGN/TBD полей точным low-risk методом и независимой safety-проверки.</x:v>
      </x:c>
      <x:c r="U107" s="26" t="n">
        <x:v>3</x:v>
      </x:c>
      <x:c r="V107" s="26" t="str">
        <x:v>TBD_LOCAL_SEASON</x:v>
      </x:c>
      <x:c r="W107" s="26" t="str">
        <x:v>records/science/SCI-EARTH-07/YYYY-MM-DD/</x:v>
      </x:c>
      <x:c r="X107" s="26" t="str">
        <x:v>PSP-090|PSP-035</x:v>
      </x:c>
      <x:c r="Y107" s="26" t="str">
        <x:v>PROVISIONAL_TOPIC_CANDIDATES_NOT_METHOD_REVIEWED</x:v>
      </x:c>
      <x:c r="Z107" s="26" t="str">
        <x:v>BLOCKED_UNTIL_EXACT_METHOD_SOURCE_SAFETY_AND_LOCAL_REVIEW</x:v>
      </x:c>
      <x:c r="AA107" s="26" t="str">
        <x:v>DESIGN_ONLY_NOT_EXECUTED</x:v>
      </x:c>
      <x:c r="AB10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7" s="26" t="str">
        <x:v>0.4</x:v>
      </x:c>
    </x:row>
    <x:row r="108">
      <x:c r="A108" s="53" t="str">
        <x:v>PRJ-105</x:v>
      </x:c>
      <x:c r="B108" s="53" t="str">
        <x:v>SCI-EARTH-08</x:v>
      </x:c>
      <x:c r="C108" s="53" t="str">
        <x:v>EARTH</x:v>
      </x:c>
      <x:c r="D108" s="53" t="str">
        <x:v>Практическая проверка: Океан, приливы, волны и побережье</x:v>
      </x:c>
      <x:c r="E108" s="53" t="str">
        <x:v>OBSERVATION_DATA_OR_CALCULATION</x:v>
      </x:c>
      <x:c r="F108" s="53" t="str">
        <x:v>Объяснить базовую модель, выполнить допустимую для класса риска проверку и документировать пределы по теме «Океан, приливы, волны и побережье».</x:v>
      </x:c>
      <x:c r="G108" s="53" t="str">
        <x:v>SCI-EARTH-07|SCI-METH-13|право остановить опыт|инструкция оборудования</x:v>
      </x:c>
      <x:c r="H108" s="53" t="str">
        <x:v>TBD_NON_EXECUTABLE: точные item/model/material/range/PPE для пространственно-временной ряд должны быть утверждены до начала</x:v>
      </x:c>
      <x:c r="I108" s="53" t="str">
        <x:v>Сформулировать вопрос; записать метод и единицы; выполнить работа с официальными данными; наблюдение только из безопасной зоны; сохранить сырые данные; повторить; оценить неопределённость; сделать ограниченный вывод.</x:v>
      </x:c>
      <x:c r="J108" s="53" t="str">
        <x:v>работа с официальными данными; наблюдение только из безопасной зоны</x:v>
      </x:c>
      <x:c r="K108" s="53" t="str">
        <x:v>SI или явно названный стандарт</x:v>
      </x:c>
      <x:c r="L108" s="53" t="str">
        <x:v>TBD_BEFORE_EXECUTION_FROM_EXACT_METHOD: диапазон/критерий фиксируется до результата; post-hoc подгонка запрещена.</x:v>
      </x:c>
      <x:c r="M108" s="53" t="str">
        <x:v>сырые данные + фото/скриншот при допустимости + расчёт + uncertainty + подпись reviewer + hash пакета</x:v>
      </x:c>
      <x:c r="N108" s="53" t="n">
        <x:v>2</x:v>
      </x:c>
      <x:c r="O108" s="53" t="str">
        <x:v>TBD_METHOD_SPECIFIC: range/resolution/bias/repeat spread/operator effects утверждаются до execution</x:v>
      </x:c>
      <x:c r="P10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08" s="53" t="str">
        <x:v>STOP при неясных правах, происхождении данных, этическом конфликте или невозможности сохранить исходные данные.</x:v>
      </x:c>
      <x:c r="R108" s="53" t="str">
        <x:v>TBD_ITEM_SPECIFIC_AND_LOCAL: пока маршрут отходов не утверждён, физическое выполнение блокировано.</x:v>
      </x:c>
      <x:c r="S108" s="53" t="str">
        <x:v>S0_OBSERVE_READ</x:v>
      </x:c>
      <x:c r="T108" s="53" t="str">
        <x:v>Самостоятельно после проверки источника; опасное действие из текста не выполняется.</x:v>
      </x:c>
      <x:c r="U108" s="53" t="n">
        <x:v>3</x:v>
      </x:c>
      <x:c r="V108" s="53" t="str">
        <x:v>TBD_LOCAL_SEASON</x:v>
      </x:c>
      <x:c r="W108" s="53" t="str">
        <x:v>records/science/SCI-EARTH-08/YYYY-MM-DD/</x:v>
      </x:c>
      <x:c r="X108" s="53" t="str">
        <x:v>PSP-090|PSP-035</x:v>
      </x:c>
      <x:c r="Y108" s="53" t="str">
        <x:v>PROVISIONAL_TOPIC_CANDIDATES_NOT_METHOD_REVIEWED</x:v>
      </x:c>
      <x:c r="Z108" s="53" t="str">
        <x:v>BLOCKED_UNTIL_EXACT_METHOD_SOURCE_SAFETY_AND_LOCAL_REVIEW</x:v>
      </x:c>
      <x:c r="AA108" s="53" t="str">
        <x:v>DESIGN_ONLY_NOT_EXECUTED</x:v>
      </x:c>
      <x:c r="AB10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8" s="53" t="str">
        <x:v>0.4</x:v>
      </x:c>
    </x:row>
    <x:row r="109">
      <x:c r="A109" s="26" t="str">
        <x:v>PRJ-106</x:v>
      </x:c>
      <x:c r="B109" s="26" t="str">
        <x:v>SCI-EARTH-09</x:v>
      </x:c>
      <x:c r="C109" s="26" t="str">
        <x:v>EARTH</x:v>
      </x:c>
      <x:c r="D109" s="26" t="str">
        <x:v>Практическая проверка: Землетрясения, оползни, вулканы и цунами</x:v>
      </x:c>
      <x:c r="E109" s="26" t="str">
        <x:v>OBSERVATION_DATA_OR_CALCULATION</x:v>
      </x:c>
      <x:c r="F109" s="26" t="str">
        <x:v>Объяснить базовую модель, выполнить допустимую для класса риска проверку и документировать пределы по теме «Землетрясения, оползни, вулканы и цунами».</x:v>
      </x:c>
      <x:c r="G109" s="26" t="str">
        <x:v>SCI-EARTH-08|SCI-METH-13|право остановить опыт|инструкция оборудования</x:v>
      </x:c>
      <x:c r="H109" s="26" t="str">
        <x:v>TBD_NON_EXECUTABLE: точные item/model/material/range/PPE для пространственно-временной ряд должны быть утверждены до начала</x:v>
      </x:c>
      <x:c r="I109" s="26" t="str">
        <x:v>Сформулировать вопрос; записать метод и единицы; выполнить сценарная карта и официальные признаки; физическое приближение запрещено; сохранить сырые данные; повторить; оценить неопределённость; сделать ограниченный вывод.</x:v>
      </x:c>
      <x:c r="J109" s="26" t="str">
        <x:v>сценарная карта и официальные признаки; физическое приближение запрещено</x:v>
      </x:c>
      <x:c r="K109" s="26" t="str">
        <x:v>SI или явно названный стандарт</x:v>
      </x:c>
      <x:c r="L109" s="26" t="str">
        <x:v>TBD_BEFORE_EXECUTION_FROM_EXACT_METHOD: диапазон/критерий фиксируется до результата; post-hoc подгонка запрещена.</x:v>
      </x:c>
      <x:c r="M109" s="26" t="str">
        <x:v>сырые данные + фото/скриншот при допустимости + расчёт + uncertainty + подпись reviewer + hash пакета</x:v>
      </x:c>
      <x:c r="N109" s="26" t="n">
        <x:v>2</x:v>
      </x:c>
      <x:c r="O109" s="26" t="str">
        <x:v>TBD_METHOD_SPECIFIC: range/resolution/bias/repeat spread/operator effects утверждаются до execution</x:v>
      </x:c>
      <x:c r="P10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09" s="26" t="str">
        <x:v>STOP при неясных правах, происхождении данных, этическом конфликте или невозможности сохранить исходные данные.</x:v>
      </x:c>
      <x:c r="R109" s="26" t="str">
        <x:v>TBD_ITEM_SPECIFIC_AND_LOCAL: пока маршрут отходов не утверждён, физическое выполнение блокировано.</x:v>
      </x:c>
      <x:c r="S109" s="26" t="str">
        <x:v>S0_OBSERVE_READ</x:v>
      </x:c>
      <x:c r="T109" s="26" t="str">
        <x:v>Самостоятельно после проверки источника; опасное действие из текста не выполняется.</x:v>
      </x:c>
      <x:c r="U109" s="26" t="n">
        <x:v>3</x:v>
      </x:c>
      <x:c r="V109" s="26" t="str">
        <x:v>TBD_LOCAL_SEASON</x:v>
      </x:c>
      <x:c r="W109" s="26" t="str">
        <x:v>records/science/SCI-EARTH-09/YYYY-MM-DD/</x:v>
      </x:c>
      <x:c r="X109" s="26" t="str">
        <x:v>PSP-090|PSP-035</x:v>
      </x:c>
      <x:c r="Y109" s="26" t="str">
        <x:v>PROVISIONAL_TOPIC_CANDIDATES_NOT_METHOD_REVIEWED</x:v>
      </x:c>
      <x:c r="Z109" s="26" t="str">
        <x:v>BLOCKED_UNTIL_EXACT_METHOD_SOURCE_SAFETY_AND_LOCAL_REVIEW</x:v>
      </x:c>
      <x:c r="AA109" s="26" t="str">
        <x:v>DESIGN_ONLY_NOT_EXECUTED</x:v>
      </x:c>
      <x:c r="AB10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09" s="26" t="str">
        <x:v>0.4</x:v>
      </x:c>
    </x:row>
    <x:row r="110">
      <x:c r="A110" s="53" t="str">
        <x:v>PRJ-107</x:v>
      </x:c>
      <x:c r="B110" s="53" t="str">
        <x:v>SCI-EARTH-10</x:v>
      </x:c>
      <x:c r="C110" s="53" t="str">
        <x:v>EARTH</x:v>
      </x:c>
      <x:c r="D110" s="53" t="str">
        <x:v>Практическая проверка: Дистанционное зондирование и спутниковые данные</x:v>
      </x:c>
      <x:c r="E110" s="53" t="str">
        <x:v>LOW_RISK_BENCH_OR_FIELD</x:v>
      </x:c>
      <x:c r="F110" s="53" t="str">
        <x:v>Объяснить базовую модель, выполнить допустимую для класса риска проверку и документировать пределы по теме «Дистанционное зондирование и спутниковые данные».</x:v>
      </x:c>
      <x:c r="G110" s="53" t="str">
        <x:v>SCI-EARTH-09|SCI-METH-13|право остановить опыт|инструкция оборудования</x:v>
      </x:c>
      <x:c r="H110" s="53" t="str">
        <x:v>TBD_NON_EXECUTABLE: точные item/model/material/range/PPE для пространственно-временной ряд должны быть утверждены до начала</x:v>
      </x:c>
      <x:c r="I110" s="53" t="str">
        <x:v>Сформулировать вопрос; записать метод и единицы; выполнить сравнение двух дат открытого снимка; сохранить сырые данные; повторить; оценить неопределённость; сделать ограниченный вывод.</x:v>
      </x:c>
      <x:c r="J110" s="53" t="str">
        <x:v>сравнение двух дат открытого снимка</x:v>
      </x:c>
      <x:c r="K110" s="53" t="str">
        <x:v>SI или явно названный стандарт</x:v>
      </x:c>
      <x:c r="L110" s="53" t="str">
        <x:v>TBD_BEFORE_EXECUTION_FROM_EXACT_METHOD: диапазон/критерий фиксируется до результата; post-hoc подгонка запрещена.</x:v>
      </x:c>
      <x:c r="M110" s="53" t="str">
        <x:v>сырые данные + фото/скриншот при допустимости + расчёт + uncertainty + подпись reviewer + hash пакета</x:v>
      </x:c>
      <x:c r="N110" s="53" t="n">
        <x:v>3</x:v>
      </x:c>
      <x:c r="O110" s="53" t="str">
        <x:v>TBD_METHOD_SPECIFIC: range/resolution/bias/repeat spread/operator effects утверждаются до execution</x:v>
      </x:c>
      <x:c r="P110" s="53" t="str">
        <x:v>DESIGN_PLACEHOLDER_NOT_EXECUTABLE: item-specific hazard analysis, материалы, энергия, концентрация, СИЗ и отходы ещё не утверждены.</x:v>
      </x:c>
      <x:c r="Q110" s="53" t="str">
        <x:v>BLOCKED_BEFORE_START: до точного method/source review запрещено начинать; после review нужны наблюдаемые численные/событийные stop conditions.</x:v>
      </x:c>
      <x:c r="R110" s="53" t="str">
        <x:v>TBD_ITEM_SPECIFIC_AND_LOCAL: пока маршрут отходов не утверждён, физическое выполнение блокировано.</x:v>
      </x:c>
      <x:c r="S110" s="53" t="str">
        <x:v>S1_LOW_RISK_HOUSEHOLD</x:v>
      </x:c>
      <x:c r="T110" s="53" t="str">
        <x:v>S1 допускается только после замены всех DESIGN/TBD полей точным low-risk методом и независимой safety-проверки.</x:v>
      </x:c>
      <x:c r="U110" s="53" t="n">
        <x:v>3</x:v>
      </x:c>
      <x:c r="V110" s="53" t="str">
        <x:v>TBD_LOCAL_SEASON</x:v>
      </x:c>
      <x:c r="W110" s="53" t="str">
        <x:v>records/science/SCI-EARTH-10/YYYY-MM-DD/</x:v>
      </x:c>
      <x:c r="X110" s="53" t="str">
        <x:v>PSP-034|PSP-039</x:v>
      </x:c>
      <x:c r="Y110" s="53" t="str">
        <x:v>PROVISIONAL_TOPIC_CANDIDATES_NOT_METHOD_REVIEWED</x:v>
      </x:c>
      <x:c r="Z110" s="53" t="str">
        <x:v>BLOCKED_UNTIL_EXACT_METHOD_SOURCE_SAFETY_AND_LOCAL_REVIEW</x:v>
      </x:c>
      <x:c r="AA110" s="53" t="str">
        <x:v>DESIGN_ONLY_NOT_EXECUTED</x:v>
      </x:c>
      <x:c r="AB11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0" s="53" t="str">
        <x:v>0.4</x:v>
      </x:c>
    </x:row>
    <x:row r="111">
      <x:c r="A111" s="26" t="str">
        <x:v>PRJ-108</x:v>
      </x:c>
      <x:c r="B111" s="26" t="str">
        <x:v>SCI-EARTH-11</x:v>
      </x:c>
      <x:c r="C111" s="26" t="str">
        <x:v>EARTH</x:v>
      </x:c>
      <x:c r="D111" s="26" t="str">
        <x:v>Практическая проверка: Картография, GIS, CRS и погрешность положения</x:v>
      </x:c>
      <x:c r="E111" s="26" t="str">
        <x:v>LOW_RISK_BENCH_OR_FIELD</x:v>
      </x:c>
      <x:c r="F111" s="26" t="str">
        <x:v>Объяснить базовую модель, выполнить допустимую для класса риска проверку и документировать пределы по теме «Картография, GIS, CRS и погрешность положения».</x:v>
      </x:c>
      <x:c r="G111" s="26" t="str">
        <x:v>SCI-EARTH-10|SCI-METH-13|право остановить опыт|инструкция оборудования</x:v>
      </x:c>
      <x:c r="H111" s="26" t="str">
        <x:v>TBD_NON_EXECUTABLE: точные item/model/material/range/PPE для пространственно-временной ряд должны быть утверждены до начала</x:v>
      </x:c>
      <x:c r="I111" s="26" t="str">
        <x:v>Сформулировать вопрос; записать метод и единицы; выполнить репроекция слоя и контроль известной точки; сохранить сырые данные; повторить; оценить неопределённость; сделать ограниченный вывод.</x:v>
      </x:c>
      <x:c r="J111" s="26" t="str">
        <x:v>репроекция слоя и контроль известной точки</x:v>
      </x:c>
      <x:c r="K111" s="26" t="str">
        <x:v>SI или явно названный стандарт</x:v>
      </x:c>
      <x:c r="L111" s="26" t="str">
        <x:v>TBD_BEFORE_EXECUTION_FROM_EXACT_METHOD: диапазон/критерий фиксируется до результата; post-hoc подгонка запрещена.</x:v>
      </x:c>
      <x:c r="M111" s="26" t="str">
        <x:v>сырые данные + фото/скриншот при допустимости + расчёт + uncertainty + подпись reviewer + hash пакета</x:v>
      </x:c>
      <x:c r="N111" s="26" t="n">
        <x:v>3</x:v>
      </x:c>
      <x:c r="O111" s="26" t="str">
        <x:v>TBD_METHOD_SPECIFIC: range/resolution/bias/repeat spread/operator effects утверждаются до execution</x:v>
      </x:c>
      <x:c r="P111" s="26" t="str">
        <x:v>DESIGN_PLACEHOLDER_NOT_EXECUTABLE: item-specific hazard analysis, материалы, энергия, концентрация, СИЗ и отходы ещё не утверждены.</x:v>
      </x:c>
      <x:c r="Q111" s="26" t="str">
        <x:v>BLOCKED_BEFORE_START: до точного method/source review запрещено начинать; после review нужны наблюдаемые численные/событийные stop conditions.</x:v>
      </x:c>
      <x:c r="R111" s="26" t="str">
        <x:v>TBD_ITEM_SPECIFIC_AND_LOCAL: пока маршрут отходов не утверждён, физическое выполнение блокировано.</x:v>
      </x:c>
      <x:c r="S111" s="26" t="str">
        <x:v>S1_LOW_RISK_HOUSEHOLD</x:v>
      </x:c>
      <x:c r="T111" s="26" t="str">
        <x:v>S1 допускается только после замены всех DESIGN/TBD полей точным low-risk методом и независимой safety-проверки.</x:v>
      </x:c>
      <x:c r="U111" s="26" t="n">
        <x:v>3</x:v>
      </x:c>
      <x:c r="V111" s="26" t="str">
        <x:v>TBD_LOCAL_SEASON</x:v>
      </x:c>
      <x:c r="W111" s="26" t="str">
        <x:v>records/science/SCI-EARTH-11/YYYY-MM-DD/</x:v>
      </x:c>
      <x:c r="X111" s="26" t="str">
        <x:v>PSP-079|PSP-086</x:v>
      </x:c>
      <x:c r="Y111" s="26" t="str">
        <x:v>PROVISIONAL_TOPIC_CANDIDATES_NOT_METHOD_REVIEWED</x:v>
      </x:c>
      <x:c r="Z111" s="26" t="str">
        <x:v>BLOCKED_UNTIL_EXACT_METHOD_SOURCE_SAFETY_AND_LOCAL_REVIEW</x:v>
      </x:c>
      <x:c r="AA111" s="26" t="str">
        <x:v>DESIGN_ONLY_NOT_EXECUTED</x:v>
      </x:c>
      <x:c r="AB11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1" s="26" t="str">
        <x:v>0.4</x:v>
      </x:c>
    </x:row>
    <x:row r="112">
      <x:c r="A112" s="53" t="str">
        <x:v>PRJ-109</x:v>
      </x:c>
      <x:c r="B112" s="53" t="str">
        <x:v>SCI-EARTH-12</x:v>
      </x:c>
      <x:c r="C112" s="53" t="str">
        <x:v>EARTH</x:v>
      </x:c>
      <x:c r="D112" s="53" t="str">
        <x:v>Практическая проверка: Мониторинг воздуха, воды, шума и света</x:v>
      </x:c>
      <x:c r="E112" s="53" t="str">
        <x:v>LOW_RISK_BENCH_OR_FIELD</x:v>
      </x:c>
      <x:c r="F112" s="53" t="str">
        <x:v>Объяснить базовую модель, выполнить допустимую для класса риска проверку и документировать пределы по теме «Мониторинг воздуха, воды, шума и света».</x:v>
      </x:c>
      <x:c r="G112" s="53" t="str">
        <x:v>SCI-EARTH-11|SCI-METH-13|право остановить опыт|инструкция оборудования</x:v>
      </x:c>
      <x:c r="H112" s="53" t="str">
        <x:v>TBD_NON_EXECUTABLE: точные item/model/material/range/PPE для пространственно-временной ряд должны быть утверждены до начала</x:v>
      </x:c>
      <x:c r="I112" s="53" t="str">
        <x:v>Сформулировать вопрос; записать метод и единицы; выполнить протокол с оговоркой о классе и калибровке датчика; сохранить сырые данные; повторить; оценить неопределённость; сделать ограниченный вывод.</x:v>
      </x:c>
      <x:c r="J112" s="53" t="str">
        <x:v>протокол с оговоркой о классе и калибровке датчика</x:v>
      </x:c>
      <x:c r="K112" s="53" t="str">
        <x:v>SI или явно названный стандарт</x:v>
      </x:c>
      <x:c r="L112" s="53" t="str">
        <x:v>TBD_BEFORE_EXECUTION_FROM_EXACT_METHOD: диапазон/критерий фиксируется до результата; post-hoc подгонка запрещена.</x:v>
      </x:c>
      <x:c r="M112" s="53" t="str">
        <x:v>сырые данные + фото/скриншот при допустимости + расчёт + uncertainty + подпись reviewer + hash пакета</x:v>
      </x:c>
      <x:c r="N112" s="53" t="n">
        <x:v>3</x:v>
      </x:c>
      <x:c r="O112" s="53" t="str">
        <x:v>TBD_METHOD_SPECIFIC: range/resolution/bias/repeat spread/operator effects утверждаются до execution</x:v>
      </x:c>
      <x:c r="P112" s="53" t="str">
        <x:v>DESIGN_PLACEHOLDER_NOT_EXECUTABLE: item-specific hazard analysis, материалы, энергия, концентрация, СИЗ и отходы ещё не утверждены.</x:v>
      </x:c>
      <x:c r="Q112" s="53" t="str">
        <x:v>BLOCKED_BEFORE_START: до точного method/source review запрещено начинать; после review нужны наблюдаемые численные/событийные stop conditions.</x:v>
      </x:c>
      <x:c r="R112" s="53" t="str">
        <x:v>TBD_ITEM_SPECIFIC_AND_LOCAL: пока маршрут отходов не утверждён, физическое выполнение блокировано.</x:v>
      </x:c>
      <x:c r="S112" s="53" t="str">
        <x:v>S1_LOW_RISK_HOUSEHOLD</x:v>
      </x:c>
      <x:c r="T112" s="53" t="str">
        <x:v>S1 допускается только после замены всех DESIGN/TBD полей точным low-risk методом и независимой safety-проверки.</x:v>
      </x:c>
      <x:c r="U112" s="53" t="n">
        <x:v>3</x:v>
      </x:c>
      <x:c r="V112" s="53" t="str">
        <x:v>TBD_LOCAL_SEASON</x:v>
      </x:c>
      <x:c r="W112" s="53" t="str">
        <x:v>records/science/SCI-EARTH-12/YYYY-MM-DD/</x:v>
      </x:c>
      <x:c r="X112" s="53" t="str">
        <x:v>PSP-038|PSP-089</x:v>
      </x:c>
      <x:c r="Y112" s="53" t="str">
        <x:v>PROVISIONAL_TOPIC_CANDIDATES_NOT_METHOD_REVIEWED</x:v>
      </x:c>
      <x:c r="Z112" s="53" t="str">
        <x:v>BLOCKED_UNTIL_EXACT_METHOD_SOURCE_SAFETY_AND_LOCAL_REVIEW</x:v>
      </x:c>
      <x:c r="AA112" s="53" t="str">
        <x:v>DESIGN_ONLY_NOT_EXECUTED</x:v>
      </x:c>
      <x:c r="AB11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2" s="53" t="str">
        <x:v>0.4</x:v>
      </x:c>
    </x:row>
    <x:row r="113">
      <x:c r="A113" s="26" t="str">
        <x:v>PRJ-110</x:v>
      </x:c>
      <x:c r="B113" s="26" t="str">
        <x:v>SCI-EARTH-13</x:v>
      </x:c>
      <x:c r="C113" s="26" t="str">
        <x:v>EARTH</x:v>
      </x:c>
      <x:c r="D113" s="26" t="str">
        <x:v>Практическая проверка: Отходы, загрязнение и материальные потоки</x:v>
      </x:c>
      <x:c r="E113" s="26" t="str">
        <x:v>LOW_RISK_BENCH_OR_FIELD</x:v>
      </x:c>
      <x:c r="F113" s="26" t="str">
        <x:v>Объяснить базовую модель, выполнить допустимую для класса риска проверку и документировать пределы по теме «Отходы, загрязнение и материальные потоки».</x:v>
      </x:c>
      <x:c r="G113" s="26" t="str">
        <x:v>SCI-EARTH-12|SCI-METH-13|право остановить опыт|инструкция оборудования</x:v>
      </x:c>
      <x:c r="H113" s="26" t="str">
        <x:v>TBD_NON_EXECUTABLE: точные item/model/material/range/PPE для пространственно-временной ряд должны быть утверждены до начала</x:v>
      </x:c>
      <x:c r="I113" s="26" t="str">
        <x:v>Сформулировать вопрос; записать метод и единицы; выполнить аудит входов/выходов без контакта с опасными отходами; сохранить сырые данные; повторить; оценить неопределённость; сделать ограниченный вывод.</x:v>
      </x:c>
      <x:c r="J113" s="26" t="str">
        <x:v>аудит входов/выходов без контакта с опасными отходами</x:v>
      </x:c>
      <x:c r="K113" s="26" t="str">
        <x:v>SI или явно названный стандарт</x:v>
      </x:c>
      <x:c r="L113" s="26" t="str">
        <x:v>TBD_BEFORE_EXECUTION_FROM_EXACT_METHOD: диапазон/критерий фиксируется до результата; post-hoc подгонка запрещена.</x:v>
      </x:c>
      <x:c r="M113" s="26" t="str">
        <x:v>сырые данные + фото/скриншот при допустимости + расчёт + uncertainty + подпись reviewer + hash пакета</x:v>
      </x:c>
      <x:c r="N113" s="26" t="n">
        <x:v>3</x:v>
      </x:c>
      <x:c r="O113" s="26" t="str">
        <x:v>TBD_METHOD_SPECIFIC: range/resolution/bias/repeat spread/operator effects утверждаются до execution</x:v>
      </x:c>
      <x:c r="P113" s="26" t="str">
        <x:v>DESIGN_PLACEHOLDER_NOT_EXECUTABLE: item-specific hazard analysis, материалы, энергия, концентрация, СИЗ и отходы ещё не утверждены.</x:v>
      </x:c>
      <x:c r="Q113" s="26" t="str">
        <x:v>BLOCKED_BEFORE_START: до точного method/source review запрещено начинать; после review нужны наблюдаемые численные/событийные stop conditions.</x:v>
      </x:c>
      <x:c r="R113" s="26" t="str">
        <x:v>TBD_ITEM_SPECIFIC_AND_LOCAL: пока маршрут отходов не утверждён, физическое выполнение блокировано.</x:v>
      </x:c>
      <x:c r="S113" s="26" t="str">
        <x:v>S1_LOW_RISK_HOUSEHOLD</x:v>
      </x:c>
      <x:c r="T113" s="26" t="str">
        <x:v>S1 допускается только после замены всех DESIGN/TBD полей точным low-risk методом и независимой safety-проверки.</x:v>
      </x:c>
      <x:c r="U113" s="26" t="n">
        <x:v>3</x:v>
      </x:c>
      <x:c r="V113" s="26" t="str">
        <x:v>TBD_LOCAL_SEASON</x:v>
      </x:c>
      <x:c r="W113" s="26" t="str">
        <x:v>records/science/SCI-EARTH-13/YYYY-MM-DD/</x:v>
      </x:c>
      <x:c r="X113" s="26" t="str">
        <x:v>PSP-038|PSP-089</x:v>
      </x:c>
      <x:c r="Y113" s="26" t="str">
        <x:v>PROVISIONAL_TOPIC_CANDIDATES_NOT_METHOD_REVIEWED</x:v>
      </x:c>
      <x:c r="Z113" s="26" t="str">
        <x:v>BLOCKED_UNTIL_EXACT_METHOD_SOURCE_SAFETY_AND_LOCAL_REVIEW</x:v>
      </x:c>
      <x:c r="AA113" s="26" t="str">
        <x:v>DESIGN_ONLY_NOT_EXECUTED</x:v>
      </x:c>
      <x:c r="AB11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3" s="26" t="str">
        <x:v>0.4</x:v>
      </x:c>
    </x:row>
    <x:row r="114">
      <x:c r="A114" s="53" t="str">
        <x:v>PRJ-111</x:v>
      </x:c>
      <x:c r="B114" s="53" t="str">
        <x:v>SCI-EARTH-14</x:v>
      </x:c>
      <x:c r="C114" s="53" t="str">
        <x:v>EARTH</x:v>
      </x:c>
      <x:c r="D114" s="53" t="str">
        <x:v>Практическая проверка: Экологическое право и сообщение о наблюдении</x:v>
      </x:c>
      <x:c r="E114" s="53" t="str">
        <x:v>OBSERVATION_DATA_OR_CALCULATION</x:v>
      </x:c>
      <x:c r="F114" s="53" t="str">
        <x:v>Объяснить базовую модель, выполнить допустимую для класса риска проверку и документировать пределы по теме «Экологическое право и сообщение о наблюдении».</x:v>
      </x:c>
      <x:c r="G114" s="53" t="str">
        <x:v>SCI-EARTH-13|SCI-METH-13|право остановить опыт|инструкция оборудования</x:v>
      </x:c>
      <x:c r="H114" s="53" t="str">
        <x:v>TBD_NON_EXECUTABLE: точные item/model/material/range/PPE для пространственно-временной ряд должны быть утверждены до начала</x:v>
      </x:c>
      <x:c r="I114" s="53" t="str">
        <x:v>Сформулировать вопрос; записать метод и единицы; выполнить пакет дата–место–фото–метод без обвинительного вывода; сохранить сырые данные; повторить; оценить неопределённость; сделать ограниченный вывод.</x:v>
      </x:c>
      <x:c r="J114" s="53" t="str">
        <x:v>пакет дата–место–фото–метод без обвинительного вывода</x:v>
      </x:c>
      <x:c r="K114" s="53" t="str">
        <x:v>SI или явно названный стандарт</x:v>
      </x:c>
      <x:c r="L114" s="53" t="str">
        <x:v>TBD_BEFORE_EXECUTION_FROM_EXACT_METHOD: диапазон/критерий фиксируется до результата; post-hoc подгонка запрещена.</x:v>
      </x:c>
      <x:c r="M114" s="53" t="str">
        <x:v>сырые данные + фото/скриншот при допустимости + расчёт + uncertainty + подпись reviewer + hash пакета</x:v>
      </x:c>
      <x:c r="N114" s="53" t="n">
        <x:v>2</x:v>
      </x:c>
      <x:c r="O114" s="53" t="str">
        <x:v>TBD_METHOD_SPECIFIC: range/resolution/bias/repeat spread/operator effects утверждаются до execution</x:v>
      </x:c>
      <x:c r="P11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14" s="53" t="str">
        <x:v>STOP при неясных правах, происхождении данных, этическом конфликте или невозможности сохранить исходные данные.</x:v>
      </x:c>
      <x:c r="R114" s="53" t="str">
        <x:v>TBD_ITEM_SPECIFIC_AND_LOCAL: пока маршрут отходов не утверждён, физическое выполнение блокировано.</x:v>
      </x:c>
      <x:c r="S114" s="53" t="str">
        <x:v>S0_OBSERVE_READ</x:v>
      </x:c>
      <x:c r="T114" s="53" t="str">
        <x:v>Самостоятельно после проверки источника; опасное действие из текста не выполняется.</x:v>
      </x:c>
      <x:c r="U114" s="53" t="n">
        <x:v>3</x:v>
      </x:c>
      <x:c r="V114" s="53" t="str">
        <x:v>TBD_LOCAL_SEASON</x:v>
      </x:c>
      <x:c r="W114" s="53" t="str">
        <x:v>records/science/SCI-EARTH-14/YYYY-MM-DD/</x:v>
      </x:c>
      <x:c r="X114" s="53" t="str">
        <x:v>PSP-096|PSP-097</x:v>
      </x:c>
      <x:c r="Y114" s="53" t="str">
        <x:v>PROVISIONAL_TOPIC_CANDIDATES_NOT_METHOD_REVIEWED</x:v>
      </x:c>
      <x:c r="Z114" s="53" t="str">
        <x:v>BLOCKED_UNTIL_EXACT_METHOD_SOURCE_SAFETY_AND_LOCAL_REVIEW</x:v>
      </x:c>
      <x:c r="AA114" s="53" t="str">
        <x:v>DESIGN_ONLY_NOT_EXECUTED</x:v>
      </x:c>
      <x:c r="AB11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4" s="53" t="str">
        <x:v>0.4</x:v>
      </x:c>
    </x:row>
    <x:row r="115">
      <x:c r="A115" s="26" t="str">
        <x:v>PRJ-112</x:v>
      </x:c>
      <x:c r="B115" s="26" t="str">
        <x:v>SCI-AGRI-01</x:v>
      </x:c>
      <x:c r="C115" s="26" t="str">
        <x:v>AGRI</x:v>
      </x:c>
      <x:c r="D115" s="26" t="str">
        <x:v>Практическая проверка: Полевое обследование и безопасный отбор почвы</x:v>
      </x:c>
      <x:c r="E115" s="26" t="str">
        <x:v>LOW_RISK_BENCH_OR_FIELD</x:v>
      </x:c>
      <x:c r="F115" s="26" t="str">
        <x:v>Объяснить базовую модель, выполнить допустимую для класса риска проверку и документировать пределы по теме «Полевое обследование и безопасный отбор почвы».</x:v>
      </x:c>
      <x:c r="G115" s="26" t="str">
        <x:v>SCI-METH-01|SCI-METH-07|SCI-METH-14|право остановить опыт|инструкция оборудования</x:v>
      </x:c>
      <x:c r="H115" s="26" t="str">
        <x:v>TBD_NON_EXECUTABLE: точные item/model/material/range/PPE для урожай/вода/почва должны быть утверждены до начала</x:v>
      </x:c>
      <x:c r="I115" s="26" t="str">
        <x:v>Сформулировать вопрос; записать метод и единицы; выполнить составная проба с картой точек и чистым инструментом; сохранить сырые данные; повторить; оценить неопределённость; сделать ограниченный вывод.</x:v>
      </x:c>
      <x:c r="J115" s="26" t="str">
        <x:v>составная проба с картой точек и чистым инструментом</x:v>
      </x:c>
      <x:c r="K115" s="26" t="str">
        <x:v>SI или явно названный стандарт</x:v>
      </x:c>
      <x:c r="L115" s="26" t="str">
        <x:v>TBD_BEFORE_EXECUTION_FROM_EXACT_METHOD: диапазон/критерий фиксируется до результата; post-hoc подгонка запрещена.</x:v>
      </x:c>
      <x:c r="M115" s="26" t="str">
        <x:v>сырые данные + фото/скриншот при допустимости + расчёт + uncertainty + подпись reviewer + hash пакета</x:v>
      </x:c>
      <x:c r="N115" s="26" t="n">
        <x:v>3</x:v>
      </x:c>
      <x:c r="O115" s="26" t="str">
        <x:v>TBD_METHOD_SPECIFIC: range/resolution/bias/repeat spread/operator effects утверждаются до execution</x:v>
      </x:c>
      <x:c r="P115" s="26" t="str">
        <x:v>DESIGN_PLACEHOLDER_NOT_EXECUTABLE: item-specific hazard analysis, материалы, энергия, концентрация, СИЗ и отходы ещё не утверждены.</x:v>
      </x:c>
      <x:c r="Q115" s="26" t="str">
        <x:v>BLOCKED_BEFORE_START: до точного method/source review запрещено начинать; после review нужны наблюдаемые численные/событийные stop conditions.</x:v>
      </x:c>
      <x:c r="R115" s="26" t="str">
        <x:v>TBD_ITEM_SPECIFIC_AND_LOCAL: пока маршрут отходов не утверждён, физическое выполнение блокировано.</x:v>
      </x:c>
      <x:c r="S115" s="26" t="str">
        <x:v>S1_LOW_RISK_HOUSEHOLD</x:v>
      </x:c>
      <x:c r="T115" s="26" t="str">
        <x:v>S1 допускается только после замены всех DESIGN/TBD полей точным low-risk методом и независимой safety-проверки.</x:v>
      </x:c>
      <x:c r="U115" s="26" t="n">
        <x:v>3</x:v>
      </x:c>
      <x:c r="V115" s="26" t="str">
        <x:v>TBD_LOCAL_SEASON</x:v>
      </x:c>
      <x:c r="W115" s="26" t="str">
        <x:v>records/science/SCI-AGRI-01/YYYY-MM-DD/</x:v>
      </x:c>
      <x:c r="X115" s="26" t="str">
        <x:v>PSP-045|SUP-LEA-013</x:v>
      </x:c>
      <x:c r="Y115" s="26" t="str">
        <x:v>PROVISIONAL_TOPIC_CANDIDATES_NOT_METHOD_REVIEWED</x:v>
      </x:c>
      <x:c r="Z115" s="26" t="str">
        <x:v>BLOCKED_UNTIL_EXACT_METHOD_SOURCE_SAFETY_AND_LOCAL_REVIEW</x:v>
      </x:c>
      <x:c r="AA115" s="26" t="str">
        <x:v>DESIGN_ONLY_NOT_EXECUTED</x:v>
      </x:c>
      <x:c r="AB11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5" s="26" t="str">
        <x:v>0.4</x:v>
      </x:c>
    </x:row>
    <x:row r="116">
      <x:c r="A116" s="53" t="str">
        <x:v>PRJ-113</x:v>
      </x:c>
      <x:c r="B116" s="53" t="str">
        <x:v>SCI-AGRI-02</x:v>
      </x:c>
      <x:c r="C116" s="53" t="str">
        <x:v>AGRI</x:v>
      </x:c>
      <x:c r="D116" s="53" t="str">
        <x:v>Практическая проверка: Семенная партия, происхождение и доступ</x:v>
      </x:c>
      <x:c r="E116" s="53" t="str">
        <x:v>LOW_RISK_BENCH_OR_FIELD</x:v>
      </x:c>
      <x:c r="F116" s="53" t="str">
        <x:v>Объяснить базовую модель, выполнить допустимую для класса риска проверку и документировать пределы по теме «Семенная партия, происхождение и доступ».</x:v>
      </x:c>
      <x:c r="G116" s="53" t="str">
        <x:v>SCI-AGRI-01|SCI-METH-13|право остановить опыт|инструкция оборудования</x:v>
      </x:c>
      <x:c r="H116" s="53" t="str">
        <x:v>TBD_NON_EXECUTABLE: точные item/model/material/range/PPE для урожай/вода/почва должны быть утверждены до начала</x:v>
      </x:c>
      <x:c r="I116" s="53" t="str">
        <x:v>Сформулировать вопрос; записать метод и единицы; выполнить паспорт accession, условия хранения и правовой статус; сохранить сырые данные; повторить; оценить неопределённость; сделать ограниченный вывод.</x:v>
      </x:c>
      <x:c r="J116" s="53" t="str">
        <x:v>паспорт accession, условия хранения и правовой статус</x:v>
      </x:c>
      <x:c r="K116" s="53" t="str">
        <x:v>SI или явно названный стандарт</x:v>
      </x:c>
      <x:c r="L116" s="53" t="str">
        <x:v>TBD_BEFORE_EXECUTION_FROM_EXACT_METHOD: диапазон/критерий фиксируется до результата; post-hoc подгонка запрещена.</x:v>
      </x:c>
      <x:c r="M116" s="53" t="str">
        <x:v>сырые данные + фото/скриншот при допустимости + расчёт + uncertainty + подпись reviewer + hash пакета</x:v>
      </x:c>
      <x:c r="N116" s="53" t="n">
        <x:v>3</x:v>
      </x:c>
      <x:c r="O116" s="53" t="str">
        <x:v>TBD_METHOD_SPECIFIC: range/resolution/bias/repeat spread/operator effects утверждаются до execution</x:v>
      </x:c>
      <x:c r="P116" s="53" t="str">
        <x:v>DESIGN_PLACEHOLDER_NOT_EXECUTABLE: item-specific hazard analysis, материалы, энергия, концентрация, СИЗ и отходы ещё не утверждены.</x:v>
      </x:c>
      <x:c r="Q116" s="53" t="str">
        <x:v>BLOCKED_BEFORE_START: до точного method/source review запрещено начинать; после review нужны наблюдаемые численные/событийные stop conditions.</x:v>
      </x:c>
      <x:c r="R116" s="53" t="str">
        <x:v>TBD_ITEM_SPECIFIC_AND_LOCAL: пока маршрут отходов не утверждён, физическое выполнение блокировано.</x:v>
      </x:c>
      <x:c r="S116" s="53" t="str">
        <x:v>S1_LOW_RISK_HOUSEHOLD</x:v>
      </x:c>
      <x:c r="T116" s="53" t="str">
        <x:v>S1 допускается только после замены всех DESIGN/TBD полей точным low-risk методом и независимой safety-проверки.</x:v>
      </x:c>
      <x:c r="U116" s="53" t="n">
        <x:v>3</x:v>
      </x:c>
      <x:c r="V116" s="53" t="str">
        <x:v>TBD_LOCAL_SEASON</x:v>
      </x:c>
      <x:c r="W116" s="53" t="str">
        <x:v>records/science/SCI-AGRI-02/YYYY-MM-DD/</x:v>
      </x:c>
      <x:c r="X116" s="53" t="str">
        <x:v>SUP-LEA-021|SUP-LEA-025</x:v>
      </x:c>
      <x:c r="Y116" s="53" t="str">
        <x:v>PROVISIONAL_TOPIC_CANDIDATES_NOT_METHOD_REVIEWED</x:v>
      </x:c>
      <x:c r="Z116" s="53" t="str">
        <x:v>BLOCKED_UNTIL_EXACT_METHOD_SOURCE_SAFETY_AND_LOCAL_REVIEW</x:v>
      </x:c>
      <x:c r="AA116" s="53" t="str">
        <x:v>DESIGN_ONLY_NOT_EXECUTED</x:v>
      </x:c>
      <x:c r="AB11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6" s="53" t="str">
        <x:v>0.4</x:v>
      </x:c>
    </x:row>
    <x:row r="117">
      <x:c r="A117" s="26" t="str">
        <x:v>PRJ-114</x:v>
      </x:c>
      <x:c r="B117" s="26" t="str">
        <x:v>SCI-AGRI-03</x:v>
      </x:c>
      <x:c r="C117" s="26" t="str">
        <x:v>AGRI</x:v>
      </x:c>
      <x:c r="D117" s="26" t="str">
        <x:v>Практическая проверка: Тест всхожести и жизнеспособности</x:v>
      </x:c>
      <x:c r="E117" s="26" t="str">
        <x:v>LOW_RISK_BENCH_OR_FIELD</x:v>
      </x:c>
      <x:c r="F117" s="26" t="str">
        <x:v>Объяснить базовую модель, выполнить допустимую для класса риска проверку и документировать пределы по теме «Тест всхожести и жизнеспособности».</x:v>
      </x:c>
      <x:c r="G117" s="26" t="str">
        <x:v>SCI-AGRI-02|SCI-METH-13|право остановить опыт|инструкция оборудования</x:v>
      </x:c>
      <x:c r="H117" s="26" t="str">
        <x:v>TBD_NON_EXECUTABLE: точные item/model/material/range/PPE для урожай/вода/почва должны быть утверждены до начала</x:v>
      </x:c>
      <x:c r="I117" s="26" t="str">
        <x:v>Сформулировать вопрос; записать метод и единицы; выполнить контролируемый тест разрешённых семян с долей всходов; сохранить сырые данные; повторить; оценить неопределённость; сделать ограниченный вывод.</x:v>
      </x:c>
      <x:c r="J117" s="26" t="str">
        <x:v>контролируемый тест разрешённых семян с долей всходов</x:v>
      </x:c>
      <x:c r="K117" s="26" t="str">
        <x:v>SI или явно названный стандарт</x:v>
      </x:c>
      <x:c r="L117" s="26" t="str">
        <x:v>TBD_BEFORE_EXECUTION_FROM_EXACT_METHOD: диапазон/критерий фиксируется до результата; post-hoc подгонка запрещена.</x:v>
      </x:c>
      <x:c r="M117" s="26" t="str">
        <x:v>сырые данные + фото/скриншот при допустимости + расчёт + uncertainty + подпись reviewer + hash пакета</x:v>
      </x:c>
      <x:c r="N117" s="26" t="n">
        <x:v>3</x:v>
      </x:c>
      <x:c r="O117" s="26" t="str">
        <x:v>TBD_METHOD_SPECIFIC: range/resolution/bias/repeat spread/operator effects утверждаются до execution</x:v>
      </x:c>
      <x:c r="P117" s="26" t="str">
        <x:v>DESIGN_PLACEHOLDER_NOT_EXECUTABLE: item-specific hazard analysis, материалы, энергия, концентрация, СИЗ и отходы ещё не утверждены.</x:v>
      </x:c>
      <x:c r="Q117" s="26" t="str">
        <x:v>BLOCKED_BEFORE_START: до точного method/source review запрещено начинать; после review нужны наблюдаемые численные/событийные stop conditions.</x:v>
      </x:c>
      <x:c r="R117" s="26" t="str">
        <x:v>TBD_ITEM_SPECIFIC_AND_LOCAL: пока маршрут отходов не утверждён, физическое выполнение блокировано.</x:v>
      </x:c>
      <x:c r="S117" s="26" t="str">
        <x:v>S1_LOW_RISK_HOUSEHOLD</x:v>
      </x:c>
      <x:c r="T117" s="26" t="str">
        <x:v>S1 допускается только после замены всех DESIGN/TBD полей точным low-risk методом и независимой safety-проверки.</x:v>
      </x:c>
      <x:c r="U117" s="26" t="n">
        <x:v>3</x:v>
      </x:c>
      <x:c r="V117" s="26" t="str">
        <x:v>TBD_LOCAL_SEASON</x:v>
      </x:c>
      <x:c r="W117" s="26" t="str">
        <x:v>records/science/SCI-AGRI-03/YYYY-MM-DD/</x:v>
      </x:c>
      <x:c r="X117" s="26" t="str">
        <x:v>SUP-LEA-021|SUP-LEA-025</x:v>
      </x:c>
      <x:c r="Y117" s="26" t="str">
        <x:v>PROVISIONAL_TOPIC_CANDIDATES_NOT_METHOD_REVIEWED</x:v>
      </x:c>
      <x:c r="Z117" s="26" t="str">
        <x:v>BLOCKED_UNTIL_EXACT_METHOD_SOURCE_SAFETY_AND_LOCAL_REVIEW</x:v>
      </x:c>
      <x:c r="AA117" s="26" t="str">
        <x:v>DESIGN_ONLY_NOT_EXECUTED</x:v>
      </x:c>
      <x:c r="AB11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7" s="26" t="str">
        <x:v>0.4</x:v>
      </x:c>
    </x:row>
    <x:row r="118">
      <x:c r="A118" s="53" t="str">
        <x:v>PRJ-115</x:v>
      </x:c>
      <x:c r="B118" s="53" t="str">
        <x:v>SCI-AGRI-04</x:v>
      </x:c>
      <x:c r="C118" s="53" t="str">
        <x:v>AGRI</x:v>
      </x:c>
      <x:c r="D118" s="53" t="str">
        <x:v>Практическая проверка: Севооборот, календарь и планирование площади</x:v>
      </x:c>
      <x:c r="E118" s="53" t="str">
        <x:v>LOW_RISK_BENCH_OR_FIELD</x:v>
      </x:c>
      <x:c r="F118" s="53" t="str">
        <x:v>Объяснить базовую модель, выполнить допустимую для класса риска проверку и документировать пределы по теме «Севооборот, календарь и планирование площади».</x:v>
      </x:c>
      <x:c r="G118" s="53" t="str">
        <x:v>SCI-AGRI-03|SCI-METH-13|право остановить опыт|инструкция оборудования</x:v>
      </x:c>
      <x:c r="H118" s="53" t="str">
        <x:v>TBD_NON_EXECUTABLE: точные item/model/material/range/PPE для урожай/вода/почва должны быть утверждены до начала</x:v>
      </x:c>
      <x:c r="I118" s="53" t="str">
        <x:v>Сформулировать вопрос; записать метод и единицы; выполнить план культуры по воде, сезону и рискам; сохранить сырые данные; повторить; оценить неопределённость; сделать ограниченный вывод.</x:v>
      </x:c>
      <x:c r="J118" s="53" t="str">
        <x:v>план культуры по воде, сезону и рискам</x:v>
      </x:c>
      <x:c r="K118" s="53" t="str">
        <x:v>SI или явно названный стандарт</x:v>
      </x:c>
      <x:c r="L118" s="53" t="str">
        <x:v>TBD_BEFORE_EXECUTION_FROM_EXACT_METHOD: диапазон/критерий фиксируется до результата; post-hoc подгонка запрещена.</x:v>
      </x:c>
      <x:c r="M118" s="53" t="str">
        <x:v>сырые данные + фото/скриншот при допустимости + расчёт + uncertainty + подпись reviewer + hash пакета</x:v>
      </x:c>
      <x:c r="N118" s="53" t="n">
        <x:v>3</x:v>
      </x:c>
      <x:c r="O118" s="53" t="str">
        <x:v>TBD_METHOD_SPECIFIC: range/resolution/bias/repeat spread/operator effects утверждаются до execution</x:v>
      </x:c>
      <x:c r="P118" s="53" t="str">
        <x:v>DESIGN_PLACEHOLDER_NOT_EXECUTABLE: item-specific hazard analysis, материалы, энергия, концентрация, СИЗ и отходы ещё не утверждены.</x:v>
      </x:c>
      <x:c r="Q118" s="53" t="str">
        <x:v>BLOCKED_BEFORE_START: до точного method/source review запрещено начинать; после review нужны наблюдаемые численные/событийные stop conditions.</x:v>
      </x:c>
      <x:c r="R118" s="53" t="str">
        <x:v>TBD_ITEM_SPECIFIC_AND_LOCAL: пока маршрут отходов не утверждён, физическое выполнение блокировано.</x:v>
      </x:c>
      <x:c r="S118" s="53" t="str">
        <x:v>S1_LOW_RISK_HOUSEHOLD</x:v>
      </x:c>
      <x:c r="T118" s="53" t="str">
        <x:v>S1 допускается только после замены всех DESIGN/TBD полей точным low-risk методом и независимой safety-проверки.</x:v>
      </x:c>
      <x:c r="U118" s="53" t="n">
        <x:v>3</x:v>
      </x:c>
      <x:c r="V118" s="53" t="str">
        <x:v>TBD_LOCAL_SEASON</x:v>
      </x:c>
      <x:c r="W118" s="53" t="str">
        <x:v>records/science/SCI-AGRI-04/YYYY-MM-DD/</x:v>
      </x:c>
      <x:c r="X118" s="53" t="str">
        <x:v>PSP-041|PSP-045</x:v>
      </x:c>
      <x:c r="Y118" s="53" t="str">
        <x:v>PROVISIONAL_TOPIC_CANDIDATES_NOT_METHOD_REVIEWED</x:v>
      </x:c>
      <x:c r="Z118" s="53" t="str">
        <x:v>BLOCKED_UNTIL_EXACT_METHOD_SOURCE_SAFETY_AND_LOCAL_REVIEW</x:v>
      </x:c>
      <x:c r="AA118" s="53" t="str">
        <x:v>DESIGN_ONLY_NOT_EXECUTED</x:v>
      </x:c>
      <x:c r="AB11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8" s="53" t="str">
        <x:v>0.4</x:v>
      </x:c>
    </x:row>
    <x:row r="119">
      <x:c r="A119" s="26" t="str">
        <x:v>PRJ-116</x:v>
      </x:c>
      <x:c r="B119" s="26" t="str">
        <x:v>SCI-AGRI-05</x:v>
      </x:c>
      <x:c r="C119" s="26" t="str">
        <x:v>AGRI</x:v>
      </x:c>
      <x:c r="D119" s="26" t="str">
        <x:v>Практическая проверка: Овощеводство и питомник</x:v>
      </x:c>
      <x:c r="E119" s="26" t="str">
        <x:v>LOW_RISK_BENCH_OR_FIELD</x:v>
      </x:c>
      <x:c r="F119" s="26" t="str">
        <x:v>Объяснить базовую модель, выполнить допустимую для класса риска проверку и документировать пределы по теме «Овощеводство и питомник».</x:v>
      </x:c>
      <x:c r="G119" s="26" t="str">
        <x:v>SCI-AGRI-04|SCI-METH-13|право остановить опыт|инструкция оборудования</x:v>
      </x:c>
      <x:c r="H119" s="26" t="str">
        <x:v>TBD_NON_EXECUTABLE: точные item/model/material/range/PPE для урожай/вода/почва должны быть утверждены до начала</x:v>
      </x:c>
      <x:c r="I119" s="26" t="str">
        <x:v>Сформулировать вопрос; записать метод и единицы; выполнить журнал посева, пересадки, роста и потерь; сохранить сырые данные; повторить; оценить неопределённость; сделать ограниченный вывод.</x:v>
      </x:c>
      <x:c r="J119" s="26" t="str">
        <x:v>журнал посева, пересадки, роста и потерь</x:v>
      </x:c>
      <x:c r="K119" s="26" t="str">
        <x:v>SI или явно названный стандарт</x:v>
      </x:c>
      <x:c r="L119" s="26" t="str">
        <x:v>TBD_BEFORE_EXECUTION_FROM_EXACT_METHOD: диапазон/критерий фиксируется до результата; post-hoc подгонка запрещена.</x:v>
      </x:c>
      <x:c r="M119" s="26" t="str">
        <x:v>сырые данные + фото/скриншот при допустимости + расчёт + uncertainty + подпись reviewer + hash пакета</x:v>
      </x:c>
      <x:c r="N119" s="26" t="n">
        <x:v>3</x:v>
      </x:c>
      <x:c r="O119" s="26" t="str">
        <x:v>TBD_METHOD_SPECIFIC: range/resolution/bias/repeat spread/operator effects утверждаются до execution</x:v>
      </x:c>
      <x:c r="P119" s="26" t="str">
        <x:v>DESIGN_PLACEHOLDER_NOT_EXECUTABLE: item-specific hazard analysis, материалы, энергия, концентрация, СИЗ и отходы ещё не утверждены.</x:v>
      </x:c>
      <x:c r="Q119" s="26" t="str">
        <x:v>BLOCKED_BEFORE_START: до точного method/source review запрещено начинать; после review нужны наблюдаемые численные/событийные stop conditions.</x:v>
      </x:c>
      <x:c r="R119" s="26" t="str">
        <x:v>TBD_ITEM_SPECIFIC_AND_LOCAL: пока маршрут отходов не утверждён, физическое выполнение блокировано.</x:v>
      </x:c>
      <x:c r="S119" s="26" t="str">
        <x:v>S1_LOW_RISK_HOUSEHOLD</x:v>
      </x:c>
      <x:c r="T119" s="26" t="str">
        <x:v>S1 допускается только после замены всех DESIGN/TBD полей точным low-risk методом и независимой safety-проверки.</x:v>
      </x:c>
      <x:c r="U119" s="26" t="n">
        <x:v>3</x:v>
      </x:c>
      <x:c r="V119" s="26" t="str">
        <x:v>TBD_LOCAL_SEASON</x:v>
      </x:c>
      <x:c r="W119" s="26" t="str">
        <x:v>records/science/SCI-AGRI-05/YYYY-MM-DD/</x:v>
      </x:c>
      <x:c r="X119" s="26" t="str">
        <x:v>PSP-041|PSP-045</x:v>
      </x:c>
      <x:c r="Y119" s="26" t="str">
        <x:v>PROVISIONAL_TOPIC_CANDIDATES_NOT_METHOD_REVIEWED</x:v>
      </x:c>
      <x:c r="Z119" s="26" t="str">
        <x:v>BLOCKED_UNTIL_EXACT_METHOD_SOURCE_SAFETY_AND_LOCAL_REVIEW</x:v>
      </x:c>
      <x:c r="AA119" s="26" t="str">
        <x:v>DESIGN_ONLY_NOT_EXECUTED</x:v>
      </x:c>
      <x:c r="AB11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19" s="26" t="str">
        <x:v>0.4</x:v>
      </x:c>
    </x:row>
    <x:row r="120">
      <x:c r="A120" s="53" t="str">
        <x:v>PRJ-117</x:v>
      </x:c>
      <x:c r="B120" s="53" t="str">
        <x:v>SCI-AGRI-06</x:v>
      </x:c>
      <x:c r="C120" s="53" t="str">
        <x:v>AGRI</x:v>
      </x:c>
      <x:c r="D120" s="53" t="str">
        <x:v>Практическая проверка: Ирригация, влажность и водный баланс</x:v>
      </x:c>
      <x:c r="E120" s="53" t="str">
        <x:v>LOW_RISK_BENCH_OR_FIELD</x:v>
      </x:c>
      <x:c r="F120" s="53" t="str">
        <x:v>Объяснить базовую модель, выполнить допустимую для класса риска проверку и документировать пределы по теме «Ирригация, влажность и водный баланс».</x:v>
      </x:c>
      <x:c r="G120" s="53" t="str">
        <x:v>SCI-AGRI-05|SCI-METH-13|право остановить опыт|инструкция оборудования</x:v>
      </x:c>
      <x:c r="H120" s="53" t="str">
        <x:v>TBD_NON_EXECUTABLE: точные item/model/material/range/PPE для урожай/вода/почва должны быть утверждены до начала</x:v>
      </x:c>
      <x:c r="I120" s="53" t="str">
        <x:v>Сформулировать вопрос; записать метод и единицы; выполнить объём воды, площадь, погода и состояние растения; сохранить сырые данные; повторить; оценить неопределённость; сделать ограниченный вывод.</x:v>
      </x:c>
      <x:c r="J120" s="53" t="str">
        <x:v>объём воды, площадь, погода и состояние растения</x:v>
      </x:c>
      <x:c r="K120" s="53" t="str">
        <x:v>SI или явно названный стандарт</x:v>
      </x:c>
      <x:c r="L120" s="53" t="str">
        <x:v>TBD_BEFORE_EXECUTION_FROM_EXACT_METHOD: диапазон/критерий фиксируется до результата; post-hoc подгонка запрещена.</x:v>
      </x:c>
      <x:c r="M120" s="53" t="str">
        <x:v>сырые данные + фото/скриншот при допустимости + расчёт + uncertainty + подпись reviewer + hash пакета</x:v>
      </x:c>
      <x:c r="N120" s="53" t="n">
        <x:v>3</x:v>
      </x:c>
      <x:c r="O120" s="53" t="str">
        <x:v>TBD_METHOD_SPECIFIC: range/resolution/bias/repeat spread/operator effects утверждаются до execution</x:v>
      </x:c>
      <x:c r="P120" s="53" t="str">
        <x:v>DESIGN_PLACEHOLDER_NOT_EXECUTABLE: item-specific hazard analysis, материалы, энергия, концентрация, СИЗ и отходы ещё не утверждены.</x:v>
      </x:c>
      <x:c r="Q120" s="53" t="str">
        <x:v>BLOCKED_BEFORE_START: до точного method/source review запрещено начинать; после review нужны наблюдаемые численные/событийные stop conditions.</x:v>
      </x:c>
      <x:c r="R120" s="53" t="str">
        <x:v>TBD_ITEM_SPECIFIC_AND_LOCAL: пока маршрут отходов не утверждён, физическое выполнение блокировано.</x:v>
      </x:c>
      <x:c r="S120" s="53" t="str">
        <x:v>S1_LOW_RISK_HOUSEHOLD</x:v>
      </x:c>
      <x:c r="T120" s="53" t="str">
        <x:v>S1 допускается только после замены всех DESIGN/TBD полей точным low-risk методом и независимой safety-проверки.</x:v>
      </x:c>
      <x:c r="U120" s="53" t="n">
        <x:v>3</x:v>
      </x:c>
      <x:c r="V120" s="53" t="str">
        <x:v>TBD_LOCAL_SEASON</x:v>
      </x:c>
      <x:c r="W120" s="53" t="str">
        <x:v>records/science/SCI-AGRI-06/YYYY-MM-DD/</x:v>
      </x:c>
      <x:c r="X120" s="53" t="str">
        <x:v>PSP-041|PSP-045</x:v>
      </x:c>
      <x:c r="Y120" s="53" t="str">
        <x:v>PROVISIONAL_TOPIC_CANDIDATES_NOT_METHOD_REVIEWED</x:v>
      </x:c>
      <x:c r="Z120" s="53" t="str">
        <x:v>BLOCKED_UNTIL_EXACT_METHOD_SOURCE_SAFETY_AND_LOCAL_REVIEW</x:v>
      </x:c>
      <x:c r="AA120" s="53" t="str">
        <x:v>DESIGN_ONLY_NOT_EXECUTED</x:v>
      </x:c>
      <x:c r="AB12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0" s="53" t="str">
        <x:v>0.4</x:v>
      </x:c>
    </x:row>
    <x:row r="121">
      <x:c r="A121" s="26" t="str">
        <x:v>PRJ-118</x:v>
      </x:c>
      <x:c r="B121" s="26" t="str">
        <x:v>SCI-AGRI-07</x:v>
      </x:c>
      <x:c r="C121" s="26" t="str">
        <x:v>AGRI</x:v>
      </x:c>
      <x:c r="D121" s="26" t="str">
        <x:v>Практическая проверка: Компостирование и санитарные границы</x:v>
      </x:c>
      <x:c r="E121" s="26" t="str">
        <x:v>LOW_RISK_BENCH_OR_FIELD</x:v>
      </x:c>
      <x:c r="F121" s="26" t="str">
        <x:v>Объяснить базовую модель, выполнить допустимую для класса риска проверку и документировать пределы по теме «Компостирование и санитарные границы».</x:v>
      </x:c>
      <x:c r="G121" s="26" t="str">
        <x:v>SCI-AGRI-06|SCI-METH-13|право остановить опыт|инструкция оборудования</x:v>
      </x:c>
      <x:c r="H121" s="26" t="str">
        <x:v>TBD_NON_EXECUTABLE: точные item/model/material/range/PPE для урожай/вода/почва должны быть утверждены до начала</x:v>
      </x:c>
      <x:c r="I121" s="26" t="str">
        <x:v>Сформулировать вопрос; записать метод и единицы; выполнить температурный журнал растительного компоста; животные/медицинские отходы исключены; сохранить сырые данные; повторить; оценить неопределённость; сделать ограниченный вывод.</x:v>
      </x:c>
      <x:c r="J121" s="26" t="str">
        <x:v>температурный журнал растительного компоста; животные/медицинские отходы исключены</x:v>
      </x:c>
      <x:c r="K121" s="26" t="str">
        <x:v>SI или явно названный стандарт</x:v>
      </x:c>
      <x:c r="L121" s="26" t="str">
        <x:v>TBD_BEFORE_EXECUTION_FROM_EXACT_METHOD: диапазон/критерий фиксируется до результата; post-hoc подгонка запрещена.</x:v>
      </x:c>
      <x:c r="M121" s="26" t="str">
        <x:v>сырые данные + фото/скриншот при допустимости + расчёт + uncertainty + подпись reviewer + hash пакета</x:v>
      </x:c>
      <x:c r="N121" s="26" t="n">
        <x:v>3</x:v>
      </x:c>
      <x:c r="O121" s="26" t="str">
        <x:v>TBD_METHOD_SPECIFIC: range/resolution/bias/repeat spread/operator effects утверждаются до execution</x:v>
      </x:c>
      <x:c r="P121" s="26" t="str">
        <x:v>DESIGN_PLACEHOLDER_NOT_EXECUTABLE: item-specific hazard analysis, материалы, энергия, концентрация, СИЗ и отходы ещё не утверждены.</x:v>
      </x:c>
      <x:c r="Q121" s="26" t="str">
        <x:v>BLOCKED_BEFORE_START: до точного method/source review запрещено начинать; после review нужны наблюдаемые численные/событийные stop conditions.</x:v>
      </x:c>
      <x:c r="R121" s="26" t="str">
        <x:v>TBD_ITEM_SPECIFIC_AND_LOCAL: пока маршрут отходов не утверждён, физическое выполнение блокировано.</x:v>
      </x:c>
      <x:c r="S121" s="26" t="str">
        <x:v>S1_LOW_RISK_HOUSEHOLD</x:v>
      </x:c>
      <x:c r="T121" s="26" t="str">
        <x:v>S1 допускается только после замены всех DESIGN/TBD полей точным low-risk методом и независимой safety-проверки.</x:v>
      </x:c>
      <x:c r="U121" s="26" t="n">
        <x:v>3</x:v>
      </x:c>
      <x:c r="V121" s="26" t="str">
        <x:v>TBD_LOCAL_SEASON</x:v>
      </x:c>
      <x:c r="W121" s="26" t="str">
        <x:v>records/science/SCI-AGRI-07/YYYY-MM-DD/</x:v>
      </x:c>
      <x:c r="X121" s="26" t="str">
        <x:v>PSP-041|PSP-045</x:v>
      </x:c>
      <x:c r="Y121" s="26" t="str">
        <x:v>PROVISIONAL_TOPIC_CANDIDATES_NOT_METHOD_REVIEWED</x:v>
      </x:c>
      <x:c r="Z121" s="26" t="str">
        <x:v>BLOCKED_UNTIL_EXACT_METHOD_SOURCE_SAFETY_AND_LOCAL_REVIEW</x:v>
      </x:c>
      <x:c r="AA121" s="26" t="str">
        <x:v>DESIGN_ONLY_NOT_EXECUTED</x:v>
      </x:c>
      <x:c r="AB12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1" s="26" t="str">
        <x:v>0.4</x:v>
      </x:c>
    </x:row>
    <x:row r="122">
      <x:c r="A122" s="53" t="str">
        <x:v>PRJ-119</x:v>
      </x:c>
      <x:c r="B122" s="53" t="str">
        <x:v>SCI-AGRI-08</x:v>
      </x:c>
      <x:c r="C122" s="53" t="str">
        <x:v>AGRI</x:v>
      </x:c>
      <x:c r="D122" s="53" t="str">
        <x:v>Практическая проверка: Питательность почвы и безопасное внесение</x:v>
      </x:c>
      <x:c r="E122" s="53" t="str">
        <x:v>SUPERVISED_DEMONSTRATION_ONLY</x:v>
      </x:c>
      <x:c r="F122" s="53" t="str">
        <x:v>Объяснить базовую модель, выполнить допустимую для класса риска проверку и документировать пределы по теме «Питательность почвы и безопасное внесение».</x:v>
      </x:c>
      <x:c r="G122" s="53" t="str">
        <x:v>SCI-AGRI-07|SCI-METH-13|право остановить опыт|инструкция оборудования</x:v>
      </x:c>
      <x:c r="H122" s="53" t="str">
        <x:v>TBD_NON_EXECUTABLE: точные item/model/material/range/PPE для урожай/вода/почва должны быть утверждены до начала</x:v>
      </x:c>
      <x:c r="I122" s="53" t="str">
        <x:v>До допуска: обучение и checklist. Затем только под компетентным надзором выполнить безопасную часть: решение по лабораторному анализу и этикетке; без самодельной химии. Результат и отклонения подписывает supervisor.</x:v>
      </x:c>
      <x:c r="J122" s="53" t="str">
        <x:v>решение по лабораторному анализу и этикетке; без самодельной химии</x:v>
      </x:c>
      <x:c r="K122" s="53" t="str">
        <x:v>SI или явно названный стандарт</x:v>
      </x:c>
      <x:c r="L122" s="53" t="str">
        <x:v>TBD_BEFORE_EXECUTION_FROM_EXACT_METHOD: диапазон/критерий фиксируется до результата; post-hoc подгонка запрещена.</x:v>
      </x:c>
      <x:c r="M122" s="53" t="str">
        <x:v>сырые данные + фото/скриншот при допустимости + расчёт + uncertainty + подпись reviewer + hash пакета</x:v>
      </x:c>
      <x:c r="N122" s="53" t="n">
        <x:v>1</x:v>
      </x:c>
      <x:c r="O122" s="53" t="str">
        <x:v>TBD_METHOD_SPECIFIC: range/resolution/bias/repeat spread/operator effects утверждаются до execution</x:v>
      </x:c>
      <x:c r="P122" s="53" t="str">
        <x:v>DESIGN_PLACEHOLDER_NOT_EXECUTABLE: item-specific hazard analysis, материалы, энергия, концентрация, СИЗ и отходы ещё не утверждены.</x:v>
      </x:c>
      <x:c r="Q122" s="53" t="str">
        <x:v>BLOCKED_BEFORE_START: до точного method/source review запрещено начинать; после review нужны наблюдаемые численные/событийные stop conditions.</x:v>
      </x:c>
      <x:c r="R122" s="53" t="str">
        <x:v>TBD_ITEM_SPECIFIC_AND_LOCAL: пока маршрут отходов не утверждён, физическое выполнение блокировано.</x:v>
      </x:c>
      <x:c r="S122" s="53" t="str">
        <x:v>S2_TRAINED_SUPERVISED</x:v>
      </x:c>
      <x:c r="T122" s="53" t="str">
        <x:v>Компетентный инструктор/ответственный специалист присутствует и может немедленно остановить работу.</x:v>
      </x:c>
      <x:c r="U122" s="53" t="n">
        <x:v>3</x:v>
      </x:c>
      <x:c r="V122" s="53" t="str">
        <x:v>TBD_LOCAL_SEASON</x:v>
      </x:c>
      <x:c r="W122" s="53" t="str">
        <x:v>records/science/SCI-AGRI-08/YYYY-MM-DD/</x:v>
      </x:c>
      <x:c r="X122" s="53" t="str">
        <x:v>PSP-041|PSP-045</x:v>
      </x:c>
      <x:c r="Y122" s="53" t="str">
        <x:v>PROVISIONAL_TOPIC_CANDIDATES_NOT_METHOD_REVIEWED</x:v>
      </x:c>
      <x:c r="Z122" s="53" t="str">
        <x:v>BLOCKED_UNTIL_EXACT_METHOD_SOURCE_SAFETY_AND_LOCAL_REVIEW</x:v>
      </x:c>
      <x:c r="AA122" s="53" t="str">
        <x:v>DESIGN_ONLY_NOT_EXECUTED</x:v>
      </x:c>
      <x:c r="AB12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2" s="53" t="str">
        <x:v>0.4</x:v>
      </x:c>
    </x:row>
    <x:row r="123">
      <x:c r="A123" s="26" t="str">
        <x:v>PRJ-120</x:v>
      </x:c>
      <x:c r="B123" s="26" t="str">
        <x:v>SCI-AGRI-09</x:v>
      </x:c>
      <x:c r="C123" s="26" t="str">
        <x:v>AGRI</x:v>
      </x:c>
      <x:c r="D123" s="26" t="str">
        <x:v>Практическая проверка: Интегрированная защита растений</x:v>
      </x:c>
      <x:c r="E123" s="26" t="str">
        <x:v>SUPERVISED_DEMONSTRATION_ONLY</x:v>
      </x:c>
      <x:c r="F123" s="26" t="str">
        <x:v>Объяснить базовую модель, выполнить допустимую для класса риска проверку и документировать пределы по теме «Интегрированная защита растений».</x:v>
      </x:c>
      <x:c r="G123" s="26" t="str">
        <x:v>SCI-AGRI-08|SCI-METH-13|право остановить опыт|инструкция оборудования</x:v>
      </x:c>
      <x:c r="H123" s="26" t="str">
        <x:v>TBD_NON_EXECUTABLE: точные item/model/material/range/PPE для урожай/вода/почва должны быть утверждены до начала</x:v>
      </x:c>
      <x:c r="I123" s="26" t="str">
        <x:v>До допуска: обучение и checklist. Затем только под компетентным надзором выполнить безопасную часть: порог наблюдения, идентификация и минимальное законное вмешательство. Результат и отклонения подписывает supervisor.</x:v>
      </x:c>
      <x:c r="J123" s="26" t="str">
        <x:v>порог наблюдения, идентификация и минимальное законное вмешательство</x:v>
      </x:c>
      <x:c r="K123" s="26" t="str">
        <x:v>SI или явно названный стандарт</x:v>
      </x:c>
      <x:c r="L123" s="26" t="str">
        <x:v>TBD_BEFORE_EXECUTION_FROM_EXACT_METHOD: диапазон/критерий фиксируется до результата; post-hoc подгонка запрещена.</x:v>
      </x:c>
      <x:c r="M123" s="26" t="str">
        <x:v>сырые данные + фото/скриншот при допустимости + расчёт + uncertainty + подпись reviewer + hash пакета</x:v>
      </x:c>
      <x:c r="N123" s="26" t="n">
        <x:v>1</x:v>
      </x:c>
      <x:c r="O123" s="26" t="str">
        <x:v>TBD_METHOD_SPECIFIC: range/resolution/bias/repeat spread/operator effects утверждаются до execution</x:v>
      </x:c>
      <x:c r="P123" s="26" t="str">
        <x:v>DESIGN_PLACEHOLDER_NOT_EXECUTABLE: item-specific hazard analysis, материалы, энергия, концентрация, СИЗ и отходы ещё не утверждены.</x:v>
      </x:c>
      <x:c r="Q123" s="26" t="str">
        <x:v>BLOCKED_BEFORE_START: до точного method/source review запрещено начинать; после review нужны наблюдаемые численные/событийные stop conditions.</x:v>
      </x:c>
      <x:c r="R123" s="26" t="str">
        <x:v>TBD_ITEM_SPECIFIC_AND_LOCAL: пока маршрут отходов не утверждён, физическое выполнение блокировано.</x:v>
      </x:c>
      <x:c r="S123" s="26" t="str">
        <x:v>S2_TRAINED_SUPERVISED</x:v>
      </x:c>
      <x:c r="T123" s="26" t="str">
        <x:v>Компетентный инструктор/ответственный специалист присутствует и может немедленно остановить работу.</x:v>
      </x:c>
      <x:c r="U123" s="26" t="n">
        <x:v>3</x:v>
      </x:c>
      <x:c r="V123" s="26" t="str">
        <x:v>TBD_LOCAL_SEASON</x:v>
      </x:c>
      <x:c r="W123" s="26" t="str">
        <x:v>records/science/SCI-AGRI-09/YYYY-MM-DD/</x:v>
      </x:c>
      <x:c r="X123" s="26" t="str">
        <x:v>PSP-091|PSP-050</x:v>
      </x:c>
      <x:c r="Y123" s="26" t="str">
        <x:v>PROVISIONAL_TOPIC_CANDIDATES_NOT_METHOD_REVIEWED</x:v>
      </x:c>
      <x:c r="Z123" s="26" t="str">
        <x:v>BLOCKED_UNTIL_EXACT_METHOD_SOURCE_SAFETY_AND_LOCAL_REVIEW</x:v>
      </x:c>
      <x:c r="AA123" s="26" t="str">
        <x:v>DESIGN_ONLY_NOT_EXECUTED</x:v>
      </x:c>
      <x:c r="AB12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3" s="26" t="str">
        <x:v>0.4</x:v>
      </x:c>
    </x:row>
    <x:row r="124">
      <x:c r="A124" s="53" t="str">
        <x:v>PRJ-121</x:v>
      </x:c>
      <x:c r="B124" s="53" t="str">
        <x:v>SCI-AGRI-10</x:v>
      </x:c>
      <x:c r="C124" s="53" t="str">
        <x:v>AGRI</x:v>
      </x:c>
      <x:c r="D124" s="53" t="str">
        <x:v>Практическая проверка: Болезни растений и карантин</x:v>
      </x:c>
      <x:c r="E124" s="53" t="str">
        <x:v>SUPERVISED_DEMONSTRATION_ONLY</x:v>
      </x:c>
      <x:c r="F124" s="53" t="str">
        <x:v>Объяснить базовую модель, выполнить допустимую для класса риска проверку и документировать пределы по теме «Болезни растений и карантин».</x:v>
      </x:c>
      <x:c r="G124" s="53" t="str">
        <x:v>SCI-AGRI-09|SCI-METH-13|право остановить опыт|инструкция оборудования</x:v>
      </x:c>
      <x:c r="H124" s="53" t="str">
        <x:v>TBD_NON_EXECUTABLE: точные item/model/material/range/PPE для урожай/вода/почва должны быть утверждены до начала</x:v>
      </x:c>
      <x:c r="I124" s="53" t="str">
        <x:v>До допуска: обучение и checklist. Затем только под компетентным надзором выполнить безопасную часть: фото, изоляция, очистка инструмента и обращение к официальной службе. Результат и отклонения подписывает supervisor.</x:v>
      </x:c>
      <x:c r="J124" s="53" t="str">
        <x:v>фото, изоляция, очистка инструмента и обращение к официальной службе</x:v>
      </x:c>
      <x:c r="K124" s="53" t="str">
        <x:v>SI или явно названный стандарт</x:v>
      </x:c>
      <x:c r="L124" s="53" t="str">
        <x:v>TBD_BEFORE_EXECUTION_FROM_EXACT_METHOD: диапазон/критерий фиксируется до результата; post-hoc подгонка запрещена.</x:v>
      </x:c>
      <x:c r="M124" s="53" t="str">
        <x:v>сырые данные + фото/скриншот при допустимости + расчёт + uncertainty + подпись reviewer + hash пакета</x:v>
      </x:c>
      <x:c r="N124" s="53" t="n">
        <x:v>1</x:v>
      </x:c>
      <x:c r="O124" s="53" t="str">
        <x:v>TBD_METHOD_SPECIFIC: range/resolution/bias/repeat spread/operator effects утверждаются до execution</x:v>
      </x:c>
      <x:c r="P124" s="53" t="str">
        <x:v>DESIGN_PLACEHOLDER_NOT_EXECUTABLE: item-specific hazard analysis, материалы, энергия, концентрация, СИЗ и отходы ещё не утверждены.</x:v>
      </x:c>
      <x:c r="Q124" s="53" t="str">
        <x:v>BLOCKED_BEFORE_START: до точного method/source review запрещено начинать; после review нужны наблюдаемые численные/событийные stop conditions.</x:v>
      </x:c>
      <x:c r="R124" s="53" t="str">
        <x:v>TBD_ITEM_SPECIFIC_AND_LOCAL: пока маршрут отходов не утверждён, физическое выполнение блокировано.</x:v>
      </x:c>
      <x:c r="S124" s="53" t="str">
        <x:v>S2_TRAINED_SUPERVISED</x:v>
      </x:c>
      <x:c r="T124" s="53" t="str">
        <x:v>Компетентный инструктор/ответственный специалист присутствует и может немедленно остановить работу.</x:v>
      </x:c>
      <x:c r="U124" s="53" t="n">
        <x:v>3</x:v>
      </x:c>
      <x:c r="V124" s="53" t="str">
        <x:v>TBD_LOCAL_SEASON</x:v>
      </x:c>
      <x:c r="W124" s="53" t="str">
        <x:v>records/science/SCI-AGRI-10/YYYY-MM-DD/</x:v>
      </x:c>
      <x:c r="X124" s="53" t="str">
        <x:v>PSP-091|PSP-050</x:v>
      </x:c>
      <x:c r="Y124" s="53" t="str">
        <x:v>PROVISIONAL_TOPIC_CANDIDATES_NOT_METHOD_REVIEWED</x:v>
      </x:c>
      <x:c r="Z124" s="53" t="str">
        <x:v>BLOCKED_UNTIL_EXACT_METHOD_SOURCE_SAFETY_AND_LOCAL_REVIEW</x:v>
      </x:c>
      <x:c r="AA124" s="53" t="str">
        <x:v>DESIGN_ONLY_NOT_EXECUTED</x:v>
      </x:c>
      <x:c r="AB12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4" s="53" t="str">
        <x:v>0.4</x:v>
      </x:c>
    </x:row>
    <x:row r="125">
      <x:c r="A125" s="26" t="str">
        <x:v>PRJ-122</x:v>
      </x:c>
      <x:c r="B125" s="26" t="str">
        <x:v>SCI-AGRI-11</x:v>
      </x:c>
      <x:c r="C125" s="26" t="str">
        <x:v>AGRI</x:v>
      </x:c>
      <x:c r="D125" s="26" t="str">
        <x:v>Практическая проверка: Теплица, вентиляция и микроклимат</x:v>
      </x:c>
      <x:c r="E125" s="26" t="str">
        <x:v>LOW_RISK_BENCH_OR_FIELD</x:v>
      </x:c>
      <x:c r="F125" s="26" t="str">
        <x:v>Объяснить базовую модель, выполнить допустимую для класса риска проверку и документировать пределы по теме «Теплица, вентиляция и микроклимат».</x:v>
      </x:c>
      <x:c r="G125" s="26" t="str">
        <x:v>SCI-AGRI-10|SCI-METH-13|право остановить опыт|инструкция оборудования</x:v>
      </x:c>
      <x:c r="H125" s="26" t="str">
        <x:v>TBD_NON_EXECUTABLE: точные item/model/material/range/PPE для урожай/вода/почва должны быть утверждены до начала</x:v>
      </x:c>
      <x:c r="I125" s="26" t="str">
        <x:v>Сформулировать вопрос; записать метод и единицы; выполнить температура/влажность и безопасный режим вентиляции; сохранить сырые данные; повторить; оценить неопределённость; сделать ограниченный вывод.</x:v>
      </x:c>
      <x:c r="J125" s="26" t="str">
        <x:v>температура/влажность и безопасный режим вентиляции</x:v>
      </x:c>
      <x:c r="K125" s="26" t="str">
        <x:v>SI или явно названный стандарт</x:v>
      </x:c>
      <x:c r="L125" s="26" t="str">
        <x:v>TBD_BEFORE_EXECUTION_FROM_EXACT_METHOD: диапазон/критерий фиксируется до результата; post-hoc подгонка запрещена.</x:v>
      </x:c>
      <x:c r="M125" s="26" t="str">
        <x:v>сырые данные + фото/скриншот при допустимости + расчёт + uncertainty + подпись reviewer + hash пакета</x:v>
      </x:c>
      <x:c r="N125" s="26" t="n">
        <x:v>3</x:v>
      </x:c>
      <x:c r="O125" s="26" t="str">
        <x:v>TBD_METHOD_SPECIFIC: range/resolution/bias/repeat spread/operator effects утверждаются до execution</x:v>
      </x:c>
      <x:c r="P125" s="26" t="str">
        <x:v>DESIGN_PLACEHOLDER_NOT_EXECUTABLE: item-specific hazard analysis, материалы, энергия, концентрация, СИЗ и отходы ещё не утверждены.</x:v>
      </x:c>
      <x:c r="Q125" s="26" t="str">
        <x:v>BLOCKED_BEFORE_START: до точного method/source review запрещено начинать; после review нужны наблюдаемые численные/событийные stop conditions.</x:v>
      </x:c>
      <x:c r="R125" s="26" t="str">
        <x:v>TBD_ITEM_SPECIFIC_AND_LOCAL: пока маршрут отходов не утверждён, физическое выполнение блокировано.</x:v>
      </x:c>
      <x:c r="S125" s="26" t="str">
        <x:v>S1_LOW_RISK_HOUSEHOLD</x:v>
      </x:c>
      <x:c r="T125" s="26" t="str">
        <x:v>S1 допускается только после замены всех DESIGN/TBD полей точным low-risk методом и независимой safety-проверки.</x:v>
      </x:c>
      <x:c r="U125" s="26" t="n">
        <x:v>3</x:v>
      </x:c>
      <x:c r="V125" s="26" t="str">
        <x:v>TBD_LOCAL_SEASON</x:v>
      </x:c>
      <x:c r="W125" s="26" t="str">
        <x:v>records/science/SCI-AGRI-11/YYYY-MM-DD/</x:v>
      </x:c>
      <x:c r="X125" s="26" t="str">
        <x:v>PSP-041|PSP-045</x:v>
      </x:c>
      <x:c r="Y125" s="26" t="str">
        <x:v>PROVISIONAL_TOPIC_CANDIDATES_NOT_METHOD_REVIEWED</x:v>
      </x:c>
      <x:c r="Z125" s="26" t="str">
        <x:v>BLOCKED_UNTIL_EXACT_METHOD_SOURCE_SAFETY_AND_LOCAL_REVIEW</x:v>
      </x:c>
      <x:c r="AA125" s="26" t="str">
        <x:v>DESIGN_ONLY_NOT_EXECUTED</x:v>
      </x:c>
      <x:c r="AB12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5" s="26" t="str">
        <x:v>0.4</x:v>
      </x:c>
    </x:row>
    <x:row r="126">
      <x:c r="A126" s="53" t="str">
        <x:v>PRJ-123</x:v>
      </x:c>
      <x:c r="B126" s="53" t="str">
        <x:v>SCI-AGRI-12</x:v>
      </x:c>
      <x:c r="C126" s="53" t="str">
        <x:v>AGRI</x:v>
      </x:c>
      <x:c r="D126" s="53" t="str">
        <x:v>Практическая проверка: Лес, агролесоводство и пожарный интерфейс</x:v>
      </x:c>
      <x:c r="E126" s="53" t="str">
        <x:v>SUPERVISED_DEMONSTRATION_ONLY</x:v>
      </x:c>
      <x:c r="F126" s="53" t="str">
        <x:v>Объяснить базовую модель, выполнить допустимую для класса риска проверку и документировать пределы по теме «Лес, агролесоводство и пожарный интерфейс».</x:v>
      </x:c>
      <x:c r="G126" s="53" t="str">
        <x:v>SCI-AGRI-11|SCI-METH-13|право остановить опыт|инструкция оборудования</x:v>
      </x:c>
      <x:c r="H126" s="53" t="str">
        <x:v>TBD_NON_EXECUTABLE: точные item/model/material/range/PPE для урожай/вода/почва должны быть утверждены до начала</x:v>
      </x:c>
      <x:c r="I126" s="53" t="str">
        <x:v>До допуска: обучение и checklist. Затем только под компетентным надзором выполнить безопасную часть: карта топлива и легальная профилактика без самостоятельного огня. Результат и отклонения подписывает supervisor.</x:v>
      </x:c>
      <x:c r="J126" s="53" t="str">
        <x:v>карта топлива и легальная профилактика без самостоятельного огня</x:v>
      </x:c>
      <x:c r="K126" s="53" t="str">
        <x:v>SI или явно названный стандарт</x:v>
      </x:c>
      <x:c r="L126" s="53" t="str">
        <x:v>TBD_BEFORE_EXECUTION_FROM_EXACT_METHOD: диапазон/критерий фиксируется до результата; post-hoc подгонка запрещена.</x:v>
      </x:c>
      <x:c r="M126" s="53" t="str">
        <x:v>сырые данные + фото/скриншот при допустимости + расчёт + uncertainty + подпись reviewer + hash пакета</x:v>
      </x:c>
      <x:c r="N126" s="53" t="n">
        <x:v>1</x:v>
      </x:c>
      <x:c r="O126" s="53" t="str">
        <x:v>TBD_METHOD_SPECIFIC: range/resolution/bias/repeat spread/operator effects утверждаются до execution</x:v>
      </x:c>
      <x:c r="P126" s="53" t="str">
        <x:v>DESIGN_PLACEHOLDER_NOT_EXECUTABLE: item-specific hazard analysis, материалы, энергия, концентрация, СИЗ и отходы ещё не утверждены.</x:v>
      </x:c>
      <x:c r="Q126" s="53" t="str">
        <x:v>BLOCKED_BEFORE_START: до точного method/source review запрещено начинать; после review нужны наблюдаемые численные/событийные stop conditions.</x:v>
      </x:c>
      <x:c r="R126" s="53" t="str">
        <x:v>TBD_ITEM_SPECIFIC_AND_LOCAL: пока маршрут отходов не утверждён, физическое выполнение блокировано.</x:v>
      </x:c>
      <x:c r="S126" s="53" t="str">
        <x:v>S2_TRAINED_SUPERVISED</x:v>
      </x:c>
      <x:c r="T126" s="53" t="str">
        <x:v>Компетентный инструктор/ответственный специалист присутствует и может немедленно остановить работу.</x:v>
      </x:c>
      <x:c r="U126" s="53" t="n">
        <x:v>3</x:v>
      </x:c>
      <x:c r="V126" s="53" t="str">
        <x:v>TBD_LOCAL_SEASON</x:v>
      </x:c>
      <x:c r="W126" s="53" t="str">
        <x:v>records/science/SCI-AGRI-12/YYYY-MM-DD/</x:v>
      </x:c>
      <x:c r="X126" s="53" t="str">
        <x:v>PSP-041|PSP-045</x:v>
      </x:c>
      <x:c r="Y126" s="53" t="str">
        <x:v>PROVISIONAL_TOPIC_CANDIDATES_NOT_METHOD_REVIEWED</x:v>
      </x:c>
      <x:c r="Z126" s="53" t="str">
        <x:v>BLOCKED_UNTIL_EXACT_METHOD_SOURCE_SAFETY_AND_LOCAL_REVIEW</x:v>
      </x:c>
      <x:c r="AA126" s="53" t="str">
        <x:v>DESIGN_ONLY_NOT_EXECUTED</x:v>
      </x:c>
      <x:c r="AB12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6" s="53" t="str">
        <x:v>0.4</x:v>
      </x:c>
    </x:row>
    <x:row r="127">
      <x:c r="A127" s="26" t="str">
        <x:v>PRJ-124</x:v>
      </x:c>
      <x:c r="B127" s="26" t="str">
        <x:v>SCI-AGRI-13</x:v>
      </x:c>
      <x:c r="C127" s="26" t="str">
        <x:v>AGRI</x:v>
      </x:c>
      <x:c r="D127" s="26" t="str">
        <x:v>Практическая проверка: Содержание животных и welfare</x:v>
      </x:c>
      <x:c r="E127" s="26" t="str">
        <x:v>SUPERVISED_DEMONSTRATION_ONLY</x:v>
      </x:c>
      <x:c r="F127" s="26" t="str">
        <x:v>Объяснить базовую модель, выполнить допустимую для класса риска проверку и документировать пределы по теме «Содержание животных и welfare».</x:v>
      </x:c>
      <x:c r="G127" s="26" t="str">
        <x:v>SCI-AGRI-12|SCI-METH-13|право остановить опыт|инструкция оборудования</x:v>
      </x:c>
      <x:c r="H127" s="26" t="str">
        <x:v>TBD_NON_EXECUTABLE: точные item/model/material/range/PPE для урожай/вода/почва должны быть утверждены до начала</x:v>
      </x:c>
      <x:c r="I127" s="26" t="str">
        <x:v>До допуска: обучение и checklist. Затем только под компетентным надзором выполнить безопасную часть: вода, корм, поведение, укрытие и вызов ветеринара. Результат и отклонения подписывает supervisor.</x:v>
      </x:c>
      <x:c r="J127" s="26" t="str">
        <x:v>вода, корм, поведение, укрытие и вызов ветеринара</x:v>
      </x:c>
      <x:c r="K127" s="26" t="str">
        <x:v>SI или явно названный стандарт</x:v>
      </x:c>
      <x:c r="L127" s="26" t="str">
        <x:v>TBD_BEFORE_EXECUTION_FROM_EXACT_METHOD: диапазон/критерий фиксируется до результата; post-hoc подгонка запрещена.</x:v>
      </x:c>
      <x:c r="M127" s="26" t="str">
        <x:v>сырые данные + фото/скриншот при допустимости + расчёт + uncertainty + подпись reviewer + hash пакета</x:v>
      </x:c>
      <x:c r="N127" s="26" t="n">
        <x:v>1</x:v>
      </x:c>
      <x:c r="O127" s="26" t="str">
        <x:v>TBD_METHOD_SPECIFIC: range/resolution/bias/repeat spread/operator effects утверждаются до execution</x:v>
      </x:c>
      <x:c r="P127" s="26" t="str">
        <x:v>DESIGN_PLACEHOLDER_NOT_EXECUTABLE: item-specific hazard analysis, материалы, энергия, концентрация, СИЗ и отходы ещё не утверждены.</x:v>
      </x:c>
      <x:c r="Q127" s="26" t="str">
        <x:v>BLOCKED_BEFORE_START: до точного method/source review запрещено начинать; после review нужны наблюдаемые численные/событийные stop conditions.</x:v>
      </x:c>
      <x:c r="R127" s="26" t="str">
        <x:v>TBD_ITEM_SPECIFIC_AND_LOCAL: пока маршрут отходов не утверждён, физическое выполнение блокировано.</x:v>
      </x:c>
      <x:c r="S127" s="26" t="str">
        <x:v>S2_TRAINED_SUPERVISED</x:v>
      </x:c>
      <x:c r="T127" s="26" t="str">
        <x:v>Компетентный инструктор/ответственный специалист присутствует и может немедленно остановить работу.</x:v>
      </x:c>
      <x:c r="U127" s="26" t="n">
        <x:v>3</x:v>
      </x:c>
      <x:c r="V127" s="26" t="str">
        <x:v>TBD_LOCAL_SEASON</x:v>
      </x:c>
      <x:c r="W127" s="26" t="str">
        <x:v>records/science/SCI-AGRI-13/YYYY-MM-DD/</x:v>
      </x:c>
      <x:c r="X127" s="26" t="str">
        <x:v>SUP-LEA-047|SUP-LEA-049</x:v>
      </x:c>
      <x:c r="Y127" s="26" t="str">
        <x:v>PROVISIONAL_TOPIC_CANDIDATES_NOT_METHOD_REVIEWED</x:v>
      </x:c>
      <x:c r="Z127" s="26" t="str">
        <x:v>BLOCKED_UNTIL_EXACT_METHOD_SOURCE_SAFETY_AND_LOCAL_REVIEW</x:v>
      </x:c>
      <x:c r="AA127" s="26" t="str">
        <x:v>DESIGN_ONLY_NOT_EXECUTED</x:v>
      </x:c>
      <x:c r="AB12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7" s="26" t="str">
        <x:v>0.4</x:v>
      </x:c>
    </x:row>
    <x:row r="128">
      <x:c r="A128" s="53" t="str">
        <x:v>PRJ-125</x:v>
      </x:c>
      <x:c r="B128" s="53" t="str">
        <x:v>SCI-AGRI-14</x:v>
      </x:c>
      <x:c r="C128" s="53" t="str">
        <x:v>AGRI</x:v>
      </x:c>
      <x:c r="D128" s="53" t="str">
        <x:v>Практическая проверка: Пастбище, корм и хранение</x:v>
      </x:c>
      <x:c r="E128" s="53" t="str">
        <x:v>LOW_RISK_BENCH_OR_FIELD</x:v>
      </x:c>
      <x:c r="F128" s="53" t="str">
        <x:v>Объяснить базовую модель, выполнить допустимую для класса риска проверку и документировать пределы по теме «Пастбище, корм и хранение».</x:v>
      </x:c>
      <x:c r="G128" s="53" t="str">
        <x:v>SCI-AGRI-13|SCI-METH-13|право остановить опыт|инструкция оборудования</x:v>
      </x:c>
      <x:c r="H128" s="53" t="str">
        <x:v>TBD_NON_EXECUTABLE: точные item/model/material/range/PPE для урожай/вода/почва должны быть утверждены до начала</x:v>
      </x:c>
      <x:c r="I128" s="53" t="str">
        <x:v>Сформулировать вопрос; записать метод и единицы; выполнить инвентарный баланс и признаки порчи без кормления сомнительным материалом; сохранить сырые данные; повторить; оценить неопределённость; сделать ограниченный вывод.</x:v>
      </x:c>
      <x:c r="J128" s="53" t="str">
        <x:v>инвентарный баланс и признаки порчи без кормления сомнительным материалом</x:v>
      </x:c>
      <x:c r="K128" s="53" t="str">
        <x:v>SI или явно названный стандарт</x:v>
      </x:c>
      <x:c r="L128" s="53" t="str">
        <x:v>TBD_BEFORE_EXECUTION_FROM_EXACT_METHOD: диапазон/критерий фиксируется до результата; post-hoc подгонка запрещена.</x:v>
      </x:c>
      <x:c r="M128" s="53" t="str">
        <x:v>сырые данные + фото/скриншот при допустимости + расчёт + uncertainty + подпись reviewer + hash пакета</x:v>
      </x:c>
      <x:c r="N128" s="53" t="n">
        <x:v>3</x:v>
      </x:c>
      <x:c r="O128" s="53" t="str">
        <x:v>TBD_METHOD_SPECIFIC: range/resolution/bias/repeat spread/operator effects утверждаются до execution</x:v>
      </x:c>
      <x:c r="P128" s="53" t="str">
        <x:v>DESIGN_PLACEHOLDER_NOT_EXECUTABLE: item-specific hazard analysis, материалы, энергия, концентрация, СИЗ и отходы ещё не утверждены.</x:v>
      </x:c>
      <x:c r="Q128" s="53" t="str">
        <x:v>BLOCKED_BEFORE_START: до точного method/source review запрещено начинать; после review нужны наблюдаемые численные/событийные stop conditions.</x:v>
      </x:c>
      <x:c r="R128" s="53" t="str">
        <x:v>TBD_ITEM_SPECIFIC_AND_LOCAL: пока маршрут отходов не утверждён, физическое выполнение блокировано.</x:v>
      </x:c>
      <x:c r="S128" s="53" t="str">
        <x:v>S1_LOW_RISK_HOUSEHOLD</x:v>
      </x:c>
      <x:c r="T128" s="53" t="str">
        <x:v>S1 допускается только после замены всех DESIGN/TBD полей точным low-risk методом и независимой safety-проверки.</x:v>
      </x:c>
      <x:c r="U128" s="53" t="n">
        <x:v>3</x:v>
      </x:c>
      <x:c r="V128" s="53" t="str">
        <x:v>TBD_LOCAL_SEASON</x:v>
      </x:c>
      <x:c r="W128" s="53" t="str">
        <x:v>records/science/SCI-AGRI-14/YYYY-MM-DD/</x:v>
      </x:c>
      <x:c r="X128" s="53" t="str">
        <x:v>SUP-LEA-047|SUP-LEA-049</x:v>
      </x:c>
      <x:c r="Y128" s="53" t="str">
        <x:v>PROVISIONAL_TOPIC_CANDIDATES_NOT_METHOD_REVIEWED</x:v>
      </x:c>
      <x:c r="Z128" s="53" t="str">
        <x:v>BLOCKED_UNTIL_EXACT_METHOD_SOURCE_SAFETY_AND_LOCAL_REVIEW</x:v>
      </x:c>
      <x:c r="AA128" s="53" t="str">
        <x:v>DESIGN_ONLY_NOT_EXECUTED</x:v>
      </x:c>
      <x:c r="AB12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8" s="53" t="str">
        <x:v>0.4</x:v>
      </x:c>
    </x:row>
    <x:row r="129">
      <x:c r="A129" s="26" t="str">
        <x:v>PRJ-126</x:v>
      </x:c>
      <x:c r="B129" s="26" t="str">
        <x:v>SCI-AGRI-15</x:v>
      </x:c>
      <x:c r="C129" s="26" t="str">
        <x:v>AGRI</x:v>
      </x:c>
      <x:c r="D129" s="26" t="str">
        <x:v>Практическая проверка: Гигиена пищи, холодовая цепь и прослеживаемость</x:v>
      </x:c>
      <x:c r="E129" s="26" t="str">
        <x:v>LOW_RISK_BENCH_OR_FIELD</x:v>
      </x:c>
      <x:c r="F129" s="26" t="str">
        <x:v>Объяснить базовую модель, выполнить допустимую для класса риска проверку и документировать пределы по теме «Гигиена пищи, холодовая цепь и прослеживаемость».</x:v>
      </x:c>
      <x:c r="G129" s="26" t="str">
        <x:v>SCI-AGRI-14|SCI-METH-13|право остановить опыт|инструкция оборудования</x:v>
      </x:c>
      <x:c r="H129" s="26" t="str">
        <x:v>TBD_NON_EXECUTABLE: точные item/model/material/range/PPE для урожай/вода/почва должны быть утверждены до начала</x:v>
      </x:c>
      <x:c r="I129" s="26" t="str">
        <x:v>Сформулировать вопрос; записать метод и единицы; выполнить температурный журнал и lot trace; сохранить сырые данные; повторить; оценить неопределённость; сделать ограниченный вывод.</x:v>
      </x:c>
      <x:c r="J129" s="26" t="str">
        <x:v>температурный журнал и lot trace</x:v>
      </x:c>
      <x:c r="K129" s="26" t="str">
        <x:v>SI или явно названный стандарт</x:v>
      </x:c>
      <x:c r="L129" s="26" t="str">
        <x:v>TBD_BEFORE_EXECUTION_FROM_EXACT_METHOD: диапазон/критерий фиксируется до результата; post-hoc подгонка запрещена.</x:v>
      </x:c>
      <x:c r="M129" s="26" t="str">
        <x:v>сырые данные + фото/скриншот при допустимости + расчёт + uncertainty + подпись reviewer + hash пакета</x:v>
      </x:c>
      <x:c r="N129" s="26" t="n">
        <x:v>3</x:v>
      </x:c>
      <x:c r="O129" s="26" t="str">
        <x:v>TBD_METHOD_SPECIFIC: range/resolution/bias/repeat spread/operator effects утверждаются до execution</x:v>
      </x:c>
      <x:c r="P129" s="26" t="str">
        <x:v>DESIGN_PLACEHOLDER_NOT_EXECUTABLE: item-specific hazard analysis, материалы, энергия, концентрация, СИЗ и отходы ещё не утверждены.</x:v>
      </x:c>
      <x:c r="Q129" s="26" t="str">
        <x:v>BLOCKED_BEFORE_START: до точного method/source review запрещено начинать; после review нужны наблюдаемые численные/событийные stop conditions.</x:v>
      </x:c>
      <x:c r="R129" s="26" t="str">
        <x:v>TBD_ITEM_SPECIFIC_AND_LOCAL: пока маршрут отходов не утверждён, физическое выполнение блокировано.</x:v>
      </x:c>
      <x:c r="S129" s="26" t="str">
        <x:v>S1_LOW_RISK_HOUSEHOLD</x:v>
      </x:c>
      <x:c r="T129" s="26" t="str">
        <x:v>S1 допускается только после замены всех DESIGN/TBD полей точным low-risk методом и независимой safety-проверки.</x:v>
      </x:c>
      <x:c r="U129" s="26" t="n">
        <x:v>3</x:v>
      </x:c>
      <x:c r="V129" s="26" t="str">
        <x:v>TBD_LOCAL_SEASON</x:v>
      </x:c>
      <x:c r="W129" s="26" t="str">
        <x:v>records/science/SCI-AGRI-15/YYYY-MM-DD/</x:v>
      </x:c>
      <x:c r="X129" s="26" t="str">
        <x:v>SUP-LEA-037|SUP-LEA-038</x:v>
      </x:c>
      <x:c r="Y129" s="26" t="str">
        <x:v>PROVISIONAL_TOPIC_CANDIDATES_NOT_METHOD_REVIEWED</x:v>
      </x:c>
      <x:c r="Z129" s="26" t="str">
        <x:v>BLOCKED_UNTIL_EXACT_METHOD_SOURCE_SAFETY_AND_LOCAL_REVIEW</x:v>
      </x:c>
      <x:c r="AA129" s="26" t="str">
        <x:v>DESIGN_ONLY_NOT_EXECUTED</x:v>
      </x:c>
      <x:c r="AB12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29" s="26" t="str">
        <x:v>0.4</x:v>
      </x:c>
    </x:row>
    <x:row r="130">
      <x:c r="A130" s="53" t="str">
        <x:v>PRJ-127</x:v>
      </x:c>
      <x:c r="B130" s="53" t="str">
        <x:v>SCI-AGRI-16</x:v>
      </x:c>
      <x:c r="C130" s="53" t="str">
        <x:v>AGRI</x:v>
      </x:c>
      <x:c r="D130" s="53" t="str">
        <x:v>Практическая проверка: Консервирование только по валидированному процессу</x:v>
      </x:c>
      <x:c r="E130" s="53" t="str">
        <x:v>SUPERVISED_DEMONSTRATION_ONLY</x:v>
      </x:c>
      <x:c r="F130" s="53" t="str">
        <x:v>Объяснить базовую модель, выполнить допустимую для класса риска проверку и документировать пределы по теме «Консервирование только по валидированному процессу».</x:v>
      </x:c>
      <x:c r="G130" s="53" t="str">
        <x:v>SCI-AGRI-15|SCI-METH-13|право остановить опыт|инструкция оборудования</x:v>
      </x:c>
      <x:c r="H130" s="53" t="str">
        <x:v>TBD_NON_EXECUTABLE: точные item/model/material/range/PPE для урожай/вода/почва должны быть утверждены до начала</x:v>
      </x:c>
      <x:c r="I130" s="53" t="str">
        <x:v>До допуска: обучение и checklist. Затем только под компетентным надзором выполнить безопасную часть: следование официальному рецепту; низкокислотные продукты без валидированного pressure-canning запрещены. Результат и отклонения подписывает supervisor.</x:v>
      </x:c>
      <x:c r="J130" s="53" t="str">
        <x:v>следование официальному рецепту; низкокислотные продукты без валидированного pressure-canning запрещены</x:v>
      </x:c>
      <x:c r="K130" s="53" t="str">
        <x:v>SI или явно названный стандарт</x:v>
      </x:c>
      <x:c r="L130" s="53" t="str">
        <x:v>TBD_BEFORE_EXECUTION_FROM_EXACT_METHOD: диапазон/критерий фиксируется до результата; post-hoc подгонка запрещена.</x:v>
      </x:c>
      <x:c r="M130" s="53" t="str">
        <x:v>сырые данные + фото/скриншот при допустимости + расчёт + uncertainty + подпись reviewer + hash пакета</x:v>
      </x:c>
      <x:c r="N130" s="53" t="n">
        <x:v>1</x:v>
      </x:c>
      <x:c r="O130" s="53" t="str">
        <x:v>TBD_METHOD_SPECIFIC: range/resolution/bias/repeat spread/operator effects утверждаются до execution</x:v>
      </x:c>
      <x:c r="P130" s="53" t="str">
        <x:v>DESIGN_PLACEHOLDER_NOT_EXECUTABLE: item-specific hazard analysis, материалы, энергия, концентрация, СИЗ и отходы ещё не утверждены.</x:v>
      </x:c>
      <x:c r="Q130" s="53" t="str">
        <x:v>BLOCKED_BEFORE_START: до точного method/source review запрещено начинать; после review нужны наблюдаемые численные/событийные stop conditions.</x:v>
      </x:c>
      <x:c r="R130" s="53" t="str">
        <x:v>TBD_ITEM_SPECIFIC_AND_LOCAL: пока маршрут отходов не утверждён, физическое выполнение блокировано.</x:v>
      </x:c>
      <x:c r="S130" s="53" t="str">
        <x:v>S2_TRAINED_SUPERVISED</x:v>
      </x:c>
      <x:c r="T130" s="53" t="str">
        <x:v>Компетентный инструктор/ответственный специалист присутствует и может немедленно остановить работу.</x:v>
      </x:c>
      <x:c r="U130" s="53" t="n">
        <x:v>3</x:v>
      </x:c>
      <x:c r="V130" s="53" t="str">
        <x:v>TBD_LOCAL_SEASON</x:v>
      </x:c>
      <x:c r="W130" s="53" t="str">
        <x:v>records/science/SCI-AGRI-16/YYYY-MM-DD/</x:v>
      </x:c>
      <x:c r="X130" s="53" t="str">
        <x:v>PSP-046</x:v>
      </x:c>
      <x:c r="Y130" s="53" t="str">
        <x:v>PROVISIONAL_TOPIC_CANDIDATES_NOT_METHOD_REVIEWED</x:v>
      </x:c>
      <x:c r="Z130" s="53" t="str">
        <x:v>BLOCKED_UNTIL_EXACT_METHOD_SOURCE_SAFETY_AND_LOCAL_REVIEW</x:v>
      </x:c>
      <x:c r="AA130" s="53" t="str">
        <x:v>DESIGN_ONLY_NOT_EXECUTED</x:v>
      </x:c>
      <x:c r="AB13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0" s="53" t="str">
        <x:v>0.4</x:v>
      </x:c>
    </x:row>
    <x:row r="131">
      <x:c r="A131" s="26" t="str">
        <x:v>PRJ-128</x:v>
      </x:c>
      <x:c r="B131" s="26" t="str">
        <x:v>SCI-CIVIL-01</x:v>
      </x:c>
      <x:c r="C131" s="26" t="str">
        <x:v>CIVIL</x:v>
      </x:c>
      <x:c r="D131" s="26" t="str">
        <x:v>Практическая проверка: Съёмка, уровни, координаты и исполнительная схема</x:v>
      </x:c>
      <x:c r="E131" s="26" t="str">
        <x:v>LOW_RISK_BENCH_OR_FIELD</x:v>
      </x:c>
      <x:c r="F131" s="26" t="str">
        <x:v>Объяснить базовую модель, выполнить допустимую для класса риска проверку и документировать пределы по теме «Съёмка, уровни, координаты и исполнительная схема».</x:v>
      </x:c>
      <x:c r="G131" s="26" t="str">
        <x:v>SCI-METH-01|SCI-METH-07|SCI-METH-14|право остановить опыт|инструкция оборудования</x:v>
      </x:c>
      <x:c r="H131" s="26" t="str">
        <x:v>TBD_NON_EXECUTABLE: точные item/model/material/range/PPE для размер/состояние/поток должны быть утверждены до начала</x:v>
      </x:c>
      <x:c r="I131" s="26" t="str">
        <x:v>Сформулировать вопрос; записать метод и единицы; выполнить замкнутый безопасный ход на участке; сохранить сырые данные; повторить; оценить неопределённость; сделать ограниченный вывод.</x:v>
      </x:c>
      <x:c r="J131" s="26" t="str">
        <x:v>замкнутый безопасный ход на участке</x:v>
      </x:c>
      <x:c r="K131" s="26" t="str">
        <x:v>SI или явно названный стандарт</x:v>
      </x:c>
      <x:c r="L131" s="26" t="str">
        <x:v>TBD_BEFORE_EXECUTION_FROM_EXACT_METHOD: диапазон/критерий фиксируется до результата; post-hoc подгонка запрещена.</x:v>
      </x:c>
      <x:c r="M131" s="26" t="str">
        <x:v>сырые данные + фото/скриншот при допустимости + расчёт + uncertainty + подпись reviewer + hash пакета</x:v>
      </x:c>
      <x:c r="N131" s="26" t="n">
        <x:v>3</x:v>
      </x:c>
      <x:c r="O131" s="26" t="str">
        <x:v>TBD_METHOD_SPECIFIC: range/resolution/bias/repeat spread/operator effects утверждаются до execution</x:v>
      </x:c>
      <x:c r="P131" s="26" t="str">
        <x:v>DESIGN_PLACEHOLDER_NOT_EXECUTABLE: item-specific hazard analysis, материалы, энергия, концентрация, СИЗ и отходы ещё не утверждены.</x:v>
      </x:c>
      <x:c r="Q131" s="26" t="str">
        <x:v>BLOCKED_BEFORE_START: до точного method/source review запрещено начинать; после review нужны наблюдаемые численные/событийные stop conditions.</x:v>
      </x:c>
      <x:c r="R131" s="26" t="str">
        <x:v>TBD_ITEM_SPECIFIC_AND_LOCAL: пока маршрут отходов не утверждён, физическое выполнение блокировано.</x:v>
      </x:c>
      <x:c r="S131" s="26" t="str">
        <x:v>S1_LOW_RISK_HOUSEHOLD</x:v>
      </x:c>
      <x:c r="T131" s="26" t="str">
        <x:v>S1 допускается только после замены всех DESIGN/TBD полей точным low-risk методом и независимой safety-проверки.</x:v>
      </x:c>
      <x:c r="U131" s="26" t="n">
        <x:v>3</x:v>
      </x:c>
      <x:c r="V131" s="26" t="str">
        <x:v>ANY_SAFE_PERIOD</x:v>
      </x:c>
      <x:c r="W131" s="26" t="str">
        <x:v>records/science/SCI-CIVIL-01/YYYY-MM-DD/</x:v>
      </x:c>
      <x:c r="X131" s="26" t="str">
        <x:v>PSP-079|PSP-086</x:v>
      </x:c>
      <x:c r="Y131" s="26" t="str">
        <x:v>PROVISIONAL_TOPIC_CANDIDATES_NOT_METHOD_REVIEWED</x:v>
      </x:c>
      <x:c r="Z131" s="26" t="str">
        <x:v>BLOCKED_UNTIL_EXACT_METHOD_SOURCE_SAFETY_AND_LOCAL_REVIEW</x:v>
      </x:c>
      <x:c r="AA131" s="26" t="str">
        <x:v>DESIGN_ONLY_NOT_EXECUTED</x:v>
      </x:c>
      <x:c r="AB13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1" s="26" t="str">
        <x:v>0.4</x:v>
      </x:c>
    </x:row>
    <x:row r="132">
      <x:c r="A132" s="53" t="str">
        <x:v>PRJ-129</x:v>
      </x:c>
      <x:c r="B132" s="53" t="str">
        <x:v>SCI-CIVIL-02</x:v>
      </x:c>
      <x:c r="C132" s="53" t="str">
        <x:v>CIVIL</x:v>
      </x:c>
      <x:c r="D132" s="53" t="str">
        <x:v>Практическая проверка: Технический чертёж, размеры и допуски</x:v>
      </x:c>
      <x:c r="E132" s="53" t="str">
        <x:v>LOW_RISK_BENCH_OR_FIELD</x:v>
      </x:c>
      <x:c r="F132" s="53" t="str">
        <x:v>Объяснить базовую модель, выполнить допустимую для класса риска проверку и документировать пределы по теме «Технический чертёж, размеры и допуски».</x:v>
      </x:c>
      <x:c r="G132" s="53" t="str">
        <x:v>SCI-CIVIL-01|SCI-METH-13|право остановить опыт|инструкция оборудования</x:v>
      </x:c>
      <x:c r="H132" s="53" t="str">
        <x:v>TBD_NON_EXECUTABLE: точные item/model/material/range/PPE для размер/состояние/поток должны быть утверждены до начала</x:v>
      </x:c>
      <x:c r="I132" s="53" t="str">
        <x:v>Сформулировать вопрос; записать метод и единицы; выполнить чертёж существующей безопасной детали; сохранить сырые данные; повторить; оценить неопределённость; сделать ограниченный вывод.</x:v>
      </x:c>
      <x:c r="J132" s="53" t="str">
        <x:v>чертёж существующей безопасной детали</x:v>
      </x:c>
      <x:c r="K132" s="53" t="str">
        <x:v>SI или явно названный стандарт</x:v>
      </x:c>
      <x:c r="L132" s="53" t="str">
        <x:v>TBD_BEFORE_EXECUTION_FROM_EXACT_METHOD: диапазон/критерий фиксируется до результата; post-hoc подгонка запрещена.</x:v>
      </x:c>
      <x:c r="M132" s="53" t="str">
        <x:v>сырые данные + фото/скриншот при допустимости + расчёт + uncertainty + подпись reviewer + hash пакета</x:v>
      </x:c>
      <x:c r="N132" s="53" t="n">
        <x:v>3</x:v>
      </x:c>
      <x:c r="O132" s="53" t="str">
        <x:v>TBD_METHOD_SPECIFIC: range/resolution/bias/repeat spread/operator effects утверждаются до execution</x:v>
      </x:c>
      <x:c r="P132" s="53" t="str">
        <x:v>DESIGN_PLACEHOLDER_NOT_EXECUTABLE: item-specific hazard analysis, материалы, энергия, концентрация, СИЗ и отходы ещё не утверждены.</x:v>
      </x:c>
      <x:c r="Q132" s="53" t="str">
        <x:v>BLOCKED_BEFORE_START: до точного method/source review запрещено начинать; после review нужны наблюдаемые численные/событийные stop conditions.</x:v>
      </x:c>
      <x:c r="R132" s="53" t="str">
        <x:v>TBD_ITEM_SPECIFIC_AND_LOCAL: пока маршрут отходов не утверждён, физическое выполнение блокировано.</x:v>
      </x:c>
      <x:c r="S132" s="53" t="str">
        <x:v>S1_LOW_RISK_HOUSEHOLD</x:v>
      </x:c>
      <x:c r="T132" s="53" t="str">
        <x:v>S1 допускается только после замены всех DESIGN/TBD полей точным low-risk методом и независимой safety-проверки.</x:v>
      </x:c>
      <x:c r="U132" s="53" t="n">
        <x:v>3</x:v>
      </x:c>
      <x:c r="V132" s="53" t="str">
        <x:v>ANY_SAFE_PERIOD</x:v>
      </x:c>
      <x:c r="W132" s="53" t="str">
        <x:v>records/science/SCI-CIVIL-02/YYYY-MM-DD/</x:v>
      </x:c>
      <x:c r="X132" s="53" t="str">
        <x:v>PSP-080|PSP-092</x:v>
      </x:c>
      <x:c r="Y132" s="53" t="str">
        <x:v>PROVISIONAL_TOPIC_CANDIDATES_NOT_METHOD_REVIEWED</x:v>
      </x:c>
      <x:c r="Z132" s="53" t="str">
        <x:v>BLOCKED_UNTIL_EXACT_METHOD_SOURCE_SAFETY_AND_LOCAL_REVIEW</x:v>
      </x:c>
      <x:c r="AA132" s="53" t="str">
        <x:v>DESIGN_ONLY_NOT_EXECUTED</x:v>
      </x:c>
      <x:c r="AB13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2" s="53" t="str">
        <x:v>0.4</x:v>
      </x:c>
    </x:row>
    <x:row r="133">
      <x:c r="A133" s="26" t="str">
        <x:v>PRJ-130</x:v>
      </x:c>
      <x:c r="B133" s="26" t="str">
        <x:v>SCI-CIVIL-03</x:v>
      </x:c>
      <x:c r="C133" s="26" t="str">
        <x:v>CIVIL</x:v>
      </x:c>
      <x:c r="D133" s="26" t="str">
        <x:v>Практическая проверка: Строительная физика: тепло, воздух и влага</x:v>
      </x:c>
      <x:c r="E133" s="26" t="str">
        <x:v>LOW_RISK_BENCH_OR_FIELD</x:v>
      </x:c>
      <x:c r="F133" s="26" t="str">
        <x:v>Объяснить базовую модель, выполнить допустимую для класса риска проверку и документировать пределы по теме «Строительная физика: тепло, воздух и влага».</x:v>
      </x:c>
      <x:c r="G133" s="26" t="str">
        <x:v>SCI-CIVIL-02|SCI-METH-13|право остановить опыт|инструкция оборудования</x:v>
      </x:c>
      <x:c r="H133" s="26" t="str">
        <x:v>TBD_NON_EXECUTABLE: точные item/model/material/range/PPE для размер/состояние/поток должны быть утверждены до начала</x:v>
      </x:c>
      <x:c r="I133" s="26" t="str">
        <x:v>Сформулировать вопрос; записать метод и единицы; выполнить наблюдательный температурно-влажностный профиль; сохранить сырые данные; повторить; оценить неопределённость; сделать ограниченный вывод.</x:v>
      </x:c>
      <x:c r="J133" s="26" t="str">
        <x:v>наблюдательный температурно-влажностный профиль</x:v>
      </x:c>
      <x:c r="K133" s="26" t="str">
        <x:v>SI или явно названный стандарт</x:v>
      </x:c>
      <x:c r="L133" s="26" t="str">
        <x:v>TBD_BEFORE_EXECUTION_FROM_EXACT_METHOD: диапазон/критерий фиксируется до результата; post-hoc подгонка запрещена.</x:v>
      </x:c>
      <x:c r="M133" s="26" t="str">
        <x:v>сырые данные + фото/скриншот при допустимости + расчёт + uncertainty + подпись reviewer + hash пакета</x:v>
      </x:c>
      <x:c r="N133" s="26" t="n">
        <x:v>3</x:v>
      </x:c>
      <x:c r="O133" s="26" t="str">
        <x:v>TBD_METHOD_SPECIFIC: range/resolution/bias/repeat spread/operator effects утверждаются до execution</x:v>
      </x:c>
      <x:c r="P133" s="26" t="str">
        <x:v>DESIGN_PLACEHOLDER_NOT_EXECUTABLE: item-specific hazard analysis, материалы, энергия, концентрация, СИЗ и отходы ещё не утверждены.</x:v>
      </x:c>
      <x:c r="Q133" s="26" t="str">
        <x:v>BLOCKED_BEFORE_START: до точного method/source review запрещено начинать; после review нужны наблюдаемые численные/событийные stop conditions.</x:v>
      </x:c>
      <x:c r="R133" s="26" t="str">
        <x:v>TBD_ITEM_SPECIFIC_AND_LOCAL: пока маршрут отходов не утверждён, физическое выполнение блокировано.</x:v>
      </x:c>
      <x:c r="S133" s="26" t="str">
        <x:v>S1_LOW_RISK_HOUSEHOLD</x:v>
      </x:c>
      <x:c r="T133" s="26" t="str">
        <x:v>S1 допускается только после замены всех DESIGN/TBD полей точным low-risk методом и независимой safety-проверки.</x:v>
      </x:c>
      <x:c r="U133" s="26" t="n">
        <x:v>3</x:v>
      </x:c>
      <x:c r="V133" s="26" t="str">
        <x:v>ANY_SAFE_PERIOD</x:v>
      </x:c>
      <x:c r="W133" s="26" t="str">
        <x:v>records/science/SCI-CIVIL-03/YYYY-MM-DD/</x:v>
      </x:c>
      <x:c r="X133" s="26" t="str">
        <x:v>SUP-PHY-044|PSP-062</x:v>
      </x:c>
      <x:c r="Y133" s="26" t="str">
        <x:v>PROVISIONAL_TOPIC_CANDIDATES_NOT_METHOD_REVIEWED</x:v>
      </x:c>
      <x:c r="Z133" s="26" t="str">
        <x:v>BLOCKED_UNTIL_EXACT_METHOD_SOURCE_SAFETY_AND_LOCAL_REVIEW</x:v>
      </x:c>
      <x:c r="AA133" s="26" t="str">
        <x:v>DESIGN_ONLY_NOT_EXECUTED</x:v>
      </x:c>
      <x:c r="AB13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3" s="26" t="str">
        <x:v>0.4</x:v>
      </x:c>
    </x:row>
    <x:row r="134">
      <x:c r="A134" s="53" t="str">
        <x:v>PRJ-131</x:v>
      </x:c>
      <x:c r="B134" s="53" t="str">
        <x:v>SCI-CIVIL-04</x:v>
      </x:c>
      <x:c r="C134" s="53" t="str">
        <x:v>CIVIL</x:v>
      </x:c>
      <x:c r="D134" s="53" t="str">
        <x:v>Практическая проверка: Конденсация, сырость и плесень</x:v>
      </x:c>
      <x:c r="E134" s="53" t="str">
        <x:v>LOW_RISK_BENCH_OR_FIELD</x:v>
      </x:c>
      <x:c r="F134" s="53" t="str">
        <x:v>Объяснить базовую модель, выполнить допустимую для класса риска проверку и документировать пределы по теме «Конденсация, сырость и плесень».</x:v>
      </x:c>
      <x:c r="G134" s="53" t="str">
        <x:v>SCI-CIVIL-03|SCI-METH-13|право остановить опыт|инструкция оборудования</x:v>
      </x:c>
      <x:c r="H134" s="53" t="str">
        <x:v>TBD_NON_EXECUTABLE: точные item/model/material/range/PPE для размер/состояние/поток должны быть утверждены до начала</x:v>
      </x:c>
      <x:c r="I134" s="53" t="str">
        <x:v>Сформулировать вопрос; записать метод и единицы; выполнить неинвазивная карта условий; опасное/обширное поражение — специалист; сохранить сырые данные; повторить; оценить неопределённость; сделать ограниченный вывод.</x:v>
      </x:c>
      <x:c r="J134" s="53" t="str">
        <x:v>неинвазивная карта условий; опасное/обширное поражение — специалист</x:v>
      </x:c>
      <x:c r="K134" s="53" t="str">
        <x:v>SI или явно названный стандарт</x:v>
      </x:c>
      <x:c r="L134" s="53" t="str">
        <x:v>TBD_BEFORE_EXECUTION_FROM_EXACT_METHOD: диапазон/критерий фиксируется до результата; post-hoc подгонка запрещена.</x:v>
      </x:c>
      <x:c r="M134" s="53" t="str">
        <x:v>сырые данные + фото/скриншот при допустимости + расчёт + uncertainty + подпись reviewer + hash пакета</x:v>
      </x:c>
      <x:c r="N134" s="53" t="n">
        <x:v>3</x:v>
      </x:c>
      <x:c r="O134" s="53" t="str">
        <x:v>TBD_METHOD_SPECIFIC: range/resolution/bias/repeat spread/operator effects утверждаются до execution</x:v>
      </x:c>
      <x:c r="P134" s="53" t="str">
        <x:v>DESIGN_PLACEHOLDER_NOT_EXECUTABLE: item-specific hazard analysis, материалы, энергия, концентрация, СИЗ и отходы ещё не утверждены.</x:v>
      </x:c>
      <x:c r="Q134" s="53" t="str">
        <x:v>BLOCKED_BEFORE_START: до точного method/source review запрещено начинать; после review нужны наблюдаемые численные/событийные stop conditions.</x:v>
      </x:c>
      <x:c r="R134" s="53" t="str">
        <x:v>TBD_ITEM_SPECIFIC_AND_LOCAL: пока маршрут отходов не утверждён, физическое выполнение блокировано.</x:v>
      </x:c>
      <x:c r="S134" s="53" t="str">
        <x:v>S1_LOW_RISK_HOUSEHOLD</x:v>
      </x:c>
      <x:c r="T134" s="53" t="str">
        <x:v>S1 допускается только после замены всех DESIGN/TBD полей точным low-risk методом и независимой safety-проверки.</x:v>
      </x:c>
      <x:c r="U134" s="53" t="n">
        <x:v>3</x:v>
      </x:c>
      <x:c r="V134" s="53" t="str">
        <x:v>ANY_SAFE_PERIOD</x:v>
      </x:c>
      <x:c r="W134" s="53" t="str">
        <x:v>records/science/SCI-CIVIL-04/YYYY-MM-DD/</x:v>
      </x:c>
      <x:c r="X134" s="53" t="str">
        <x:v>SUP-PHY-044|PSP-062</x:v>
      </x:c>
      <x:c r="Y134" s="53" t="str">
        <x:v>PROVISIONAL_TOPIC_CANDIDATES_NOT_METHOD_REVIEWED</x:v>
      </x:c>
      <x:c r="Z134" s="53" t="str">
        <x:v>BLOCKED_UNTIL_EXACT_METHOD_SOURCE_SAFETY_AND_LOCAL_REVIEW</x:v>
      </x:c>
      <x:c r="AA134" s="53" t="str">
        <x:v>DESIGN_ONLY_NOT_EXECUTED</x:v>
      </x:c>
      <x:c r="AB13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4" s="53" t="str">
        <x:v>0.4</x:v>
      </x:c>
    </x:row>
    <x:row r="135">
      <x:c r="A135" s="26" t="str">
        <x:v>PRJ-132</x:v>
      </x:c>
      <x:c r="B135" s="26" t="str">
        <x:v>SCI-CIVIL-05</x:v>
      </x:c>
      <x:c r="C135" s="26" t="str">
        <x:v>CIVIL</x:v>
      </x:c>
      <x:c r="D135" s="26" t="str">
        <x:v>Практическая проверка: Нагрузки, путь передачи сил и устойчивость</x:v>
      </x:c>
      <x:c r="E135" s="26" t="str">
        <x:v>DATASET_SIMULATION_OR_PRO_OBSERVATION_ONLY</x:v>
      </x:c>
      <x:c r="F135" s="26" t="str">
        <x:v>Объяснить базовую модель, выполнить допустимую для класса риска проверку и документировать пределы по теме «Нагрузки, путь передачи сил и устойчивость».</x:v>
      </x:c>
      <x:c r="G135" s="26" t="str">
        <x:v>SCI-CIVIL-04|SCI-METH-13|право остановить опыт|инструкция оборудования</x:v>
      </x:c>
      <x:c r="H135" s="26" t="str">
        <x:v>TBD_NON_EXECUTABLE: точные item/model/material/range/PPE для размер/состояние/поток должны быть утверждены до начала</x:v>
      </x:c>
      <x:c r="I135" s="26" t="str">
        <x:v>Не выполнять реальную работу. Разобрать утверждённый отчёт, схему, симуляцию или обезличенный набор данных по теме: анализ схемы; изменение несущих конструкций запрещено. Зафиксировать, когда нужен лицензированный специалист.</x:v>
      </x:c>
      <x:c r="J135" s="26" t="str">
        <x:v>анализ схемы; изменение несущих конструкций запрещено</x:v>
      </x:c>
      <x:c r="K135" s="26" t="str">
        <x:v>SI или явно названный стандарт</x:v>
      </x:c>
      <x:c r="L135" s="26" t="str">
        <x:v>TBD_BEFORE_EXECUTION_FROM_EXACT_METHOD: диапазон/критерий фиксируется до результата; post-hoc подгонка запрещена.</x:v>
      </x:c>
      <x:c r="M135" s="26" t="str">
        <x:v>сырые данные + фото/скриншот при допустимости + расчёт + uncertainty + подпись reviewer + hash пакета</x:v>
      </x:c>
      <x:c r="N135" s="26" t="n">
        <x:v>1</x:v>
      </x:c>
      <x:c r="O135" s="26" t="str">
        <x:v>TBD_METHOD_SPECIFIC: range/resolution/bias/repeat spread/operator effects утверждаются до execution</x:v>
      </x:c>
      <x:c r="P135" s="26" t="str">
        <x:v>Самовольная работа может привести к пожару, поражению током, обрушению, утечке, травме или нарушению закона.</x:v>
      </x:c>
      <x:c r="Q135" s="26" t="str">
        <x:v>STOP до любого физического вмешательства; только лицензированный специалист с действующим scope и площадкой.</x:v>
      </x:c>
      <x:c r="R135" s="26" t="str">
        <x:v>TBD_ITEM_SPECIFIC_AND_LOCAL: пока маршрут отходов не утверждён, физическое выполнение блокировано.</x:v>
      </x:c>
      <x:c r="S135" s="26" t="str">
        <x:v>S3_LICENSED_PROFESSIONAL</x:v>
      </x:c>
      <x:c r="T135" s="26" t="str">
        <x:v>Лицензированный специалист для любой реальной работы; учебный анализ может быть самостоятельным.</x:v>
      </x:c>
      <x:c r="U135" s="26" t="n">
        <x:v>2</x:v>
      </x:c>
      <x:c r="V135" s="26" t="str">
        <x:v>ANY_SAFE_PERIOD</x:v>
      </x:c>
      <x:c r="W135" s="26" t="str">
        <x:v>records/science/SCI-CIVIL-05/YYYY-MM-DD/</x:v>
      </x:c>
      <x:c r="X135" s="26" t="str">
        <x:v>PSP-092|PSP-118</x:v>
      </x:c>
      <x:c r="Y135" s="26" t="str">
        <x:v>PROVISIONAL_TOPIC_CANDIDATES_NOT_METHOD_REVIEWED</x:v>
      </x:c>
      <x:c r="Z135" s="26" t="str">
        <x:v>BLOCKED_UNTIL_EXACT_METHOD_SOURCE_SAFETY_AND_LOCAL_REVIEW</x:v>
      </x:c>
      <x:c r="AA135" s="26" t="str">
        <x:v>DESIGN_ONLY_NOT_EXECUTED</x:v>
      </x:c>
      <x:c r="AB13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5" s="26" t="str">
        <x:v>0.4</x:v>
      </x:c>
    </x:row>
    <x:row r="136">
      <x:c r="A136" s="53" t="str">
        <x:v>PRJ-133</x:v>
      </x:c>
      <x:c r="B136" s="53" t="str">
        <x:v>SCI-CIVIL-06</x:v>
      </x:c>
      <x:c r="C136" s="53" t="str">
        <x:v>CIVIL</x:v>
      </x:c>
      <x:c r="D136" s="53" t="str">
        <x:v>Практическая проверка: Грунты, фундаменты и склоновые риски</x:v>
      </x:c>
      <x:c r="E136" s="53" t="str">
        <x:v>DATASET_SIMULATION_OR_PRO_OBSERVATION_ONLY</x:v>
      </x:c>
      <x:c r="F136" s="53" t="str">
        <x:v>Объяснить базовую модель, выполнить допустимую для класса риска проверку и документировать пределы по теме «Грунты, фундаменты и склоновые риски».</x:v>
      </x:c>
      <x:c r="G136" s="53" t="str">
        <x:v>SCI-CIVIL-05|SCI-METH-13|право остановить опыт|инструкция оборудования</x:v>
      </x:c>
      <x:c r="H136" s="53" t="str">
        <x:v>TBD_NON_EXECUTABLE: точные item/model/material/range/PPE для размер/состояние/поток должны быть утверждены до начала</x:v>
      </x:c>
      <x:c r="I136" s="53" t="str">
        <x:v>Не выполнять реальную работу. Разобрать утверждённый отчёт, схему, симуляцию или обезличенный набор данных по теме: чтение инженерного отчёта; раскопки/укрепления — специалист. Зафиксировать, когда нужен лицензированный специалист.</x:v>
      </x:c>
      <x:c r="J136" s="53" t="str">
        <x:v>чтение инженерного отчёта; раскопки/укрепления — специалист</x:v>
      </x:c>
      <x:c r="K136" s="53" t="str">
        <x:v>SI или явно названный стандарт</x:v>
      </x:c>
      <x:c r="L136" s="53" t="str">
        <x:v>TBD_BEFORE_EXECUTION_FROM_EXACT_METHOD: диапазон/критерий фиксируется до результата; post-hoc подгонка запрещена.</x:v>
      </x:c>
      <x:c r="M136" s="53" t="str">
        <x:v>сырые данные + фото/скриншот при допустимости + расчёт + uncertainty + подпись reviewer + hash пакета</x:v>
      </x:c>
      <x:c r="N136" s="53" t="n">
        <x:v>1</x:v>
      </x:c>
      <x:c r="O136" s="53" t="str">
        <x:v>TBD_METHOD_SPECIFIC: range/resolution/bias/repeat spread/operator effects утверждаются до execution</x:v>
      </x:c>
      <x:c r="P136" s="53" t="str">
        <x:v>Самовольная работа может привести к пожару, поражению током, обрушению, утечке, травме или нарушению закона.</x:v>
      </x:c>
      <x:c r="Q136" s="53" t="str">
        <x:v>STOP до любого физического вмешательства; только лицензированный специалист с действующим scope и площадкой.</x:v>
      </x:c>
      <x:c r="R136" s="53" t="str">
        <x:v>TBD_ITEM_SPECIFIC_AND_LOCAL: пока маршрут отходов не утверждён, физическое выполнение блокировано.</x:v>
      </x:c>
      <x:c r="S136" s="53" t="str">
        <x:v>S3_LICENSED_PROFESSIONAL</x:v>
      </x:c>
      <x:c r="T136" s="53" t="str">
        <x:v>Лицензированный специалист для любой реальной работы; учебный анализ может быть самостоятельным.</x:v>
      </x:c>
      <x:c r="U136" s="53" t="n">
        <x:v>2</x:v>
      </x:c>
      <x:c r="V136" s="53" t="str">
        <x:v>ANY_SAFE_PERIOD</x:v>
      </x:c>
      <x:c r="W136" s="53" t="str">
        <x:v>records/science/SCI-CIVIL-06/YYYY-MM-DD/</x:v>
      </x:c>
      <x:c r="X136" s="53" t="str">
        <x:v>PSP-092|PSP-118</x:v>
      </x:c>
      <x:c r="Y136" s="53" t="str">
        <x:v>PROVISIONAL_TOPIC_CANDIDATES_NOT_METHOD_REVIEWED</x:v>
      </x:c>
      <x:c r="Z136" s="53" t="str">
        <x:v>BLOCKED_UNTIL_EXACT_METHOD_SOURCE_SAFETY_AND_LOCAL_REVIEW</x:v>
      </x:c>
      <x:c r="AA136" s="53" t="str">
        <x:v>DESIGN_ONLY_NOT_EXECUTED</x:v>
      </x:c>
      <x:c r="AB13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6" s="53" t="str">
        <x:v>0.4</x:v>
      </x:c>
    </x:row>
    <x:row r="137">
      <x:c r="A137" s="26" t="str">
        <x:v>PRJ-134</x:v>
      </x:c>
      <x:c r="B137" s="26" t="str">
        <x:v>SCI-CIVIL-07</x:v>
      </x:c>
      <x:c r="C137" s="26" t="str">
        <x:v>CIVIL</x:v>
      </x:c>
      <x:c r="D137" s="26" t="str">
        <x:v>Практическая проверка: Водоснабжение, давление и защита от обратного тока</x:v>
      </x:c>
      <x:c r="E137" s="26" t="str">
        <x:v>DATASET_SIMULATION_OR_PRO_OBSERVATION_ONLY</x:v>
      </x:c>
      <x:c r="F137" s="26" t="str">
        <x:v>Объяснить базовую модель, выполнить допустимую для класса риска проверку и документировать пределы по теме «Водоснабжение, давление и защита от обратного тока».</x:v>
      </x:c>
      <x:c r="G137" s="26" t="str">
        <x:v>SCI-CIVIL-06|SCI-METH-13|право остановить опыт|инструкция оборудования</x:v>
      </x:c>
      <x:c r="H137" s="26" t="str">
        <x:v>TBD_NON_EXECUTABLE: точные item/model/material/range/PPE для размер/состояние/поток должны быть утверждены до начала</x:v>
      </x:c>
      <x:c r="I137" s="26" t="str">
        <x:v>Не выполнять реальную работу. Разобрать утверждённый отчёт, схему, симуляцию или обезличенный набор данных по теме: схема и визуальный аудит; изменение сети — по закону. Зафиксировать, когда нужен лицензированный специалист.</x:v>
      </x:c>
      <x:c r="J137" s="26" t="str">
        <x:v>схема и визуальный аудит; изменение сети — по закону</x:v>
      </x:c>
      <x:c r="K137" s="26" t="str">
        <x:v>SI или явно названный стандарт</x:v>
      </x:c>
      <x:c r="L137" s="26" t="str">
        <x:v>TBD_BEFORE_EXECUTION_FROM_EXACT_METHOD: диапазон/критерий фиксируется до результата; post-hoc подгонка запрещена.</x:v>
      </x:c>
      <x:c r="M137" s="26" t="str">
        <x:v>сырые данные + фото/скриншот при допустимости + расчёт + uncertainty + подпись reviewer + hash пакета</x:v>
      </x:c>
      <x:c r="N137" s="26" t="n">
        <x:v>1</x:v>
      </x:c>
      <x:c r="O137" s="26" t="str">
        <x:v>TBD_METHOD_SPECIFIC: range/resolution/bias/repeat spread/operator effects утверждаются до execution</x:v>
      </x:c>
      <x:c r="P137" s="26" t="str">
        <x:v>Самовольная работа может привести к пожару, поражению током, обрушению, утечке, травме или нарушению закона.</x:v>
      </x:c>
      <x:c r="Q137" s="26" t="str">
        <x:v>STOP до любого физического вмешательства; только лицензированный специалист с действующим scope и площадкой.</x:v>
      </x:c>
      <x:c r="R137" s="26" t="str">
        <x:v>TBD_ITEM_SPECIFIC_AND_LOCAL: пока маршрут отходов не утверждён, физическое выполнение блокировано.</x:v>
      </x:c>
      <x:c r="S137" s="26" t="str">
        <x:v>S3_LICENSED_PROFESSIONAL</x:v>
      </x:c>
      <x:c r="T137" s="26" t="str">
        <x:v>Лицензированный специалист для любой реальной работы; учебный анализ может быть самостоятельным.</x:v>
      </x:c>
      <x:c r="U137" s="26" t="n">
        <x:v>2</x:v>
      </x:c>
      <x:c r="V137" s="26" t="str">
        <x:v>ANY_SAFE_PERIOD</x:v>
      </x:c>
      <x:c r="W137" s="26" t="str">
        <x:v>records/science/SCI-CIVIL-07/YYYY-MM-DD/</x:v>
      </x:c>
      <x:c r="X137" s="26" t="str">
        <x:v>PSP-102|PSP-103</x:v>
      </x:c>
      <x:c r="Y137" s="26" t="str">
        <x:v>PROVISIONAL_TOPIC_CANDIDATES_NOT_METHOD_REVIEWED</x:v>
      </x:c>
      <x:c r="Z137" s="26" t="str">
        <x:v>BLOCKED_UNTIL_EXACT_METHOD_SOURCE_SAFETY_AND_LOCAL_REVIEW</x:v>
      </x:c>
      <x:c r="AA137" s="26" t="str">
        <x:v>DESIGN_ONLY_NOT_EXECUTED</x:v>
      </x:c>
      <x:c r="AB13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7" s="26" t="str">
        <x:v>0.4</x:v>
      </x:c>
    </x:row>
    <x:row r="138">
      <x:c r="A138" s="53" t="str">
        <x:v>PRJ-135</x:v>
      </x:c>
      <x:c r="B138" s="53" t="str">
        <x:v>SCI-CIVIL-08</x:v>
      </x:c>
      <x:c r="C138" s="53" t="str">
        <x:v>CIVIL</x:v>
      </x:c>
      <x:c r="D138" s="53" t="str">
        <x:v>Практическая проверка: Санитария, туалеты и безопасное разделение потоков</x:v>
      </x:c>
      <x:c r="E138" s="53" t="str">
        <x:v>SUPERVISED_DEMONSTRATION_ONLY</x:v>
      </x:c>
      <x:c r="F138" s="53" t="str">
        <x:v>Объяснить базовую модель, выполнить допустимую для класса риска проверку и документировать пределы по теме «Санитария, туалеты и безопасное разделение потоков».</x:v>
      </x:c>
      <x:c r="G138" s="53" t="str">
        <x:v>SCI-CIVIL-07|SCI-METH-13|право остановить опыт|инструкция оборудования</x:v>
      </x:c>
      <x:c r="H138" s="53" t="str">
        <x:v>TBD_NON_EXECUTABLE: точные item/model/material/range/PPE для размер/состояние/поток должны быть утверждены до начала</x:v>
      </x:c>
      <x:c r="I138" s="53" t="str">
        <x:v>До допуска: обучение и checklist. Затем только под компетентным надзором выполнить безопасную часть: план потоков и санитарный аудит. Результат и отклонения подписывает supervisor.</x:v>
      </x:c>
      <x:c r="J138" s="53" t="str">
        <x:v>план потоков и санитарный аудит</x:v>
      </x:c>
      <x:c r="K138" s="53" t="str">
        <x:v>SI или явно названный стандарт</x:v>
      </x:c>
      <x:c r="L138" s="53" t="str">
        <x:v>TBD_BEFORE_EXECUTION_FROM_EXACT_METHOD: диапазон/критерий фиксируется до результата; post-hoc подгонка запрещена.</x:v>
      </x:c>
      <x:c r="M138" s="53" t="str">
        <x:v>сырые данные + фото/скриншот при допустимости + расчёт + uncertainty + подпись reviewer + hash пакета</x:v>
      </x:c>
      <x:c r="N138" s="53" t="n">
        <x:v>1</x:v>
      </x:c>
      <x:c r="O138" s="53" t="str">
        <x:v>TBD_METHOD_SPECIFIC: range/resolution/bias/repeat spread/operator effects утверждаются до execution</x:v>
      </x:c>
      <x:c r="P138" s="53" t="str">
        <x:v>DESIGN_PLACEHOLDER_NOT_EXECUTABLE: item-specific hazard analysis, материалы, энергия, концентрация, СИЗ и отходы ещё не утверждены.</x:v>
      </x:c>
      <x:c r="Q138" s="53" t="str">
        <x:v>BLOCKED_BEFORE_START: до точного method/source review запрещено начинать; после review нужны наблюдаемые численные/событийные stop conditions.</x:v>
      </x:c>
      <x:c r="R138" s="53" t="str">
        <x:v>TBD_ITEM_SPECIFIC_AND_LOCAL: пока маршрут отходов не утверждён, физическое выполнение блокировано.</x:v>
      </x:c>
      <x:c r="S138" s="53" t="str">
        <x:v>S2_TRAINED_SUPERVISED</x:v>
      </x:c>
      <x:c r="T138" s="53" t="str">
        <x:v>Компетентный инструктор/ответственный специалист присутствует и может немедленно остановить работу.</x:v>
      </x:c>
      <x:c r="U138" s="53" t="n">
        <x:v>3</x:v>
      </x:c>
      <x:c r="V138" s="53" t="str">
        <x:v>ANY_SAFE_PERIOD</x:v>
      </x:c>
      <x:c r="W138" s="53" t="str">
        <x:v>records/science/SCI-CIVIL-08/YYYY-MM-DD/</x:v>
      </x:c>
      <x:c r="X138" s="53" t="str">
        <x:v>PSP-102|PSP-103</x:v>
      </x:c>
      <x:c r="Y138" s="53" t="str">
        <x:v>PROVISIONAL_TOPIC_CANDIDATES_NOT_METHOD_REVIEWED</x:v>
      </x:c>
      <x:c r="Z138" s="53" t="str">
        <x:v>BLOCKED_UNTIL_EXACT_METHOD_SOURCE_SAFETY_AND_LOCAL_REVIEW</x:v>
      </x:c>
      <x:c r="AA138" s="53" t="str">
        <x:v>DESIGN_ONLY_NOT_EXECUTED</x:v>
      </x:c>
      <x:c r="AB13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8" s="53" t="str">
        <x:v>0.4</x:v>
      </x:c>
    </x:row>
    <x:row r="139">
      <x:c r="A139" s="26" t="str">
        <x:v>PRJ-136</x:v>
      </x:c>
      <x:c r="B139" s="26" t="str">
        <x:v>SCI-CIVIL-09</x:v>
      </x:c>
      <x:c r="C139" s="26" t="str">
        <x:v>CIVIL</x:v>
      </x:c>
      <x:c r="D139" s="26" t="str">
        <x:v>Практическая проверка: Сточные воды и очистка</x:v>
      </x:c>
      <x:c r="E139" s="26" t="str">
        <x:v>REFERENCE_ONLY_NO_EXECUTION</x:v>
      </x:c>
      <x:c r="F139" s="26" t="str">
        <x:v>Объяснить базовую модель, выполнить допустимую для класса риска проверку и документировать пределы по теме «Сточные воды и очистка».</x:v>
      </x:c>
      <x:c r="G139" s="26" t="str">
        <x:v>SCI-CIVIL-08|SCI-METH-13|право остановить опыт|инструкция оборудования</x:v>
      </x:c>
      <x:c r="H139" s="26" t="str">
        <x:v>TBD_NON_EXECUTABLE: точные item/model/material/range/PPE для размер/состояние/поток должны быть утверждены до начала</x:v>
      </x:c>
      <x:c r="I139" s="26" t="str">
        <x:v>Только чтение, распознавание опасности и анализ опубликованных данных: только схема/контроль; вход в колодцы и контакт со стоками запрещены. Никаких бытовых экспериментов, культивирования, давления, огня или опасных веществ.</x:v>
      </x:c>
      <x:c r="J139" s="26" t="str">
        <x:v>только схема/контроль; вход в колодцы и контакт со стоками запрещены</x:v>
      </x:c>
      <x:c r="K139" s="26" t="str">
        <x:v>SI или явно названный стандарт</x:v>
      </x:c>
      <x:c r="L139" s="26" t="str">
        <x:v>TBD_BEFORE_EXECUTION_FROM_EXACT_METHOD: диапазон/критерий фиксируется до результата; post-hoc подгонка запрещена.</x:v>
      </x:c>
      <x:c r="M139" s="26" t="str">
        <x:v>сырые данные + фото/скриншот при допустимости + расчёт + uncertainty + подпись reviewer + hash пакета</x:v>
      </x:c>
      <x:c r="N139" s="26" t="n">
        <x:v>1</x:v>
      </x:c>
      <x:c r="O139" s="26" t="str">
        <x:v>TBD_METHOD_SPECIFIC: range/resolution/bias/repeat spread/operator effects утверждаются до execution</x:v>
      </x:c>
      <x:c r="P139" s="26" t="str">
        <x:v>Высокий риск тяжёлой травмы, инфекции, отравления, пожара, взрыва или загрязнения.</x:v>
      </x:c>
      <x:c r="Q139" s="26" t="str">
        <x:v>NO-GO для household execution; изолировать ситуацию и обратиться к компетентной службе/специалисту.</x:v>
      </x:c>
      <x:c r="R139" s="26" t="str">
        <x:v>TBD_ITEM_SPECIFIC_AND_LOCAL: пока маршрут отходов не утверждён, физическое выполнение блокировано.</x:v>
      </x:c>
      <x:c r="S139" s="26" t="str">
        <x:v>S4_REFERENCE_ONLY_PROHIBITED_HOUSEHOLD</x:v>
      </x:c>
      <x:c r="T139" s="26" t="str">
        <x:v>Профессиональная площадка и разрешение обязательны для любого физического исполнения.</x:v>
      </x:c>
      <x:c r="U139" s="26" t="n">
        <x:v>2</x:v>
      </x:c>
      <x:c r="V139" s="26" t="str">
        <x:v>ANY_SAFE_PERIOD</x:v>
      </x:c>
      <x:c r="W139" s="26" t="str">
        <x:v>records/science/SCI-CIVIL-09/YYYY-MM-DD/</x:v>
      </x:c>
      <x:c r="X139" s="26" t="str">
        <x:v>PSP-102|PSP-103</x:v>
      </x:c>
      <x:c r="Y139" s="26" t="str">
        <x:v>PROVISIONAL_TOPIC_CANDIDATES_NOT_METHOD_REVIEWED</x:v>
      </x:c>
      <x:c r="Z139" s="26" t="str">
        <x:v>BLOCKED_UNTIL_EXACT_METHOD_SOURCE_SAFETY_AND_LOCAL_REVIEW</x:v>
      </x:c>
      <x:c r="AA139" s="26" t="str">
        <x:v>DESIGN_ONLY_NOT_EXECUTED</x:v>
      </x:c>
      <x:c r="AB13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39" s="26" t="str">
        <x:v>0.4</x:v>
      </x:c>
    </x:row>
    <x:row r="140">
      <x:c r="A140" s="53" t="str">
        <x:v>PRJ-137</x:v>
      </x:c>
      <x:c r="B140" s="53" t="str">
        <x:v>SCI-CIVIL-10</x:v>
      </x:c>
      <x:c r="C140" s="53" t="str">
        <x:v>CIVIL</x:v>
      </x:c>
      <x:c r="D140" s="53" t="str">
        <x:v>Практическая проверка: Дренаж, ливневый сток и паводковая устойчивость</x:v>
      </x:c>
      <x:c r="E140" s="53" t="str">
        <x:v>SUPERVISED_DEMONSTRATION_ONLY</x:v>
      </x:c>
      <x:c r="F140" s="53" t="str">
        <x:v>Объяснить базовую модель, выполнить допустимую для класса риска проверку и документировать пределы по теме «Дренаж, ливневый сток и паводковая устойчивость».</x:v>
      </x:c>
      <x:c r="G140" s="53" t="str">
        <x:v>SCI-CIVIL-09|SCI-METH-13|право остановить опыт|инструкция оборудования</x:v>
      </x:c>
      <x:c r="H140" s="53" t="str">
        <x:v>TBD_NON_EXECUTABLE: точные item/model/material/range/PPE для размер/состояние/поток должны быть утверждены до начала</x:v>
      </x:c>
      <x:c r="I140" s="53" t="str">
        <x:v>До допуска: обучение и checklist. Затем только под компетентным надзором выполнить безопасную часть: наблюдение безопасного дождя и карта путей воды. Результат и отклонения подписывает supervisor.</x:v>
      </x:c>
      <x:c r="J140" s="53" t="str">
        <x:v>наблюдение безопасного дождя и карта путей воды</x:v>
      </x:c>
      <x:c r="K140" s="53" t="str">
        <x:v>SI или явно названный стандарт</x:v>
      </x:c>
      <x:c r="L140" s="53" t="str">
        <x:v>TBD_BEFORE_EXECUTION_FROM_EXACT_METHOD: диапазон/критерий фиксируется до результата; post-hoc подгонка запрещена.</x:v>
      </x:c>
      <x:c r="M140" s="53" t="str">
        <x:v>сырые данные + фото/скриншот при допустимости + расчёт + uncertainty + подпись reviewer + hash пакета</x:v>
      </x:c>
      <x:c r="N140" s="53" t="n">
        <x:v>1</x:v>
      </x:c>
      <x:c r="O140" s="53" t="str">
        <x:v>TBD_METHOD_SPECIFIC: range/resolution/bias/repeat spread/operator effects утверждаются до execution</x:v>
      </x:c>
      <x:c r="P140" s="53" t="str">
        <x:v>DESIGN_PLACEHOLDER_NOT_EXECUTABLE: item-specific hazard analysis, материалы, энергия, концентрация, СИЗ и отходы ещё не утверждены.</x:v>
      </x:c>
      <x:c r="Q140" s="53" t="str">
        <x:v>BLOCKED_BEFORE_START: до точного method/source review запрещено начинать; после review нужны наблюдаемые численные/событийные stop conditions.</x:v>
      </x:c>
      <x:c r="R140" s="53" t="str">
        <x:v>TBD_ITEM_SPECIFIC_AND_LOCAL: пока маршрут отходов не утверждён, физическое выполнение блокировано.</x:v>
      </x:c>
      <x:c r="S140" s="53" t="str">
        <x:v>S2_TRAINED_SUPERVISED</x:v>
      </x:c>
      <x:c r="T140" s="53" t="str">
        <x:v>Компетентный инструктор/ответственный специалист присутствует и может немедленно остановить работу.</x:v>
      </x:c>
      <x:c r="U140" s="53" t="n">
        <x:v>3</x:v>
      </x:c>
      <x:c r="V140" s="53" t="str">
        <x:v>ANY_SAFE_PERIOD</x:v>
      </x:c>
      <x:c r="W140" s="53" t="str">
        <x:v>records/science/SCI-CIVIL-10/YYYY-MM-DD/</x:v>
      </x:c>
      <x:c r="X140" s="53" t="str">
        <x:v>PSP-102|PSP-103</x:v>
      </x:c>
      <x:c r="Y140" s="53" t="str">
        <x:v>PROVISIONAL_TOPIC_CANDIDATES_NOT_METHOD_REVIEWED</x:v>
      </x:c>
      <x:c r="Z140" s="53" t="str">
        <x:v>BLOCKED_UNTIL_EXACT_METHOD_SOURCE_SAFETY_AND_LOCAL_REVIEW</x:v>
      </x:c>
      <x:c r="AA140" s="53" t="str">
        <x:v>DESIGN_ONLY_NOT_EXECUTED</x:v>
      </x:c>
      <x:c r="AB14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0" s="53" t="str">
        <x:v>0.4</x:v>
      </x:c>
    </x:row>
    <x:row r="141">
      <x:c r="A141" s="26" t="str">
        <x:v>PRJ-138</x:v>
      </x:c>
      <x:c r="B141" s="26" t="str">
        <x:v>SCI-CIVIL-11</x:v>
      </x:c>
      <x:c r="C141" s="26" t="str">
        <x:v>CIVIL</x:v>
      </x:c>
      <x:c r="D141" s="26" t="str">
        <x:v>Практическая проверка: Пожарная безопасность, эвакуация и compartmentation</x:v>
      </x:c>
      <x:c r="E141" s="26" t="str">
        <x:v>SUPERVISED_DEMONSTRATION_ONLY</x:v>
      </x:c>
      <x:c r="F141" s="26" t="str">
        <x:v>Объяснить базовую модель, выполнить допустимую для класса риска проверку и документировать пределы по теме «Пожарная безопасность, эвакуация и compartmentation».</x:v>
      </x:c>
      <x:c r="G141" s="26" t="str">
        <x:v>SCI-CIVIL-10|SCI-METH-13|право остановить опыт|инструкция оборудования</x:v>
      </x:c>
      <x:c r="H141" s="26" t="str">
        <x:v>TBD_NON_EXECUTABLE: точные item/model/material/range/PPE для размер/состояние/поток должны быть утверждены до начала</x:v>
      </x:c>
      <x:c r="I141" s="26" t="str">
        <x:v>До допуска: обучение и checklist. Затем только под компетентным надзором выполнить безопасную часть: аудит выхода/детектора; испытания огнём запрещены. Результат и отклонения подписывает supervisor.</x:v>
      </x:c>
      <x:c r="J141" s="26" t="str">
        <x:v>аудит выхода/детектора; испытания огнём запрещены</x:v>
      </x:c>
      <x:c r="K141" s="26" t="str">
        <x:v>SI или явно названный стандарт</x:v>
      </x:c>
      <x:c r="L141" s="26" t="str">
        <x:v>TBD_BEFORE_EXECUTION_FROM_EXACT_METHOD: диапазон/критерий фиксируется до результата; post-hoc подгонка запрещена.</x:v>
      </x:c>
      <x:c r="M141" s="26" t="str">
        <x:v>сырые данные + фото/скриншот при допустимости + расчёт + uncertainty + подпись reviewer + hash пакета</x:v>
      </x:c>
      <x:c r="N141" s="26" t="n">
        <x:v>1</x:v>
      </x:c>
      <x:c r="O141" s="26" t="str">
        <x:v>TBD_METHOD_SPECIFIC: range/resolution/bias/repeat spread/operator effects утверждаются до execution</x:v>
      </x:c>
      <x:c r="P141" s="26" t="str">
        <x:v>DESIGN_PLACEHOLDER_NOT_EXECUTABLE: item-specific hazard analysis, материалы, энергия, концентрация, СИЗ и отходы ещё не утверждены.</x:v>
      </x:c>
      <x:c r="Q141" s="26" t="str">
        <x:v>BLOCKED_BEFORE_START: до точного method/source review запрещено начинать; после review нужны наблюдаемые численные/событийные stop conditions.</x:v>
      </x:c>
      <x:c r="R141" s="26" t="str">
        <x:v>TBD_ITEM_SPECIFIC_AND_LOCAL: пока маршрут отходов не утверждён, физическое выполнение блокировано.</x:v>
      </x:c>
      <x:c r="S141" s="26" t="str">
        <x:v>S2_TRAINED_SUPERVISED</x:v>
      </x:c>
      <x:c r="T141" s="26" t="str">
        <x:v>Компетентный инструктор/ответственный специалист присутствует и может немедленно остановить работу.</x:v>
      </x:c>
      <x:c r="U141" s="26" t="n">
        <x:v>3</x:v>
      </x:c>
      <x:c r="V141" s="26" t="str">
        <x:v>ANY_SAFE_PERIOD</x:v>
      </x:c>
      <x:c r="W141" s="26" t="str">
        <x:v>records/science/SCI-CIVIL-11/YYYY-MM-DD/</x:v>
      </x:c>
      <x:c r="X141" s="26" t="str">
        <x:v>PSP-061|PSP-062</x:v>
      </x:c>
      <x:c r="Y141" s="26" t="str">
        <x:v>PROVISIONAL_TOPIC_CANDIDATES_NOT_METHOD_REVIEWED</x:v>
      </x:c>
      <x:c r="Z141" s="26" t="str">
        <x:v>BLOCKED_UNTIL_EXACT_METHOD_SOURCE_SAFETY_AND_LOCAL_REVIEW</x:v>
      </x:c>
      <x:c r="AA141" s="26" t="str">
        <x:v>DESIGN_ONLY_NOT_EXECUTED</x:v>
      </x:c>
      <x:c r="AB14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1" s="26" t="str">
        <x:v>0.4</x:v>
      </x:c>
    </x:row>
    <x:row r="142">
      <x:c r="A142" s="53" t="str">
        <x:v>PRJ-139</x:v>
      </x:c>
      <x:c r="B142" s="53" t="str">
        <x:v>SCI-CIVIL-12</x:v>
      </x:c>
      <x:c r="C142" s="53" t="str">
        <x:v>CIVIL</x:v>
      </x:c>
      <x:c r="D142" s="53" t="str">
        <x:v>Практическая проверка: Вентиляция, отопление и качество воздуха</x:v>
      </x:c>
      <x:c r="E142" s="53" t="str">
        <x:v>SUPERVISED_DEMONSTRATION_ONLY</x:v>
      </x:c>
      <x:c r="F142" s="53" t="str">
        <x:v>Объяснить базовую модель, выполнить допустимую для класса риска проверку и документировать пределы по теме «Вентиляция, отопление и качество воздуха».</x:v>
      </x:c>
      <x:c r="G142" s="53" t="str">
        <x:v>SCI-CIVIL-11|SCI-METH-13|право остановить опыт|инструкция оборудования</x:v>
      </x:c>
      <x:c r="H142" s="53" t="str">
        <x:v>TBD_NON_EXECUTABLE: точные item/model/material/range/PPE для размер/состояние/поток должны быть утверждены до начала</x:v>
      </x:c>
      <x:c r="I142" s="53" t="str">
        <x:v>До допуска: обучение и checklist. Затем только под компетентным надзором выполнить безопасную часть: измерительный аудит без вмешательства в газ/дымоход. Результат и отклонения подписывает supervisor.</x:v>
      </x:c>
      <x:c r="J142" s="53" t="str">
        <x:v>измерительный аудит без вмешательства в газ/дымоход</x:v>
      </x:c>
      <x:c r="K142" s="53" t="str">
        <x:v>SI или явно названный стандарт</x:v>
      </x:c>
      <x:c r="L142" s="53" t="str">
        <x:v>TBD_BEFORE_EXECUTION_FROM_EXACT_METHOD: диапазон/критерий фиксируется до результата; post-hoc подгонка запрещена.</x:v>
      </x:c>
      <x:c r="M142" s="53" t="str">
        <x:v>сырые данные + фото/скриншот при допустимости + расчёт + uncertainty + подпись reviewer + hash пакета</x:v>
      </x:c>
      <x:c r="N142" s="53" t="n">
        <x:v>1</x:v>
      </x:c>
      <x:c r="O142" s="53" t="str">
        <x:v>TBD_METHOD_SPECIFIC: range/resolution/bias/repeat spread/operator effects утверждаются до execution</x:v>
      </x:c>
      <x:c r="P142" s="53" t="str">
        <x:v>DESIGN_PLACEHOLDER_NOT_EXECUTABLE: item-specific hazard analysis, материалы, энергия, концентрация, СИЗ и отходы ещё не утверждены.</x:v>
      </x:c>
      <x:c r="Q142" s="53" t="str">
        <x:v>BLOCKED_BEFORE_START: до точного method/source review запрещено начинать; после review нужны наблюдаемые численные/событийные stop conditions.</x:v>
      </x:c>
      <x:c r="R142" s="53" t="str">
        <x:v>TBD_ITEM_SPECIFIC_AND_LOCAL: пока маршрут отходов не утверждён, физическое выполнение блокировано.</x:v>
      </x:c>
      <x:c r="S142" s="53" t="str">
        <x:v>S2_TRAINED_SUPERVISED</x:v>
      </x:c>
      <x:c r="T142" s="53" t="str">
        <x:v>Компетентный инструктор/ответственный специалист присутствует и может немедленно остановить работу.</x:v>
      </x:c>
      <x:c r="U142" s="53" t="n">
        <x:v>3</x:v>
      </x:c>
      <x:c r="V142" s="53" t="str">
        <x:v>ANY_SAFE_PERIOD</x:v>
      </x:c>
      <x:c r="W142" s="53" t="str">
        <x:v>records/science/SCI-CIVIL-12/YYYY-MM-DD/</x:v>
      </x:c>
      <x:c r="X142" s="53" t="str">
        <x:v>SUP-PHY-044|PSP-062</x:v>
      </x:c>
      <x:c r="Y142" s="53" t="str">
        <x:v>PROVISIONAL_TOPIC_CANDIDATES_NOT_METHOD_REVIEWED</x:v>
      </x:c>
      <x:c r="Z142" s="53" t="str">
        <x:v>BLOCKED_UNTIL_EXACT_METHOD_SOURCE_SAFETY_AND_LOCAL_REVIEW</x:v>
      </x:c>
      <x:c r="AA142" s="53" t="str">
        <x:v>DESIGN_ONLY_NOT_EXECUTED</x:v>
      </x:c>
      <x:c r="AB14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2" s="53" t="str">
        <x:v>0.4</x:v>
      </x:c>
    </x:row>
    <x:row r="143">
      <x:c r="A143" s="26" t="str">
        <x:v>PRJ-140</x:v>
      </x:c>
      <x:c r="B143" s="26" t="str">
        <x:v>SCI-CIVIL-13</x:v>
      </x:c>
      <x:c r="C143" s="26" t="str">
        <x:v>CIVIL</x:v>
      </x:c>
      <x:c r="D143" s="26" t="str">
        <x:v>Практическая проверка: Сантехника, арматура и обнаружение утечек</x:v>
      </x:c>
      <x:c r="E143" s="26" t="str">
        <x:v>SUPERVISED_DEMONSTRATION_ONLY</x:v>
      </x:c>
      <x:c r="F143" s="26" t="str">
        <x:v>Объяснить базовую модель, выполнить допустимую для класса риска проверку и документировать пределы по теме «Сантехника, арматура и обнаружение утечек».</x:v>
      </x:c>
      <x:c r="G143" s="26" t="str">
        <x:v>SCI-CIVIL-12|SCI-METH-13|право остановить опыт|инструкция оборудования</x:v>
      </x:c>
      <x:c r="H143" s="26" t="str">
        <x:v>TBD_NON_EXECUTABLE: точные item/model/material/range/PPE для размер/состояние/поток должны быть утверждены до начала</x:v>
      </x:c>
      <x:c r="I143" s="26" t="str">
        <x:v>До допуска: обучение и checklist. Затем только под компетентным надзором выполнить безопасную часть: безопасная визуальная проверка и изоляция по инструкции. Результат и отклонения подписывает supervisor.</x:v>
      </x:c>
      <x:c r="J143" s="26" t="str">
        <x:v>безопасная визуальная проверка и изоляция по инструкции</x:v>
      </x:c>
      <x:c r="K143" s="26" t="str">
        <x:v>SI или явно названный стандарт</x:v>
      </x:c>
      <x:c r="L143" s="26" t="str">
        <x:v>TBD_BEFORE_EXECUTION_FROM_EXACT_METHOD: диапазон/критерий фиксируется до результата; post-hoc подгонка запрещена.</x:v>
      </x:c>
      <x:c r="M143" s="26" t="str">
        <x:v>сырые данные + фото/скриншот при допустимости + расчёт + uncertainty + подпись reviewer + hash пакета</x:v>
      </x:c>
      <x:c r="N143" s="26" t="n">
        <x:v>1</x:v>
      </x:c>
      <x:c r="O143" s="26" t="str">
        <x:v>TBD_METHOD_SPECIFIC: range/resolution/bias/repeat spread/operator effects утверждаются до execution</x:v>
      </x:c>
      <x:c r="P143" s="26" t="str">
        <x:v>DESIGN_PLACEHOLDER_NOT_EXECUTABLE: item-specific hazard analysis, материалы, энергия, концентрация, СИЗ и отходы ещё не утверждены.</x:v>
      </x:c>
      <x:c r="Q143" s="26" t="str">
        <x:v>BLOCKED_BEFORE_START: до точного method/source review запрещено начинать; после review нужны наблюдаемые численные/событийные stop conditions.</x:v>
      </x:c>
      <x:c r="R143" s="26" t="str">
        <x:v>TBD_ITEM_SPECIFIC_AND_LOCAL: пока маршрут отходов не утверждён, физическое выполнение блокировано.</x:v>
      </x:c>
      <x:c r="S143" s="26" t="str">
        <x:v>S2_TRAINED_SUPERVISED</x:v>
      </x:c>
      <x:c r="T143" s="26" t="str">
        <x:v>Компетентный инструктор/ответственный специалист присутствует и может немедленно остановить работу.</x:v>
      </x:c>
      <x:c r="U143" s="26" t="n">
        <x:v>3</x:v>
      </x:c>
      <x:c r="V143" s="26" t="str">
        <x:v>ANY_SAFE_PERIOD</x:v>
      </x:c>
      <x:c r="W143" s="26" t="str">
        <x:v>records/science/SCI-CIVIL-13/YYYY-MM-DD/</x:v>
      </x:c>
      <x:c r="X143" s="26" t="str">
        <x:v>PSP-116|PSP-118</x:v>
      </x:c>
      <x:c r="Y143" s="26" t="str">
        <x:v>PROVISIONAL_TOPIC_CANDIDATES_NOT_METHOD_REVIEWED</x:v>
      </x:c>
      <x:c r="Z143" s="26" t="str">
        <x:v>BLOCKED_UNTIL_EXACT_METHOD_SOURCE_SAFETY_AND_LOCAL_REVIEW</x:v>
      </x:c>
      <x:c r="AA143" s="26" t="str">
        <x:v>DESIGN_ONLY_NOT_EXECUTED</x:v>
      </x:c>
      <x:c r="AB14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3" s="26" t="str">
        <x:v>0.4</x:v>
      </x:c>
    </x:row>
    <x:row r="144">
      <x:c r="A144" s="53" t="str">
        <x:v>PRJ-141</x:v>
      </x:c>
      <x:c r="B144" s="53" t="str">
        <x:v>SCI-CIVIL-14</x:v>
      </x:c>
      <x:c r="C144" s="53" t="str">
        <x:v>CIVIL</x:v>
      </x:c>
      <x:c r="D144" s="53" t="str">
        <x:v>Практическая проверка: Дороги, мосты и транспортные сооружения</x:v>
      </x:c>
      <x:c r="E144" s="53" t="str">
        <x:v>DATASET_SIMULATION_OR_PRO_OBSERVATION_ONLY</x:v>
      </x:c>
      <x:c r="F144" s="53" t="str">
        <x:v>Объяснить базовую модель, выполнить допустимую для класса риска проверку и документировать пределы по теме «Дороги, мосты и транспортные сооружения».</x:v>
      </x:c>
      <x:c r="G144" s="53" t="str">
        <x:v>SCI-CIVIL-13|SCI-METH-13|право остановить опыт|инструкция оборудования</x:v>
      </x:c>
      <x:c r="H144" s="53" t="str">
        <x:v>TBD_NON_EXECUTABLE: точные item/model/material/range/PPE для размер/состояние/поток должны быть утверждены до начала</x:v>
      </x:c>
      <x:c r="I144" s="53" t="str">
        <x:v>Не выполнять реальную работу. Разобрать утверждённый отчёт, схему, симуляцию или обезличенный набор данных по теме: визуальное распознавание дефекта без заключения о безопасности. Зафиксировать, когда нужен лицензированный специалист.</x:v>
      </x:c>
      <x:c r="J144" s="53" t="str">
        <x:v>визуальное распознавание дефекта без заключения о безопасности</x:v>
      </x:c>
      <x:c r="K144" s="53" t="str">
        <x:v>SI или явно названный стандарт</x:v>
      </x:c>
      <x:c r="L144" s="53" t="str">
        <x:v>TBD_BEFORE_EXECUTION_FROM_EXACT_METHOD: диапазон/критерий фиксируется до результата; post-hoc подгонка запрещена.</x:v>
      </x:c>
      <x:c r="M144" s="53" t="str">
        <x:v>сырые данные + фото/скриншот при допустимости + расчёт + uncertainty + подпись reviewer + hash пакета</x:v>
      </x:c>
      <x:c r="N144" s="53" t="n">
        <x:v>1</x:v>
      </x:c>
      <x:c r="O144" s="53" t="str">
        <x:v>TBD_METHOD_SPECIFIC: range/resolution/bias/repeat spread/operator effects утверждаются до execution</x:v>
      </x:c>
      <x:c r="P144" s="53" t="str">
        <x:v>Самовольная работа может привести к пожару, поражению током, обрушению, утечке, травме или нарушению закона.</x:v>
      </x:c>
      <x:c r="Q144" s="53" t="str">
        <x:v>STOP до любого физического вмешательства; только лицензированный специалист с действующим scope и площадкой.</x:v>
      </x:c>
      <x:c r="R144" s="53" t="str">
        <x:v>TBD_ITEM_SPECIFIC_AND_LOCAL: пока маршрут отходов не утверждён, физическое выполнение блокировано.</x:v>
      </x:c>
      <x:c r="S144" s="53" t="str">
        <x:v>S3_LICENSED_PROFESSIONAL</x:v>
      </x:c>
      <x:c r="T144" s="53" t="str">
        <x:v>Лицензированный специалист для любой реальной работы; учебный анализ может быть самостоятельным.</x:v>
      </x:c>
      <x:c r="U144" s="53" t="n">
        <x:v>2</x:v>
      </x:c>
      <x:c r="V144" s="53" t="str">
        <x:v>ANY_SAFE_PERIOD</x:v>
      </x:c>
      <x:c r="W144" s="53" t="str">
        <x:v>records/science/SCI-CIVIL-14/YYYY-MM-DD/</x:v>
      </x:c>
      <x:c r="X144" s="53" t="str">
        <x:v>PSP-092|PSP-118</x:v>
      </x:c>
      <x:c r="Y144" s="53" t="str">
        <x:v>PROVISIONAL_TOPIC_CANDIDATES_NOT_METHOD_REVIEWED</x:v>
      </x:c>
      <x:c r="Z144" s="53" t="str">
        <x:v>BLOCKED_UNTIL_EXACT_METHOD_SOURCE_SAFETY_AND_LOCAL_REVIEW</x:v>
      </x:c>
      <x:c r="AA144" s="53" t="str">
        <x:v>DESIGN_ONLY_NOT_EXECUTED</x:v>
      </x:c>
      <x:c r="AB14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4" s="53" t="str">
        <x:v>0.4</x:v>
      </x:c>
    </x:row>
    <x:row r="145">
      <x:c r="A145" s="26" t="str">
        <x:v>PRJ-142</x:v>
      </x:c>
      <x:c r="B145" s="26" t="str">
        <x:v>SCI-CIVIL-15</x:v>
      </x:c>
      <x:c r="C145" s="26" t="str">
        <x:v>CIVIL</x:v>
      </x:c>
      <x:c r="D145" s="26" t="str">
        <x:v>Практическая проверка: Строительные материалы и неразрушающий контроль</x:v>
      </x:c>
      <x:c r="E145" s="26" t="str">
        <x:v>SUPERVISED_DEMONSTRATION_ONLY</x:v>
      </x:c>
      <x:c r="F145" s="26" t="str">
        <x:v>Объяснить базовую модель, выполнить допустимую для класса риска проверку и документировать пределы по теме «Строительные материалы и неразрушающий контроль».</x:v>
      </x:c>
      <x:c r="G145" s="26" t="str">
        <x:v>SCI-CIVIL-14|SCI-METH-13|право остановить опыт|инструкция оборудования</x:v>
      </x:c>
      <x:c r="H145" s="26" t="str">
        <x:v>TBD_NON_EXECUTABLE: точные item/model/material/range/PPE для размер/состояние/поток должны быть утверждены до начала</x:v>
      </x:c>
      <x:c r="I145" s="26" t="str">
        <x:v>До допуска: обучение и checklist. Затем только под компетентным надзором выполнить безопасную часть: документированный осмотр без разрушительного испытания. Результат и отклонения подписывает supervisor.</x:v>
      </x:c>
      <x:c r="J145" s="26" t="str">
        <x:v>документированный осмотр без разрушительного испытания</x:v>
      </x:c>
      <x:c r="K145" s="26" t="str">
        <x:v>SI или явно названный стандарт</x:v>
      </x:c>
      <x:c r="L145" s="26" t="str">
        <x:v>TBD_BEFORE_EXECUTION_FROM_EXACT_METHOD: диапазон/критерий фиксируется до результата; post-hoc подгонка запрещена.</x:v>
      </x:c>
      <x:c r="M145" s="26" t="str">
        <x:v>сырые данные + фото/скриншот при допустимости + расчёт + uncertainty + подпись reviewer + hash пакета</x:v>
      </x:c>
      <x:c r="N145" s="26" t="n">
        <x:v>1</x:v>
      </x:c>
      <x:c r="O145" s="26" t="str">
        <x:v>TBD_METHOD_SPECIFIC: range/resolution/bias/repeat spread/operator effects утверждаются до execution</x:v>
      </x:c>
      <x:c r="P145" s="26" t="str">
        <x:v>DESIGN_PLACEHOLDER_NOT_EXECUTABLE: item-specific hazard analysis, материалы, энергия, концентрация, СИЗ и отходы ещё не утверждены.</x:v>
      </x:c>
      <x:c r="Q145" s="26" t="str">
        <x:v>BLOCKED_BEFORE_START: до точного method/source review запрещено начинать; после review нужны наблюдаемые численные/событийные stop conditions.</x:v>
      </x:c>
      <x:c r="R145" s="26" t="str">
        <x:v>TBD_ITEM_SPECIFIC_AND_LOCAL: пока маршрут отходов не утверждён, физическое выполнение блокировано.</x:v>
      </x:c>
      <x:c r="S145" s="26" t="str">
        <x:v>S2_TRAINED_SUPERVISED</x:v>
      </x:c>
      <x:c r="T145" s="26" t="str">
        <x:v>Компетентный инструктор/ответственный специалист присутствует и может немедленно остановить работу.</x:v>
      </x:c>
      <x:c r="U145" s="26" t="n">
        <x:v>3</x:v>
      </x:c>
      <x:c r="V145" s="26" t="str">
        <x:v>ANY_SAFE_PERIOD</x:v>
      </x:c>
      <x:c r="W145" s="26" t="str">
        <x:v>records/science/SCI-CIVIL-15/YYYY-MM-DD/</x:v>
      </x:c>
      <x:c r="X145" s="26" t="str">
        <x:v>SUP-PHY-041|PSP-062</x:v>
      </x:c>
      <x:c r="Y145" s="26" t="str">
        <x:v>PROVISIONAL_TOPIC_CANDIDATES_NOT_METHOD_REVIEWED</x:v>
      </x:c>
      <x:c r="Z145" s="26" t="str">
        <x:v>BLOCKED_UNTIL_EXACT_METHOD_SOURCE_SAFETY_AND_LOCAL_REVIEW</x:v>
      </x:c>
      <x:c r="AA145" s="26" t="str">
        <x:v>DESIGN_ONLY_NOT_EXECUTED</x:v>
      </x:c>
      <x:c r="AB14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5" s="26" t="str">
        <x:v>0.4</x:v>
      </x:c>
    </x:row>
    <x:row r="146">
      <x:c r="A146" s="53" t="str">
        <x:v>PRJ-143</x:v>
      </x:c>
      <x:c r="B146" s="53" t="str">
        <x:v>SCI-CIVIL-16</x:v>
      </x:c>
      <x:c r="C146" s="53" t="str">
        <x:v>CIVIL</x:v>
      </x:c>
      <x:c r="D146" s="53" t="str">
        <x:v>Практическая проверка: Плановое обслуживание и журнал здания</x:v>
      </x:c>
      <x:c r="E146" s="53" t="str">
        <x:v>LOW_RISK_BENCH_OR_FIELD</x:v>
      </x:c>
      <x:c r="F146" s="53" t="str">
        <x:v>Объяснить базовую модель, выполнить допустимую для класса риска проверку и документировать пределы по теме «Плановое обслуживание и журнал здания».</x:v>
      </x:c>
      <x:c r="G146" s="53" t="str">
        <x:v>SCI-CIVIL-15|SCI-METH-13|право остановить опыт|инструкция оборудования</x:v>
      </x:c>
      <x:c r="H146" s="53" t="str">
        <x:v>TBD_NON_EXECUTABLE: точные item/model/material/range/PPE для размер/состояние/поток должны быть утверждены до начала</x:v>
      </x:c>
      <x:c r="I146" s="53" t="str">
        <x:v>Сформулировать вопрос; записать метод и единицы; выполнить паспорт узла, интервал, дефект и эскалация; сохранить сырые данные; повторить; оценить неопределённость; сделать ограниченный вывод.</x:v>
      </x:c>
      <x:c r="J146" s="53" t="str">
        <x:v>паспорт узла, интервал, дефект и эскалация</x:v>
      </x:c>
      <x:c r="K146" s="53" t="str">
        <x:v>SI или явно названный стандарт</x:v>
      </x:c>
      <x:c r="L146" s="53" t="str">
        <x:v>TBD_BEFORE_EXECUTION_FROM_EXACT_METHOD: диапазон/критерий фиксируется до результата; post-hoc подгонка запрещена.</x:v>
      </x:c>
      <x:c r="M146" s="53" t="str">
        <x:v>сырые данные + фото/скриншот при допустимости + расчёт + uncertainty + подпись reviewer + hash пакета</x:v>
      </x:c>
      <x:c r="N146" s="53" t="n">
        <x:v>3</x:v>
      </x:c>
      <x:c r="O146" s="53" t="str">
        <x:v>TBD_METHOD_SPECIFIC: range/resolution/bias/repeat spread/operator effects утверждаются до execution</x:v>
      </x:c>
      <x:c r="P146" s="53" t="str">
        <x:v>DESIGN_PLACEHOLDER_NOT_EXECUTABLE: item-specific hazard analysis, материалы, энергия, концентрация, СИЗ и отходы ещё не утверждены.</x:v>
      </x:c>
      <x:c r="Q146" s="53" t="str">
        <x:v>BLOCKED_BEFORE_START: до точного method/source review запрещено начинать; после review нужны наблюдаемые численные/событийные stop conditions.</x:v>
      </x:c>
      <x:c r="R146" s="53" t="str">
        <x:v>TBD_ITEM_SPECIFIC_AND_LOCAL: пока маршрут отходов не утверждён, физическое выполнение блокировано.</x:v>
      </x:c>
      <x:c r="S146" s="53" t="str">
        <x:v>S1_LOW_RISK_HOUSEHOLD</x:v>
      </x:c>
      <x:c r="T146" s="53" t="str">
        <x:v>S1 допускается только после замены всех DESIGN/TBD полей точным low-risk методом и независимой safety-проверки.</x:v>
      </x:c>
      <x:c r="U146" s="53" t="n">
        <x:v>3</x:v>
      </x:c>
      <x:c r="V146" s="53" t="str">
        <x:v>ANY_SAFE_PERIOD</x:v>
      </x:c>
      <x:c r="W146" s="53" t="str">
        <x:v>records/science/SCI-CIVIL-16/YYYY-MM-DD/</x:v>
      </x:c>
      <x:c r="X146" s="53" t="str">
        <x:v>PSP-008|PSP-116</x:v>
      </x:c>
      <x:c r="Y146" s="53" t="str">
        <x:v>PROVISIONAL_TOPIC_CANDIDATES_NOT_METHOD_REVIEWED</x:v>
      </x:c>
      <x:c r="Z146" s="53" t="str">
        <x:v>BLOCKED_UNTIL_EXACT_METHOD_SOURCE_SAFETY_AND_LOCAL_REVIEW</x:v>
      </x:c>
      <x:c r="AA146" s="53" t="str">
        <x:v>DESIGN_ONLY_NOT_EXECUTED</x:v>
      </x:c>
      <x:c r="AB14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6" s="53" t="str">
        <x:v>0.4</x:v>
      </x:c>
    </x:row>
    <x:row r="147">
      <x:c r="A147" s="26" t="str">
        <x:v>PRJ-144</x:v>
      </x:c>
      <x:c r="B147" s="26" t="str">
        <x:v>SCI-MECH-01</x:v>
      </x:c>
      <x:c r="C147" s="26" t="str">
        <x:v>MECH</x:v>
      </x:c>
      <x:c r="D147" s="26" t="str">
        <x:v>Практическая проверка: Ручной инструмент, подбор и безопасная работа</x:v>
      </x:c>
      <x:c r="E147" s="26" t="str">
        <x:v>LOW_RISK_BENCH_OR_FIELD</x:v>
      </x:c>
      <x:c r="F147" s="26" t="str">
        <x:v>Объяснить базовую модель, выполнить допустимую для класса риска проверку и документировать пределы по теме «Ручной инструмент, подбор и безопасная работа».</x:v>
      </x:c>
      <x:c r="G147" s="26" t="str">
        <x:v>SCI-METH-01|SCI-METH-07|SCI-METH-14|право остановить опыт|инструкция оборудования</x:v>
      </x:c>
      <x:c r="H147" s="26" t="str">
        <x:v>TBD_NON_EXECUTABLE: точные item/model/material/range/PPE для размер/сила/состояние должны быть утверждены до начала</x:v>
      </x:c>
      <x:c r="I147" s="26" t="str">
        <x:v>Сформулировать вопрос; записать метод и единицы; выполнить предпусковой осмотр и низкорисковая учебная операция; сохранить сырые данные; повторить; оценить неопределённость; сделать ограниченный вывод.</x:v>
      </x:c>
      <x:c r="J147" s="26" t="str">
        <x:v>предпусковой осмотр и низкорисковая учебная операция</x:v>
      </x:c>
      <x:c r="K147" s="26" t="str">
        <x:v>SI или явно названный стандарт</x:v>
      </x:c>
      <x:c r="L147" s="26" t="str">
        <x:v>TBD_BEFORE_EXECUTION_FROM_EXACT_METHOD: диапазон/критерий фиксируется до результата; post-hoc подгонка запрещена.</x:v>
      </x:c>
      <x:c r="M147" s="26" t="str">
        <x:v>сырые данные + фото/скриншот при допустимости + расчёт + uncertainty + подпись reviewer + hash пакета</x:v>
      </x:c>
      <x:c r="N147" s="26" t="n">
        <x:v>3</x:v>
      </x:c>
      <x:c r="O147" s="26" t="str">
        <x:v>TBD_METHOD_SPECIFIC: range/resolution/bias/repeat spread/operator effects утверждаются до execution</x:v>
      </x:c>
      <x:c r="P147" s="26" t="str">
        <x:v>DESIGN_PLACEHOLDER_NOT_EXECUTABLE: item-specific hazard analysis, материалы, энергия, концентрация, СИЗ и отходы ещё не утверждены.</x:v>
      </x:c>
      <x:c r="Q147" s="26" t="str">
        <x:v>BLOCKED_BEFORE_START: до точного method/source review запрещено начинать; после review нужны наблюдаемые численные/событийные stop conditions.</x:v>
      </x:c>
      <x:c r="R147" s="26" t="str">
        <x:v>TBD_ITEM_SPECIFIC_AND_LOCAL: пока маршрут отходов не утверждён, физическое выполнение блокировано.</x:v>
      </x:c>
      <x:c r="S147" s="26" t="str">
        <x:v>S1_LOW_RISK_HOUSEHOLD</x:v>
      </x:c>
      <x:c r="T147" s="26" t="str">
        <x:v>S1 допускается только после замены всех DESIGN/TBD полей точным low-risk методом и независимой safety-проверки.</x:v>
      </x:c>
      <x:c r="U147" s="26" t="n">
        <x:v>3</x:v>
      </x:c>
      <x:c r="V147" s="26" t="str">
        <x:v>ANY_SAFE_PERIOD</x:v>
      </x:c>
      <x:c r="W147" s="26" t="str">
        <x:v>records/science/SCI-MECH-01/YYYY-MM-DD/</x:v>
      </x:c>
      <x:c r="X147" s="26" t="str">
        <x:v>PSP-008|PSP-116</x:v>
      </x:c>
      <x:c r="Y147" s="26" t="str">
        <x:v>PROVISIONAL_TOPIC_CANDIDATES_NOT_METHOD_REVIEWED</x:v>
      </x:c>
      <x:c r="Z147" s="26" t="str">
        <x:v>BLOCKED_UNTIL_EXACT_METHOD_SOURCE_SAFETY_AND_LOCAL_REVIEW</x:v>
      </x:c>
      <x:c r="AA147" s="26" t="str">
        <x:v>DESIGN_ONLY_NOT_EXECUTED</x:v>
      </x:c>
      <x:c r="AB14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7" s="26" t="str">
        <x:v>0.4</x:v>
      </x:c>
    </x:row>
    <x:row r="148">
      <x:c r="A148" s="53" t="str">
        <x:v>PRJ-145</x:v>
      </x:c>
      <x:c r="B148" s="53" t="str">
        <x:v>SCI-MECH-02</x:v>
      </x:c>
      <x:c r="C148" s="53" t="str">
        <x:v>MECH</x:v>
      </x:c>
      <x:c r="D148" s="53" t="str">
        <x:v>Практическая проверка: Линейные/угловые измерения и допуски</x:v>
      </x:c>
      <x:c r="E148" s="53" t="str">
        <x:v>LOW_RISK_BENCH_OR_FIELD</x:v>
      </x:c>
      <x:c r="F148" s="53" t="str">
        <x:v>Объяснить базовую модель, выполнить допустимую для класса риска проверку и документировать пределы по теме «Линейные/угловые измерения и допуски».</x:v>
      </x:c>
      <x:c r="G148" s="53" t="str">
        <x:v>SCI-MECH-01|SCI-METH-13|право остановить опыт|инструкция оборудования</x:v>
      </x:c>
      <x:c r="H148" s="53" t="str">
        <x:v>TBD_NON_EXECUTABLE: точные item/model/material/range/PPE для размер/сила/состояние должны быть утверждены до начала</x:v>
      </x:c>
      <x:c r="I148" s="53" t="str">
        <x:v>Сформулировать вопрос; записать метод и единицы; выполнить три повтора штангенциркулем/линейкой на безопасной детали; сохранить сырые данные; повторить; оценить неопределённость; сделать ограниченный вывод.</x:v>
      </x:c>
      <x:c r="J148" s="53" t="str">
        <x:v>три повтора штангенциркулем/линейкой на безопасной детали</x:v>
      </x:c>
      <x:c r="K148" s="53" t="str">
        <x:v>SI или явно названный стандарт</x:v>
      </x:c>
      <x:c r="L148" s="53" t="str">
        <x:v>TBD_BEFORE_EXECUTION_FROM_EXACT_METHOD: диапазон/критерий фиксируется до результата; post-hoc подгонка запрещена.</x:v>
      </x:c>
      <x:c r="M148" s="53" t="str">
        <x:v>сырые данные + фото/скриншот при допустимости + расчёт + uncertainty + подпись reviewer + hash пакета</x:v>
      </x:c>
      <x:c r="N148" s="53" t="n">
        <x:v>3</x:v>
      </x:c>
      <x:c r="O148" s="53" t="str">
        <x:v>TBD_METHOD_SPECIFIC: range/resolution/bias/repeat spread/operator effects утверждаются до execution</x:v>
      </x:c>
      <x:c r="P148" s="53" t="str">
        <x:v>DESIGN_PLACEHOLDER_NOT_EXECUTABLE: item-specific hazard analysis, материалы, энергия, концентрация, СИЗ и отходы ещё не утверждены.</x:v>
      </x:c>
      <x:c r="Q148" s="53" t="str">
        <x:v>BLOCKED_BEFORE_START: до точного method/source review запрещено начинать; после review нужны наблюдаемые численные/событийные stop conditions.</x:v>
      </x:c>
      <x:c r="R148" s="53" t="str">
        <x:v>TBD_ITEM_SPECIFIC_AND_LOCAL: пока маршрут отходов не утверждён, физическое выполнение блокировано.</x:v>
      </x:c>
      <x:c r="S148" s="53" t="str">
        <x:v>S1_LOW_RISK_HOUSEHOLD</x:v>
      </x:c>
      <x:c r="T148" s="53" t="str">
        <x:v>S1 допускается только после замены всех DESIGN/TBD полей точным low-risk методом и независимой safety-проверки.</x:v>
      </x:c>
      <x:c r="U148" s="53" t="n">
        <x:v>3</x:v>
      </x:c>
      <x:c r="V148" s="53" t="str">
        <x:v>ANY_SAFE_PERIOD</x:v>
      </x:c>
      <x:c r="W148" s="53" t="str">
        <x:v>records/science/SCI-MECH-02/YYYY-MM-DD/</x:v>
      </x:c>
      <x:c r="X148" s="53" t="str">
        <x:v>PSP-008|PSP-116</x:v>
      </x:c>
      <x:c r="Y148" s="53" t="str">
        <x:v>PROVISIONAL_TOPIC_CANDIDATES_NOT_METHOD_REVIEWED</x:v>
      </x:c>
      <x:c r="Z148" s="53" t="str">
        <x:v>BLOCKED_UNTIL_EXACT_METHOD_SOURCE_SAFETY_AND_LOCAL_REVIEW</x:v>
      </x:c>
      <x:c r="AA148" s="53" t="str">
        <x:v>DESIGN_ONLY_NOT_EXECUTED</x:v>
      </x:c>
      <x:c r="AB14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8" s="53" t="str">
        <x:v>0.4</x:v>
      </x:c>
    </x:row>
    <x:row r="149">
      <x:c r="A149" s="26" t="str">
        <x:v>PRJ-146</x:v>
      </x:c>
      <x:c r="B149" s="26" t="str">
        <x:v>SCI-MECH-03</x:v>
      </x:c>
      <x:c r="C149" s="26" t="str">
        <x:v>MECH</x:v>
      </x:c>
      <x:c r="D149" s="26" t="str">
        <x:v>Практическая проверка: Резьба, крепёж, момент и фиксация</x:v>
      </x:c>
      <x:c r="E149" s="26" t="str">
        <x:v>SUPERVISED_DEMONSTRATION_ONLY</x:v>
      </x:c>
      <x:c r="F149" s="26" t="str">
        <x:v>Объяснить базовую модель, выполнить допустимую для класса риска проверку и документировать пределы по теме «Резьба, крепёж, момент и фиксация».</x:v>
      </x:c>
      <x:c r="G149" s="26" t="str">
        <x:v>SCI-MECH-02|SCI-METH-13|право остановить опыт|инструкция оборудования</x:v>
      </x:c>
      <x:c r="H149" s="26" t="str">
        <x:v>TBD_NON_EXECUTABLE: точные item/model/material/range/PPE для размер/сила/состояние должны быть утверждены до начала</x:v>
      </x:c>
      <x:c r="I149" s="26" t="str">
        <x:v>До допуска: обучение и checklist. Затем только под компетентным надзором выполнить безопасную часть: идентификация и сборка учебного соединения по спецификации. Результат и отклонения подписывает supervisor.</x:v>
      </x:c>
      <x:c r="J149" s="26" t="str">
        <x:v>идентификация и сборка учебного соединения по спецификации</x:v>
      </x:c>
      <x:c r="K149" s="26" t="str">
        <x:v>SI или явно названный стандарт</x:v>
      </x:c>
      <x:c r="L149" s="26" t="str">
        <x:v>TBD_BEFORE_EXECUTION_FROM_EXACT_METHOD: диапазон/критерий фиксируется до результата; post-hoc подгонка запрещена.</x:v>
      </x:c>
      <x:c r="M149" s="26" t="str">
        <x:v>сырые данные + фото/скриншот при допустимости + расчёт + uncertainty + подпись reviewer + hash пакета</x:v>
      </x:c>
      <x:c r="N149" s="26" t="n">
        <x:v>1</x:v>
      </x:c>
      <x:c r="O149" s="26" t="str">
        <x:v>TBD_METHOD_SPECIFIC: range/resolution/bias/repeat spread/operator effects утверждаются до execution</x:v>
      </x:c>
      <x:c r="P149" s="26" t="str">
        <x:v>DESIGN_PLACEHOLDER_NOT_EXECUTABLE: item-specific hazard analysis, материалы, энергия, концентрация, СИЗ и отходы ещё не утверждены.</x:v>
      </x:c>
      <x:c r="Q149" s="26" t="str">
        <x:v>BLOCKED_BEFORE_START: до точного method/source review запрещено начинать; после review нужны наблюдаемые численные/событийные stop conditions.</x:v>
      </x:c>
      <x:c r="R149" s="26" t="str">
        <x:v>TBD_ITEM_SPECIFIC_AND_LOCAL: пока маршрут отходов не утверждён, физическое выполнение блокировано.</x:v>
      </x:c>
      <x:c r="S149" s="26" t="str">
        <x:v>S2_TRAINED_SUPERVISED</x:v>
      </x:c>
      <x:c r="T149" s="26" t="str">
        <x:v>Компетентный инструктор/ответственный специалист присутствует и может немедленно остановить работу.</x:v>
      </x:c>
      <x:c r="U149" s="26" t="n">
        <x:v>3</x:v>
      </x:c>
      <x:c r="V149" s="26" t="str">
        <x:v>ANY_SAFE_PERIOD</x:v>
      </x:c>
      <x:c r="W149" s="26" t="str">
        <x:v>records/science/SCI-MECH-03/YYYY-MM-DD/</x:v>
      </x:c>
      <x:c r="X149" s="26" t="str">
        <x:v>PSP-008|PSP-116</x:v>
      </x:c>
      <x:c r="Y149" s="26" t="str">
        <x:v>PROVISIONAL_TOPIC_CANDIDATES_NOT_METHOD_REVIEWED</x:v>
      </x:c>
      <x:c r="Z149" s="26" t="str">
        <x:v>BLOCKED_UNTIL_EXACT_METHOD_SOURCE_SAFETY_AND_LOCAL_REVIEW</x:v>
      </x:c>
      <x:c r="AA149" s="26" t="str">
        <x:v>DESIGN_ONLY_NOT_EXECUTED</x:v>
      </x:c>
      <x:c r="AB14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49" s="26" t="str">
        <x:v>0.4</x:v>
      </x:c>
    </x:row>
    <x:row r="150">
      <x:c r="A150" s="53" t="str">
        <x:v>PRJ-147</x:v>
      </x:c>
      <x:c r="B150" s="53" t="str">
        <x:v>SCI-MECH-04</x:v>
      </x:c>
      <x:c r="C150" s="53" t="str">
        <x:v>MECH</x:v>
      </x:c>
      <x:c r="D150" s="53" t="str">
        <x:v>Практическая проверка: Механизмы, рычаги, передачи и кинематика</x:v>
      </x:c>
      <x:c r="E150" s="53" t="str">
        <x:v>LOW_RISK_BENCH_OR_FIELD</x:v>
      </x:c>
      <x:c r="F150" s="53" t="str">
        <x:v>Объяснить базовую модель, выполнить допустимую для класса риска проверку и документировать пределы по теме «Механизмы, рычаги, передачи и кинематика».</x:v>
      </x:c>
      <x:c r="G150" s="53" t="str">
        <x:v>SCI-MECH-03|SCI-METH-13|право остановить опыт|инструкция оборудования</x:v>
      </x:c>
      <x:c r="H150" s="53" t="str">
        <x:v>TBD_NON_EXECUTABLE: точные item/model/material/range/PPE для размер/сила/состояние должны быть утверждены до начала</x:v>
      </x:c>
      <x:c r="I150" s="53" t="str">
        <x:v>Сформулировать вопрос; записать метод и единицы; выполнить настольная безопасная модель; сохранить сырые данные; повторить; оценить неопределённость; сделать ограниченный вывод.</x:v>
      </x:c>
      <x:c r="J150" s="53" t="str">
        <x:v>настольная безопасная модель</x:v>
      </x:c>
      <x:c r="K150" s="53" t="str">
        <x:v>SI или явно названный стандарт</x:v>
      </x:c>
      <x:c r="L150" s="53" t="str">
        <x:v>TBD_BEFORE_EXECUTION_FROM_EXACT_METHOD: диапазон/критерий фиксируется до результата; post-hoc подгонка запрещена.</x:v>
      </x:c>
      <x:c r="M150" s="53" t="str">
        <x:v>сырые данные + фото/скриншот при допустимости + расчёт + uncertainty + подпись reviewer + hash пакета</x:v>
      </x:c>
      <x:c r="N150" s="53" t="n">
        <x:v>3</x:v>
      </x:c>
      <x:c r="O150" s="53" t="str">
        <x:v>TBD_METHOD_SPECIFIC: range/resolution/bias/repeat spread/operator effects утверждаются до execution</x:v>
      </x:c>
      <x:c r="P150" s="53" t="str">
        <x:v>DESIGN_PLACEHOLDER_NOT_EXECUTABLE: item-specific hazard analysis, материалы, энергия, концентрация, СИЗ и отходы ещё не утверждены.</x:v>
      </x:c>
      <x:c r="Q150" s="53" t="str">
        <x:v>BLOCKED_BEFORE_START: до точного method/source review запрещено начинать; после review нужны наблюдаемые численные/событийные stop conditions.</x:v>
      </x:c>
      <x:c r="R150" s="53" t="str">
        <x:v>TBD_ITEM_SPECIFIC_AND_LOCAL: пока маршрут отходов не утверждён, физическое выполнение блокировано.</x:v>
      </x:c>
      <x:c r="S150" s="53" t="str">
        <x:v>S1_LOW_RISK_HOUSEHOLD</x:v>
      </x:c>
      <x:c r="T150" s="53" t="str">
        <x:v>S1 допускается только после замены всех DESIGN/TBD полей точным low-risk методом и независимой safety-проверки.</x:v>
      </x:c>
      <x:c r="U150" s="53" t="n">
        <x:v>3</x:v>
      </x:c>
      <x:c r="V150" s="53" t="str">
        <x:v>ANY_SAFE_PERIOD</x:v>
      </x:c>
      <x:c r="W150" s="53" t="str">
        <x:v>records/science/SCI-MECH-04/YYYY-MM-DD/</x:v>
      </x:c>
      <x:c r="X150" s="53" t="str">
        <x:v>PSP-008|PSP-116</x:v>
      </x:c>
      <x:c r="Y150" s="53" t="str">
        <x:v>PROVISIONAL_TOPIC_CANDIDATES_NOT_METHOD_REVIEWED</x:v>
      </x:c>
      <x:c r="Z150" s="53" t="str">
        <x:v>BLOCKED_UNTIL_EXACT_METHOD_SOURCE_SAFETY_AND_LOCAL_REVIEW</x:v>
      </x:c>
      <x:c r="AA150" s="53" t="str">
        <x:v>DESIGN_ONLY_NOT_EXECUTED</x:v>
      </x:c>
      <x:c r="AB15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0" s="53" t="str">
        <x:v>0.4</x:v>
      </x:c>
    </x:row>
    <x:row r="151">
      <x:c r="A151" s="26" t="str">
        <x:v>PRJ-148</x:v>
      </x:c>
      <x:c r="B151" s="26" t="str">
        <x:v>SCI-MECH-05</x:v>
      </x:c>
      <x:c r="C151" s="26" t="str">
        <x:v>MECH</x:v>
      </x:c>
      <x:c r="D151" s="26" t="str">
        <x:v>Практическая проверка: Валы, муфты, цепи, ремни и ограждения</x:v>
      </x:c>
      <x:c r="E151" s="26" t="str">
        <x:v>SUPERVISED_DEMONSTRATION_ONLY</x:v>
      </x:c>
      <x:c r="F151" s="26" t="str">
        <x:v>Объяснить базовую модель, выполнить допустимую для класса риска проверку и документировать пределы по теме «Валы, муфты, цепи, ремни и ограждения».</x:v>
      </x:c>
      <x:c r="G151" s="26" t="str">
        <x:v>SCI-MECH-04|SCI-METH-13|право остановить опыт|инструкция оборудования</x:v>
      </x:c>
      <x:c r="H151" s="26" t="str">
        <x:v>TBD_NON_EXECUTABLE: точные item/model/material/range/PPE для размер/сила/состояние должны быть утверждены до начала</x:v>
      </x:c>
      <x:c r="I151" s="26" t="str">
        <x:v>До допуска: обучение и checklist. Затем только под компетентным надзором выполнить безопасную часть: осмотр отключённой учебной системы; lockout обязателен. Результат и отклонения подписывает supervisor.</x:v>
      </x:c>
      <x:c r="J151" s="26" t="str">
        <x:v>осмотр отключённой учебной системы; lockout обязателен</x:v>
      </x:c>
      <x:c r="K151" s="26" t="str">
        <x:v>SI или явно названный стандарт</x:v>
      </x:c>
      <x:c r="L151" s="26" t="str">
        <x:v>TBD_BEFORE_EXECUTION_FROM_EXACT_METHOD: диапазон/критерий фиксируется до результата; post-hoc подгонка запрещена.</x:v>
      </x:c>
      <x:c r="M151" s="26" t="str">
        <x:v>сырые данные + фото/скриншот при допустимости + расчёт + uncertainty + подпись reviewer + hash пакета</x:v>
      </x:c>
      <x:c r="N151" s="26" t="n">
        <x:v>1</x:v>
      </x:c>
      <x:c r="O151" s="26" t="str">
        <x:v>TBD_METHOD_SPECIFIC: range/resolution/bias/repeat spread/operator effects утверждаются до execution</x:v>
      </x:c>
      <x:c r="P151" s="26" t="str">
        <x:v>DESIGN_PLACEHOLDER_NOT_EXECUTABLE: item-specific hazard analysis, материалы, энергия, концентрация, СИЗ и отходы ещё не утверждены.</x:v>
      </x:c>
      <x:c r="Q151" s="26" t="str">
        <x:v>BLOCKED_BEFORE_START: до точного method/source review запрещено начинать; после review нужны наблюдаемые численные/событийные stop conditions.</x:v>
      </x:c>
      <x:c r="R151" s="26" t="str">
        <x:v>TBD_ITEM_SPECIFIC_AND_LOCAL: пока маршрут отходов не утверждён, физическое выполнение блокировано.</x:v>
      </x:c>
      <x:c r="S151" s="26" t="str">
        <x:v>S2_TRAINED_SUPERVISED</x:v>
      </x:c>
      <x:c r="T151" s="26" t="str">
        <x:v>Компетентный инструктор/ответственный специалист присутствует и может немедленно остановить работу.</x:v>
      </x:c>
      <x:c r="U151" s="26" t="n">
        <x:v>3</x:v>
      </x:c>
      <x:c r="V151" s="26" t="str">
        <x:v>ANY_SAFE_PERIOD</x:v>
      </x:c>
      <x:c r="W151" s="26" t="str">
        <x:v>records/science/SCI-MECH-05/YYYY-MM-DD/</x:v>
      </x:c>
      <x:c r="X151" s="26" t="str">
        <x:v>PSP-008|PSP-116</x:v>
      </x:c>
      <x:c r="Y151" s="26" t="str">
        <x:v>PROVISIONAL_TOPIC_CANDIDATES_NOT_METHOD_REVIEWED</x:v>
      </x:c>
      <x:c r="Z151" s="26" t="str">
        <x:v>BLOCKED_UNTIL_EXACT_METHOD_SOURCE_SAFETY_AND_LOCAL_REVIEW</x:v>
      </x:c>
      <x:c r="AA151" s="26" t="str">
        <x:v>DESIGN_ONLY_NOT_EXECUTED</x:v>
      </x:c>
      <x:c r="AB15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1" s="26" t="str">
        <x:v>0.4</x:v>
      </x:c>
    </x:row>
    <x:row r="152">
      <x:c r="A152" s="53" t="str">
        <x:v>PRJ-149</x:v>
      </x:c>
      <x:c r="B152" s="53" t="str">
        <x:v>SCI-MECH-06</x:v>
      </x:c>
      <x:c r="C152" s="53" t="str">
        <x:v>MECH</x:v>
      </x:c>
      <x:c r="D152" s="53" t="str">
        <x:v>Практическая проверка: Насосы, кавитация и рабочая точка</x:v>
      </x:c>
      <x:c r="E152" s="53" t="str">
        <x:v>SUPERVISED_DEMONSTRATION_ONLY</x:v>
      </x:c>
      <x:c r="F152" s="53" t="str">
        <x:v>Объяснить базовую модель, выполнить допустимую для класса риска проверку и документировать пределы по теме «Насосы, кавитация и рабочая точка».</x:v>
      </x:c>
      <x:c r="G152" s="53" t="str">
        <x:v>SCI-MECH-05|SCI-METH-13|право остановить опыт|инструкция оборудования</x:v>
      </x:c>
      <x:c r="H152" s="53" t="str">
        <x:v>TBD_NON_EXECUTABLE: точные item/model/material/range/PPE для размер/сила/состояние должны быть утверждены до начала</x:v>
      </x:c>
      <x:c r="I152" s="53" t="str">
        <x:v>До допуска: обучение и checklist. Затем только под компетентным надзором выполнить безопасную часть: измерение маломощного водяного насоса. Результат и отклонения подписывает supervisor.</x:v>
      </x:c>
      <x:c r="J152" s="53" t="str">
        <x:v>измерение маломощного водяного насоса</x:v>
      </x:c>
      <x:c r="K152" s="53" t="str">
        <x:v>SI или явно названный стандарт</x:v>
      </x:c>
      <x:c r="L152" s="53" t="str">
        <x:v>TBD_BEFORE_EXECUTION_FROM_EXACT_METHOD: диапазон/критерий фиксируется до результата; post-hoc подгонка запрещена.</x:v>
      </x:c>
      <x:c r="M152" s="53" t="str">
        <x:v>сырые данные + фото/скриншот при допустимости + расчёт + uncertainty + подпись reviewer + hash пакета</x:v>
      </x:c>
      <x:c r="N152" s="53" t="n">
        <x:v>1</x:v>
      </x:c>
      <x:c r="O152" s="53" t="str">
        <x:v>TBD_METHOD_SPECIFIC: range/resolution/bias/repeat spread/operator effects утверждаются до execution</x:v>
      </x:c>
      <x:c r="P152" s="53" t="str">
        <x:v>DESIGN_PLACEHOLDER_NOT_EXECUTABLE: item-specific hazard analysis, материалы, энергия, концентрация, СИЗ и отходы ещё не утверждены.</x:v>
      </x:c>
      <x:c r="Q152" s="53" t="str">
        <x:v>BLOCKED_BEFORE_START: до точного method/source review запрещено начинать; после review нужны наблюдаемые численные/событийные stop conditions.</x:v>
      </x:c>
      <x:c r="R152" s="53" t="str">
        <x:v>TBD_ITEM_SPECIFIC_AND_LOCAL: пока маршрут отходов не утверждён, физическое выполнение блокировано.</x:v>
      </x:c>
      <x:c r="S152" s="53" t="str">
        <x:v>S2_TRAINED_SUPERVISED</x:v>
      </x:c>
      <x:c r="T152" s="53" t="str">
        <x:v>Компетентный инструктор/ответственный специалист присутствует и может немедленно остановить работу.</x:v>
      </x:c>
      <x:c r="U152" s="53" t="n">
        <x:v>3</x:v>
      </x:c>
      <x:c r="V152" s="53" t="str">
        <x:v>ANY_SAFE_PERIOD</x:v>
      </x:c>
      <x:c r="W152" s="53" t="str">
        <x:v>records/science/SCI-MECH-06/YYYY-MM-DD/</x:v>
      </x:c>
      <x:c r="X152" s="53" t="str">
        <x:v>PSP-008|PSP-116</x:v>
      </x:c>
      <x:c r="Y152" s="53" t="str">
        <x:v>PROVISIONAL_TOPIC_CANDIDATES_NOT_METHOD_REVIEWED</x:v>
      </x:c>
      <x:c r="Z152" s="53" t="str">
        <x:v>BLOCKED_UNTIL_EXACT_METHOD_SOURCE_SAFETY_AND_LOCAL_REVIEW</x:v>
      </x:c>
      <x:c r="AA152" s="53" t="str">
        <x:v>DESIGN_ONLY_NOT_EXECUTED</x:v>
      </x:c>
      <x:c r="AB15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2" s="53" t="str">
        <x:v>0.4</x:v>
      </x:c>
    </x:row>
    <x:row r="153">
      <x:c r="A153" s="26" t="str">
        <x:v>PRJ-150</x:v>
      </x:c>
      <x:c r="B153" s="26" t="str">
        <x:v>SCI-MECH-07</x:v>
      </x:c>
      <x:c r="C153" s="26" t="str">
        <x:v>MECH</x:v>
      </x:c>
      <x:c r="D153" s="26" t="str">
        <x:v>Практическая проверка: Клапаны, уплотнения и утечки</x:v>
      </x:c>
      <x:c r="E153" s="26" t="str">
        <x:v>SUPERVISED_DEMONSTRATION_ONLY</x:v>
      </x:c>
      <x:c r="F153" s="26" t="str">
        <x:v>Объяснить базовую модель, выполнить допустимую для класса риска проверку и документировать пределы по теме «Клапаны, уплотнения и утечки».</x:v>
      </x:c>
      <x:c r="G153" s="26" t="str">
        <x:v>SCI-MECH-06|SCI-METH-13|право остановить опыт|инструкция оборудования</x:v>
      </x:c>
      <x:c r="H153" s="26" t="str">
        <x:v>TBD_NON_EXECUTABLE: точные item/model/material/range/PPE для размер/сила/состояние должны быть утверждены до начала</x:v>
      </x:c>
      <x:c r="I153" s="26" t="str">
        <x:v>До допуска: обучение и checklist. Затем только под компетентным надзором выполнить безопасную часть: осмотр безопасной разгерметизированной водной системы. Результат и отклонения подписывает supervisor.</x:v>
      </x:c>
      <x:c r="J153" s="26" t="str">
        <x:v>осмотр безопасной разгерметизированной водной системы</x:v>
      </x:c>
      <x:c r="K153" s="26" t="str">
        <x:v>SI или явно названный стандарт</x:v>
      </x:c>
      <x:c r="L153" s="26" t="str">
        <x:v>TBD_BEFORE_EXECUTION_FROM_EXACT_METHOD: диапазон/критерий фиксируется до результата; post-hoc подгонка запрещена.</x:v>
      </x:c>
      <x:c r="M153" s="26" t="str">
        <x:v>сырые данные + фото/скриншот при допустимости + расчёт + uncertainty + подпись reviewer + hash пакета</x:v>
      </x:c>
      <x:c r="N153" s="26" t="n">
        <x:v>1</x:v>
      </x:c>
      <x:c r="O153" s="26" t="str">
        <x:v>TBD_METHOD_SPECIFIC: range/resolution/bias/repeat spread/operator effects утверждаются до execution</x:v>
      </x:c>
      <x:c r="P153" s="26" t="str">
        <x:v>DESIGN_PLACEHOLDER_NOT_EXECUTABLE: item-specific hazard analysis, материалы, энергия, концентрация, СИЗ и отходы ещё не утверждены.</x:v>
      </x:c>
      <x:c r="Q153" s="26" t="str">
        <x:v>BLOCKED_BEFORE_START: до точного method/source review запрещено начинать; после review нужны наблюдаемые численные/событийные stop conditions.</x:v>
      </x:c>
      <x:c r="R153" s="26" t="str">
        <x:v>TBD_ITEM_SPECIFIC_AND_LOCAL: пока маршрут отходов не утверждён, физическое выполнение блокировано.</x:v>
      </x:c>
      <x:c r="S153" s="26" t="str">
        <x:v>S2_TRAINED_SUPERVISED</x:v>
      </x:c>
      <x:c r="T153" s="26" t="str">
        <x:v>Компетентный инструктор/ответственный специалист присутствует и может немедленно остановить работу.</x:v>
      </x:c>
      <x:c r="U153" s="26" t="n">
        <x:v>3</x:v>
      </x:c>
      <x:c r="V153" s="26" t="str">
        <x:v>ANY_SAFE_PERIOD</x:v>
      </x:c>
      <x:c r="W153" s="26" t="str">
        <x:v>records/science/SCI-MECH-07/YYYY-MM-DD/</x:v>
      </x:c>
      <x:c r="X153" s="26" t="str">
        <x:v>PSP-008|PSP-116</x:v>
      </x:c>
      <x:c r="Y153" s="26" t="str">
        <x:v>PROVISIONAL_TOPIC_CANDIDATES_NOT_METHOD_REVIEWED</x:v>
      </x:c>
      <x:c r="Z153" s="26" t="str">
        <x:v>BLOCKED_UNTIL_EXACT_METHOD_SOURCE_SAFETY_AND_LOCAL_REVIEW</x:v>
      </x:c>
      <x:c r="AA153" s="26" t="str">
        <x:v>DESIGN_ONLY_NOT_EXECUTED</x:v>
      </x:c>
      <x:c r="AB15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3" s="26" t="str">
        <x:v>0.4</x:v>
      </x:c>
    </x:row>
    <x:row r="154">
      <x:c r="A154" s="53" t="str">
        <x:v>PRJ-151</x:v>
      </x:c>
      <x:c r="B154" s="53" t="str">
        <x:v>SCI-MECH-08</x:v>
      </x:c>
      <x:c r="C154" s="53" t="str">
        <x:v>MECH</x:v>
      </x:c>
      <x:c r="D154" s="53" t="str">
        <x:v>Практическая проверка: Подшипники, смазка и загрязнение</x:v>
      </x:c>
      <x:c r="E154" s="53" t="str">
        <x:v>SUPERVISED_DEMONSTRATION_ONLY</x:v>
      </x:c>
      <x:c r="F154" s="53" t="str">
        <x:v>Объяснить базовую модель, выполнить допустимую для класса риска проверку и документировать пределы по теме «Подшипники, смазка и загрязнение».</x:v>
      </x:c>
      <x:c r="G154" s="53" t="str">
        <x:v>SCI-MECH-07|SCI-METH-13|право остановить опыт|инструкция оборудования</x:v>
      </x:c>
      <x:c r="H154" s="53" t="str">
        <x:v>TBD_NON_EXECUTABLE: точные item/model/material/range/PPE для размер/сила/состояние должны быть утверждены до начала</x:v>
      </x:c>
      <x:c r="I154" s="53" t="str">
        <x:v>До допуска: обучение и checklist. Затем только под компетентным надзором выполнить безопасную часть: журнал состояния отключённого узла. Результат и отклонения подписывает supervisor.</x:v>
      </x:c>
      <x:c r="J154" s="53" t="str">
        <x:v>журнал состояния отключённого узла</x:v>
      </x:c>
      <x:c r="K154" s="53" t="str">
        <x:v>SI или явно названный стандарт</x:v>
      </x:c>
      <x:c r="L154" s="53" t="str">
        <x:v>TBD_BEFORE_EXECUTION_FROM_EXACT_METHOD: диапазон/критерий фиксируется до результата; post-hoc подгонка запрещена.</x:v>
      </x:c>
      <x:c r="M154" s="53" t="str">
        <x:v>сырые данные + фото/скриншот при допустимости + расчёт + uncertainty + подпись reviewer + hash пакета</x:v>
      </x:c>
      <x:c r="N154" s="53" t="n">
        <x:v>1</x:v>
      </x:c>
      <x:c r="O154" s="53" t="str">
        <x:v>TBD_METHOD_SPECIFIC: range/resolution/bias/repeat spread/operator effects утверждаются до execution</x:v>
      </x:c>
      <x:c r="P154" s="53" t="str">
        <x:v>DESIGN_PLACEHOLDER_NOT_EXECUTABLE: item-specific hazard analysis, материалы, энергия, концентрация, СИЗ и отходы ещё не утверждены.</x:v>
      </x:c>
      <x:c r="Q154" s="53" t="str">
        <x:v>BLOCKED_BEFORE_START: до точного method/source review запрещено начинать; после review нужны наблюдаемые численные/событийные stop conditions.</x:v>
      </x:c>
      <x:c r="R154" s="53" t="str">
        <x:v>TBD_ITEM_SPECIFIC_AND_LOCAL: пока маршрут отходов не утверждён, физическое выполнение блокировано.</x:v>
      </x:c>
      <x:c r="S154" s="53" t="str">
        <x:v>S2_TRAINED_SUPERVISED</x:v>
      </x:c>
      <x:c r="T154" s="53" t="str">
        <x:v>Компетентный инструктор/ответственный специалист присутствует и может немедленно остановить работу.</x:v>
      </x:c>
      <x:c r="U154" s="53" t="n">
        <x:v>3</x:v>
      </x:c>
      <x:c r="V154" s="53" t="str">
        <x:v>ANY_SAFE_PERIOD</x:v>
      </x:c>
      <x:c r="W154" s="53" t="str">
        <x:v>records/science/SCI-MECH-08/YYYY-MM-DD/</x:v>
      </x:c>
      <x:c r="X154" s="53" t="str">
        <x:v>PSP-008|PSP-116</x:v>
      </x:c>
      <x:c r="Y154" s="53" t="str">
        <x:v>PROVISIONAL_TOPIC_CANDIDATES_NOT_METHOD_REVIEWED</x:v>
      </x:c>
      <x:c r="Z154" s="53" t="str">
        <x:v>BLOCKED_UNTIL_EXACT_METHOD_SOURCE_SAFETY_AND_LOCAL_REVIEW</x:v>
      </x:c>
      <x:c r="AA154" s="53" t="str">
        <x:v>DESIGN_ONLY_NOT_EXECUTED</x:v>
      </x:c>
      <x:c r="AB15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4" s="53" t="str">
        <x:v>0.4</x:v>
      </x:c>
    </x:row>
    <x:row r="155">
      <x:c r="A155" s="26" t="str">
        <x:v>PRJ-152</x:v>
      </x:c>
      <x:c r="B155" s="26" t="str">
        <x:v>SCI-MECH-09</x:v>
      </x:c>
      <x:c r="C155" s="26" t="str">
        <x:v>MECH</x:v>
      </x:c>
      <x:c r="D155" s="26" t="str">
        <x:v>Практическая проверка: Велосипед: осмотр, тормоза и привод</x:v>
      </x:c>
      <x:c r="E155" s="26" t="str">
        <x:v>SUPERVISED_DEMONSTRATION_ONLY</x:v>
      </x:c>
      <x:c r="F155" s="26" t="str">
        <x:v>Объяснить базовую модель, выполнить допустимую для класса риска проверку и документировать пределы по теме «Велосипед: осмотр, тормоза и привод».</x:v>
      </x:c>
      <x:c r="G155" s="26" t="str">
        <x:v>SCI-MECH-08|SCI-METH-13|право остановить опыт|инструкция оборудования</x:v>
      </x:c>
      <x:c r="H155" s="26" t="str">
        <x:v>TBD_NON_EXECUTABLE: точные item/model/material/range/PPE для размер/сила/состояние должны быть утверждены до начала</x:v>
      </x:c>
      <x:c r="I155" s="26" t="str">
        <x:v>До допуска: обучение и checklist. Затем только под компетентным надзором выполнить безопасную часть: контрольный чек после обучения; дорожный тест в безопасной зоне. Результат и отклонения подписывает supervisor.</x:v>
      </x:c>
      <x:c r="J155" s="26" t="str">
        <x:v>контрольный чек после обучения; дорожный тест в безопасной зоне</x:v>
      </x:c>
      <x:c r="K155" s="26" t="str">
        <x:v>SI или явно названный стандарт</x:v>
      </x:c>
      <x:c r="L155" s="26" t="str">
        <x:v>TBD_BEFORE_EXECUTION_FROM_EXACT_METHOD: диапазон/критерий фиксируется до результата; post-hoc подгонка запрещена.</x:v>
      </x:c>
      <x:c r="M155" s="26" t="str">
        <x:v>сырые данные + фото/скриншот при допустимости + расчёт + uncertainty + подпись reviewer + hash пакета</x:v>
      </x:c>
      <x:c r="N155" s="26" t="n">
        <x:v>1</x:v>
      </x:c>
      <x:c r="O155" s="26" t="str">
        <x:v>TBD_METHOD_SPECIFIC: range/resolution/bias/repeat spread/operator effects утверждаются до execution</x:v>
      </x:c>
      <x:c r="P155" s="26" t="str">
        <x:v>DESIGN_PLACEHOLDER_NOT_EXECUTABLE: item-specific hazard analysis, материалы, энергия, концентрация, СИЗ и отходы ещё не утверждены.</x:v>
      </x:c>
      <x:c r="Q155" s="26" t="str">
        <x:v>BLOCKED_BEFORE_START: до точного method/source review запрещено начинать; после review нужны наблюдаемые численные/событийные stop conditions.</x:v>
      </x:c>
      <x:c r="R155" s="26" t="str">
        <x:v>TBD_ITEM_SPECIFIC_AND_LOCAL: пока маршрут отходов не утверждён, физическое выполнение блокировано.</x:v>
      </x:c>
      <x:c r="S155" s="26" t="str">
        <x:v>S2_TRAINED_SUPERVISED</x:v>
      </x:c>
      <x:c r="T155" s="26" t="str">
        <x:v>Компетентный инструктор/ответственный специалист присутствует и может немедленно остановить работу.</x:v>
      </x:c>
      <x:c r="U155" s="26" t="n">
        <x:v>3</x:v>
      </x:c>
      <x:c r="V155" s="26" t="str">
        <x:v>ANY_SAFE_PERIOD</x:v>
      </x:c>
      <x:c r="W155" s="26" t="str">
        <x:v>records/science/SCI-MECH-09/YYYY-MM-DD/</x:v>
      </x:c>
      <x:c r="X155" s="26" t="str">
        <x:v>PSP-008|PSP-116</x:v>
      </x:c>
      <x:c r="Y155" s="26" t="str">
        <x:v>PROVISIONAL_TOPIC_CANDIDATES_NOT_METHOD_REVIEWED</x:v>
      </x:c>
      <x:c r="Z155" s="26" t="str">
        <x:v>BLOCKED_UNTIL_EXACT_METHOD_SOURCE_SAFETY_AND_LOCAL_REVIEW</x:v>
      </x:c>
      <x:c r="AA155" s="26" t="str">
        <x:v>DESIGN_ONLY_NOT_EXECUTED</x:v>
      </x:c>
      <x:c r="AB15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5" s="26" t="str">
        <x:v>0.4</x:v>
      </x:c>
    </x:row>
    <x:row r="156">
      <x:c r="A156" s="53" t="str">
        <x:v>PRJ-153</x:v>
      </x:c>
      <x:c r="B156" s="53" t="str">
        <x:v>SCI-MECH-10</x:v>
      </x:c>
      <x:c r="C156" s="53" t="str">
        <x:v>MECH</x:v>
      </x:c>
      <x:c r="D156" s="53" t="str">
        <x:v>Практическая проверка: Двигатели внутреннего сгорания и выхлоп</x:v>
      </x:c>
      <x:c r="E156" s="53" t="str">
        <x:v>DATASET_SIMULATION_OR_PRO_OBSERVATION_ONLY</x:v>
      </x:c>
      <x:c r="F156" s="53" t="str">
        <x:v>Объяснить базовую модель, выполнить допустимую для класса риска проверку и документировать пределы по теме «Двигатели внутреннего сгорания и выхлоп».</x:v>
      </x:c>
      <x:c r="G156" s="53" t="str">
        <x:v>SCI-MECH-09|SCI-METH-13|право остановить опыт|инструкция оборудования</x:v>
      </x:c>
      <x:c r="H156" s="53" t="str">
        <x:v>TBD_NON_EXECUTABLE: точные item/model/material/range/PPE для размер/сила/состояние должны быть утверждены до начала</x:v>
      </x:c>
      <x:c r="I156" s="53" t="str">
        <x:v>Не выполнять реальную работу. Разобрать утверждённый отчёт, схему, симуляцию или обезличенный набор данных по теме: только устройство и сервисная документация; работа в помещении запрещена. Зафиксировать, когда нужен лицензированный специалист.</x:v>
      </x:c>
      <x:c r="J156" s="53" t="str">
        <x:v>только устройство и сервисная документация; работа в помещении запрещена</x:v>
      </x:c>
      <x:c r="K156" s="53" t="str">
        <x:v>SI или явно названный стандарт</x:v>
      </x:c>
      <x:c r="L156" s="53" t="str">
        <x:v>TBD_BEFORE_EXECUTION_FROM_EXACT_METHOD: диапазон/критерий фиксируется до результата; post-hoc подгонка запрещена.</x:v>
      </x:c>
      <x:c r="M156" s="53" t="str">
        <x:v>сырые данные + фото/скриншот при допустимости + расчёт + uncertainty + подпись reviewer + hash пакета</x:v>
      </x:c>
      <x:c r="N156" s="53" t="n">
        <x:v>1</x:v>
      </x:c>
      <x:c r="O156" s="53" t="str">
        <x:v>TBD_METHOD_SPECIFIC: range/resolution/bias/repeat spread/operator effects утверждаются до execution</x:v>
      </x:c>
      <x:c r="P156" s="53" t="str">
        <x:v>Самовольная работа может привести к пожару, поражению током, обрушению, утечке, травме или нарушению закона.</x:v>
      </x:c>
      <x:c r="Q156" s="53" t="str">
        <x:v>STOP до любого физического вмешательства; только лицензированный специалист с действующим scope и площадкой.</x:v>
      </x:c>
      <x:c r="R156" s="53" t="str">
        <x:v>TBD_ITEM_SPECIFIC_AND_LOCAL: пока маршрут отходов не утверждён, физическое выполнение блокировано.</x:v>
      </x:c>
      <x:c r="S156" s="53" t="str">
        <x:v>S3_LICENSED_PROFESSIONAL</x:v>
      </x:c>
      <x:c r="T156" s="53" t="str">
        <x:v>Лицензированный специалист для любой реальной работы; учебный анализ может быть самостоятельным.</x:v>
      </x:c>
      <x:c r="U156" s="53" t="n">
        <x:v>2</x:v>
      </x:c>
      <x:c r="V156" s="53" t="str">
        <x:v>ANY_SAFE_PERIOD</x:v>
      </x:c>
      <x:c r="W156" s="53" t="str">
        <x:v>records/science/SCI-MECH-10/YYYY-MM-DD/</x:v>
      </x:c>
      <x:c r="X156" s="53" t="str">
        <x:v>PSP-116|PSP-118</x:v>
      </x:c>
      <x:c r="Y156" s="53" t="str">
        <x:v>PROVISIONAL_TOPIC_CANDIDATES_NOT_METHOD_REVIEWED</x:v>
      </x:c>
      <x:c r="Z156" s="53" t="str">
        <x:v>BLOCKED_UNTIL_EXACT_METHOD_SOURCE_SAFETY_AND_LOCAL_REVIEW</x:v>
      </x:c>
      <x:c r="AA156" s="53" t="str">
        <x:v>DESIGN_ONLY_NOT_EXECUTED</x:v>
      </x:c>
      <x:c r="AB15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6" s="53" t="str">
        <x:v>0.4</x:v>
      </x:c>
    </x:row>
    <x:row r="157">
      <x:c r="A157" s="26" t="str">
        <x:v>PRJ-154</x:v>
      </x:c>
      <x:c r="B157" s="26" t="str">
        <x:v>SCI-MECH-11</x:v>
      </x:c>
      <x:c r="C157" s="26" t="str">
        <x:v>MECH</x:v>
      </x:c>
      <x:c r="D157" s="26" t="str">
        <x:v>Практическая проверка: Холодильный контур и тепловой насос</x:v>
      </x:c>
      <x:c r="E157" s="26" t="str">
        <x:v>DATASET_SIMULATION_OR_PRO_OBSERVATION_ONLY</x:v>
      </x:c>
      <x:c r="F157" s="26" t="str">
        <x:v>Объяснить базовую модель, выполнить допустимую для класса риска проверку и документировать пределы по теме «Холодильный контур и тепловой насос».</x:v>
      </x:c>
      <x:c r="G157" s="26" t="str">
        <x:v>SCI-MECH-10|SCI-METH-13|право остановить опыт|инструкция оборудования</x:v>
      </x:c>
      <x:c r="H157" s="26" t="str">
        <x:v>TBD_NON_EXECUTABLE: точные item/model/material/range/PPE для размер/сила/состояние должны быть утверждены до начала</x:v>
      </x:c>
      <x:c r="I157" s="26" t="str">
        <x:v>Не выполнять реальную работу. Разобрать утверждённый отчёт, схему, симуляцию или обезличенный набор данных по теме: наблюдение температур; хладагент/давление — специалист. Зафиксировать, когда нужен лицензированный специалист.</x:v>
      </x:c>
      <x:c r="J157" s="26" t="str">
        <x:v>наблюдение температур; хладагент/давление — специалист</x:v>
      </x:c>
      <x:c r="K157" s="26" t="str">
        <x:v>SI или явно названный стандарт</x:v>
      </x:c>
      <x:c r="L157" s="26" t="str">
        <x:v>TBD_BEFORE_EXECUTION_FROM_EXACT_METHOD: диапазон/критерий фиксируется до результата; post-hoc подгонка запрещена.</x:v>
      </x:c>
      <x:c r="M157" s="26" t="str">
        <x:v>сырые данные + фото/скриншот при допустимости + расчёт + uncertainty + подпись reviewer + hash пакета</x:v>
      </x:c>
      <x:c r="N157" s="26" t="n">
        <x:v>1</x:v>
      </x:c>
      <x:c r="O157" s="26" t="str">
        <x:v>TBD_METHOD_SPECIFIC: range/resolution/bias/repeat spread/operator effects утверждаются до execution</x:v>
      </x:c>
      <x:c r="P157" s="26" t="str">
        <x:v>Самовольная работа может привести к пожару, поражению током, обрушению, утечке, травме или нарушению закона.</x:v>
      </x:c>
      <x:c r="Q157" s="26" t="str">
        <x:v>STOP до любого физического вмешательства; только лицензированный специалист с действующим scope и площадкой.</x:v>
      </x:c>
      <x:c r="R157" s="26" t="str">
        <x:v>TBD_ITEM_SPECIFIC_AND_LOCAL: пока маршрут отходов не утверждён, физическое выполнение блокировано.</x:v>
      </x:c>
      <x:c r="S157" s="26" t="str">
        <x:v>S3_LICENSED_PROFESSIONAL</x:v>
      </x:c>
      <x:c r="T157" s="26" t="str">
        <x:v>Лицензированный специалист для любой реальной работы; учебный анализ может быть самостоятельным.</x:v>
      </x:c>
      <x:c r="U157" s="26" t="n">
        <x:v>2</x:v>
      </x:c>
      <x:c r="V157" s="26" t="str">
        <x:v>ANY_SAFE_PERIOD</x:v>
      </x:c>
      <x:c r="W157" s="26" t="str">
        <x:v>records/science/SCI-MECH-11/YYYY-MM-DD/</x:v>
      </x:c>
      <x:c r="X157" s="26" t="str">
        <x:v>PSP-116|PSP-118</x:v>
      </x:c>
      <x:c r="Y157" s="26" t="str">
        <x:v>PROVISIONAL_TOPIC_CANDIDATES_NOT_METHOD_REVIEWED</x:v>
      </x:c>
      <x:c r="Z157" s="26" t="str">
        <x:v>BLOCKED_UNTIL_EXACT_METHOD_SOURCE_SAFETY_AND_LOCAL_REVIEW</x:v>
      </x:c>
      <x:c r="AA157" s="26" t="str">
        <x:v>DESIGN_ONLY_NOT_EXECUTED</x:v>
      </x:c>
      <x:c r="AB15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7" s="26" t="str">
        <x:v>0.4</x:v>
      </x:c>
    </x:row>
    <x:row r="158">
      <x:c r="A158" s="53" t="str">
        <x:v>PRJ-155</x:v>
      </x:c>
      <x:c r="B158" s="53" t="str">
        <x:v>SCI-MECH-12</x:v>
      </x:c>
      <x:c r="C158" s="53" t="str">
        <x:v>MECH</x:v>
      </x:c>
      <x:c r="D158" s="53" t="str">
        <x:v>Практическая проверка: Дерево, разметка, соединения и ремонт</x:v>
      </x:c>
      <x:c r="E158" s="53" t="str">
        <x:v>SUPERVISED_DEMONSTRATION_ONLY</x:v>
      </x:c>
      <x:c r="F158" s="53" t="str">
        <x:v>Объяснить базовую модель, выполнить допустимую для класса риска проверку и документировать пределы по теме «Дерево, разметка, соединения и ремонт».</x:v>
      </x:c>
      <x:c r="G158" s="53" t="str">
        <x:v>SCI-MECH-11|SCI-METH-13|право остановить опыт|инструкция оборудования</x:v>
      </x:c>
      <x:c r="H158" s="53" t="str">
        <x:v>TBD_NON_EXECUTABLE: точные item/model/material/range/PPE для размер/сила/состояние должны быть утверждены до начала</x:v>
      </x:c>
      <x:c r="I158" s="53" t="str">
        <x:v>До допуска: обучение и checklist. Затем только под компетентным надзором выполнить безопасную часть: малый проект ручным инструментом после инструктажа. Результат и отклонения подписывает supervisor.</x:v>
      </x:c>
      <x:c r="J158" s="53" t="str">
        <x:v>малый проект ручным инструментом после инструктажа</x:v>
      </x:c>
      <x:c r="K158" s="53" t="str">
        <x:v>SI или явно названный стандарт</x:v>
      </x:c>
      <x:c r="L158" s="53" t="str">
        <x:v>TBD_BEFORE_EXECUTION_FROM_EXACT_METHOD: диапазон/критерий фиксируется до результата; post-hoc подгонка запрещена.</x:v>
      </x:c>
      <x:c r="M158" s="53" t="str">
        <x:v>сырые данные + фото/скриншот при допустимости + расчёт + uncertainty + подпись reviewer + hash пакета</x:v>
      </x:c>
      <x:c r="N158" s="53" t="n">
        <x:v>1</x:v>
      </x:c>
      <x:c r="O158" s="53" t="str">
        <x:v>TBD_METHOD_SPECIFIC: range/resolution/bias/repeat spread/operator effects утверждаются до execution</x:v>
      </x:c>
      <x:c r="P158" s="53" t="str">
        <x:v>DESIGN_PLACEHOLDER_NOT_EXECUTABLE: item-specific hazard analysis, материалы, энергия, концентрация, СИЗ и отходы ещё не утверждены.</x:v>
      </x:c>
      <x:c r="Q158" s="53" t="str">
        <x:v>BLOCKED_BEFORE_START: до точного method/source review запрещено начинать; после review нужны наблюдаемые численные/событийные stop conditions.</x:v>
      </x:c>
      <x:c r="R158" s="53" t="str">
        <x:v>TBD_ITEM_SPECIFIC_AND_LOCAL: пока маршрут отходов не утверждён, физическое выполнение блокировано.</x:v>
      </x:c>
      <x:c r="S158" s="53" t="str">
        <x:v>S2_TRAINED_SUPERVISED</x:v>
      </x:c>
      <x:c r="T158" s="53" t="str">
        <x:v>Компетентный инструктор/ответственный специалист присутствует и может немедленно остановить работу.</x:v>
      </x:c>
      <x:c r="U158" s="53" t="n">
        <x:v>3</x:v>
      </x:c>
      <x:c r="V158" s="53" t="str">
        <x:v>ANY_SAFE_PERIOD</x:v>
      </x:c>
      <x:c r="W158" s="53" t="str">
        <x:v>records/science/SCI-MECH-12/YYYY-MM-DD/</x:v>
      </x:c>
      <x:c r="X158" s="53" t="str">
        <x:v>PSP-008|PSP-116</x:v>
      </x:c>
      <x:c r="Y158" s="53" t="str">
        <x:v>PROVISIONAL_TOPIC_CANDIDATES_NOT_METHOD_REVIEWED</x:v>
      </x:c>
      <x:c r="Z158" s="53" t="str">
        <x:v>BLOCKED_UNTIL_EXACT_METHOD_SOURCE_SAFETY_AND_LOCAL_REVIEW</x:v>
      </x:c>
      <x:c r="AA158" s="53" t="str">
        <x:v>DESIGN_ONLY_NOT_EXECUTED</x:v>
      </x:c>
      <x:c r="AB15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8" s="53" t="str">
        <x:v>0.4</x:v>
      </x:c>
    </x:row>
    <x:row r="159">
      <x:c r="A159" s="26" t="str">
        <x:v>PRJ-156</x:v>
      </x:c>
      <x:c r="B159" s="26" t="str">
        <x:v>SCI-MECH-13</x:v>
      </x:c>
      <x:c r="C159" s="26" t="str">
        <x:v>MECH</x:v>
      </x:c>
      <x:c r="D159" s="26" t="str">
        <x:v>Практическая проверка: Металлообработка и снятие материала</x:v>
      </x:c>
      <x:c r="E159" s="26" t="str">
        <x:v>SUPERVISED_DEMONSTRATION_ONLY</x:v>
      </x:c>
      <x:c r="F159" s="26" t="str">
        <x:v>Объяснить базовую модель, выполнить допустимую для класса риска проверку и документировать пределы по теме «Металлообработка и снятие материала».</x:v>
      </x:c>
      <x:c r="G159" s="26" t="str">
        <x:v>SCI-MECH-12|SCI-METH-13|право остановить опыт|инструкция оборудования</x:v>
      </x:c>
      <x:c r="H159" s="26" t="str">
        <x:v>TBD_NON_EXECUTABLE: точные item/model/material/range/PPE для размер/сила/состояние должны быть утверждены до начала</x:v>
      </x:c>
      <x:c r="I159" s="26" t="str">
        <x:v>До допуска: обучение и checklist. Затем только под компетентным надзором выполнить безопасную часть: только после обучения, ограждений и СИЗ. Результат и отклонения подписывает supervisor.</x:v>
      </x:c>
      <x:c r="J159" s="26" t="str">
        <x:v>только после обучения, ограждений и СИЗ</x:v>
      </x:c>
      <x:c r="K159" s="26" t="str">
        <x:v>SI или явно названный стандарт</x:v>
      </x:c>
      <x:c r="L159" s="26" t="str">
        <x:v>TBD_BEFORE_EXECUTION_FROM_EXACT_METHOD: диапазон/критерий фиксируется до результата; post-hoc подгонка запрещена.</x:v>
      </x:c>
      <x:c r="M159" s="26" t="str">
        <x:v>сырые данные + фото/скриншот при допустимости + расчёт + uncertainty + подпись reviewer + hash пакета</x:v>
      </x:c>
      <x:c r="N159" s="26" t="n">
        <x:v>1</x:v>
      </x:c>
      <x:c r="O159" s="26" t="str">
        <x:v>TBD_METHOD_SPECIFIC: range/resolution/bias/repeat spread/operator effects утверждаются до execution</x:v>
      </x:c>
      <x:c r="P159" s="26" t="str">
        <x:v>DESIGN_PLACEHOLDER_NOT_EXECUTABLE: item-specific hazard analysis, материалы, энергия, концентрация, СИЗ и отходы ещё не утверждены.</x:v>
      </x:c>
      <x:c r="Q159" s="26" t="str">
        <x:v>BLOCKED_BEFORE_START: до точного method/source review запрещено начинать; после review нужны наблюдаемые численные/событийные stop conditions.</x:v>
      </x:c>
      <x:c r="R159" s="26" t="str">
        <x:v>TBD_ITEM_SPECIFIC_AND_LOCAL: пока маршрут отходов не утверждён, физическое выполнение блокировано.</x:v>
      </x:c>
      <x:c r="S159" s="26" t="str">
        <x:v>S2_TRAINED_SUPERVISED</x:v>
      </x:c>
      <x:c r="T159" s="26" t="str">
        <x:v>Компетентный инструктор/ответственный специалист присутствует и может немедленно остановить работу.</x:v>
      </x:c>
      <x:c r="U159" s="26" t="n">
        <x:v>3</x:v>
      </x:c>
      <x:c r="V159" s="26" t="str">
        <x:v>ANY_SAFE_PERIOD</x:v>
      </x:c>
      <x:c r="W159" s="26" t="str">
        <x:v>records/science/SCI-MECH-13/YYYY-MM-DD/</x:v>
      </x:c>
      <x:c r="X159" s="26" t="str">
        <x:v>PSP-008|PSP-116</x:v>
      </x:c>
      <x:c r="Y159" s="26" t="str">
        <x:v>PROVISIONAL_TOPIC_CANDIDATES_NOT_METHOD_REVIEWED</x:v>
      </x:c>
      <x:c r="Z159" s="26" t="str">
        <x:v>BLOCKED_UNTIL_EXACT_METHOD_SOURCE_SAFETY_AND_LOCAL_REVIEW</x:v>
      </x:c>
      <x:c r="AA159" s="26" t="str">
        <x:v>DESIGN_ONLY_NOT_EXECUTED</x:v>
      </x:c>
      <x:c r="AB15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59" s="26" t="str">
        <x:v>0.4</x:v>
      </x:c>
    </x:row>
    <x:row r="160">
      <x:c r="A160" s="53" t="str">
        <x:v>PRJ-157</x:v>
      </x:c>
      <x:c r="B160" s="53" t="str">
        <x:v>SCI-MECH-14</x:v>
      </x:c>
      <x:c r="C160" s="53" t="str">
        <x:v>MECH</x:v>
      </x:c>
      <x:c r="D160" s="53" t="str">
        <x:v>Практическая проверка: Сварка, пайка твёрдым припоем и горячие работы</x:v>
      </x:c>
      <x:c r="E160" s="53" t="str">
        <x:v>DATASET_SIMULATION_OR_PRO_OBSERVATION_ONLY</x:v>
      </x:c>
      <x:c r="F160" s="53" t="str">
        <x:v>Объяснить базовую модель, выполнить допустимую для класса риска проверку и документировать пределы по теме «Сварка, пайка твёрдым припоем и горячие работы».</x:v>
      </x:c>
      <x:c r="G160" s="53" t="str">
        <x:v>SCI-MECH-13|SCI-METH-13|право остановить опыт|инструкция оборудования</x:v>
      </x:c>
      <x:c r="H160" s="53" t="str">
        <x:v>TBD_NON_EXECUTABLE: точные item/model/material/range/PPE для размер/сила/состояние должны быть утверждены до начала</x:v>
      </x:c>
      <x:c r="I160" s="53" t="str">
        <x:v>Не выполнять реальную работу. Разобрать утверждённый отчёт, схему, симуляцию или обезличенный набор данных по теме: только квалифицированная площадка и разрешение. Зафиксировать, когда нужен лицензированный специалист.</x:v>
      </x:c>
      <x:c r="J160" s="53" t="str">
        <x:v>только квалифицированная площадка и разрешение</x:v>
      </x:c>
      <x:c r="K160" s="53" t="str">
        <x:v>SI или явно названный стандарт</x:v>
      </x:c>
      <x:c r="L160" s="53" t="str">
        <x:v>TBD_BEFORE_EXECUTION_FROM_EXACT_METHOD: диапазон/критерий фиксируется до результата; post-hoc подгонка запрещена.</x:v>
      </x:c>
      <x:c r="M160" s="53" t="str">
        <x:v>сырые данные + фото/скриншот при допустимости + расчёт + uncertainty + подпись reviewer + hash пакета</x:v>
      </x:c>
      <x:c r="N160" s="53" t="n">
        <x:v>1</x:v>
      </x:c>
      <x:c r="O160" s="53" t="str">
        <x:v>TBD_METHOD_SPECIFIC: range/resolution/bias/repeat spread/operator effects утверждаются до execution</x:v>
      </x:c>
      <x:c r="P160" s="53" t="str">
        <x:v>Самовольная работа может привести к пожару, поражению током, обрушению, утечке, травме или нарушению закона.</x:v>
      </x:c>
      <x:c r="Q160" s="53" t="str">
        <x:v>STOP до любого физического вмешательства; только лицензированный специалист с действующим scope и площадкой.</x:v>
      </x:c>
      <x:c r="R160" s="53" t="str">
        <x:v>TBD_ITEM_SPECIFIC_AND_LOCAL: пока маршрут отходов не утверждён, физическое выполнение блокировано.</x:v>
      </x:c>
      <x:c r="S160" s="53" t="str">
        <x:v>S3_LICENSED_PROFESSIONAL</x:v>
      </x:c>
      <x:c r="T160" s="53" t="str">
        <x:v>Лицензированный специалист для любой реальной работы; учебный анализ может быть самостоятельным.</x:v>
      </x:c>
      <x:c r="U160" s="53" t="n">
        <x:v>2</x:v>
      </x:c>
      <x:c r="V160" s="53" t="str">
        <x:v>ANY_SAFE_PERIOD</x:v>
      </x:c>
      <x:c r="W160" s="53" t="str">
        <x:v>records/science/SCI-MECH-14/YYYY-MM-DD/</x:v>
      </x:c>
      <x:c r="X160" s="53" t="str">
        <x:v>PSP-116|PSP-118</x:v>
      </x:c>
      <x:c r="Y160" s="53" t="str">
        <x:v>PROVISIONAL_TOPIC_CANDIDATES_NOT_METHOD_REVIEWED</x:v>
      </x:c>
      <x:c r="Z160" s="53" t="str">
        <x:v>BLOCKED_UNTIL_EXACT_METHOD_SOURCE_SAFETY_AND_LOCAL_REVIEW</x:v>
      </x:c>
      <x:c r="AA160" s="53" t="str">
        <x:v>DESIGN_ONLY_NOT_EXECUTED</x:v>
      </x:c>
      <x:c r="AB16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0" s="53" t="str">
        <x:v>0.4</x:v>
      </x:c>
    </x:row>
    <x:row r="161">
      <x:c r="A161" s="26" t="str">
        <x:v>PRJ-158</x:v>
      </x:c>
      <x:c r="B161" s="26" t="str">
        <x:v>SCI-MECH-15</x:v>
      </x:c>
      <x:c r="C161" s="26" t="str">
        <x:v>MECH</x:v>
      </x:c>
      <x:c r="D161" s="26" t="str">
        <x:v>Практическая проверка: Текстиль, шитьё, выкройка и ремонт</x:v>
      </x:c>
      <x:c r="E161" s="26" t="str">
        <x:v>LOW_RISK_BENCH_OR_FIELD</x:v>
      </x:c>
      <x:c r="F161" s="26" t="str">
        <x:v>Объяснить базовую модель, выполнить допустимую для класса риска проверку и документировать пределы по теме «Текстиль, шитьё, выкройка и ремонт».</x:v>
      </x:c>
      <x:c r="G161" s="26" t="str">
        <x:v>SCI-MECH-14|SCI-METH-13|право остановить опыт|инструкция оборудования</x:v>
      </x:c>
      <x:c r="H161" s="26" t="str">
        <x:v>TBD_NON_EXECUTABLE: точные item/model/material/range/PPE для размер/сила/состояние должны быть утверждены до начала</x:v>
      </x:c>
      <x:c r="I161" s="26" t="str">
        <x:v>Сформулировать вопрос; записать метод и единицы; выполнить образец шва и проверка прочности без нагрузки на безопасность; сохранить сырые данные; повторить; оценить неопределённость; сделать ограниченный вывод.</x:v>
      </x:c>
      <x:c r="J161" s="26" t="str">
        <x:v>образец шва и проверка прочности без нагрузки на безопасность</x:v>
      </x:c>
      <x:c r="K161" s="26" t="str">
        <x:v>SI или явно названный стандарт</x:v>
      </x:c>
      <x:c r="L161" s="26" t="str">
        <x:v>TBD_BEFORE_EXECUTION_FROM_EXACT_METHOD: диапазон/критерий фиксируется до результата; post-hoc подгонка запрещена.</x:v>
      </x:c>
      <x:c r="M161" s="26" t="str">
        <x:v>сырые данные + фото/скриншот при допустимости + расчёт + uncertainty + подпись reviewer + hash пакета</x:v>
      </x:c>
      <x:c r="N161" s="26" t="n">
        <x:v>3</x:v>
      </x:c>
      <x:c r="O161" s="26" t="str">
        <x:v>TBD_METHOD_SPECIFIC: range/resolution/bias/repeat spread/operator effects утверждаются до execution</x:v>
      </x:c>
      <x:c r="P161" s="26" t="str">
        <x:v>DESIGN_PLACEHOLDER_NOT_EXECUTABLE: item-specific hazard analysis, материалы, энергия, концентрация, СИЗ и отходы ещё не утверждены.</x:v>
      </x:c>
      <x:c r="Q161" s="26" t="str">
        <x:v>BLOCKED_BEFORE_START: до точного method/source review запрещено начинать; после review нужны наблюдаемые численные/событийные stop conditions.</x:v>
      </x:c>
      <x:c r="R161" s="26" t="str">
        <x:v>TBD_ITEM_SPECIFIC_AND_LOCAL: пока маршрут отходов не утверждён, физическое выполнение блокировано.</x:v>
      </x:c>
      <x:c r="S161" s="26" t="str">
        <x:v>S1_LOW_RISK_HOUSEHOLD</x:v>
      </x:c>
      <x:c r="T161" s="26" t="str">
        <x:v>S1 допускается только после замены всех DESIGN/TBD полей точным low-risk методом и независимой safety-проверки.</x:v>
      </x:c>
      <x:c r="U161" s="26" t="n">
        <x:v>3</x:v>
      </x:c>
      <x:c r="V161" s="26" t="str">
        <x:v>ANY_SAFE_PERIOD</x:v>
      </x:c>
      <x:c r="W161" s="26" t="str">
        <x:v>records/science/SCI-MECH-15/YYYY-MM-DD/</x:v>
      </x:c>
      <x:c r="X161" s="26" t="str">
        <x:v>PSP-008|PSP-116</x:v>
      </x:c>
      <x:c r="Y161" s="26" t="str">
        <x:v>PROVISIONAL_TOPIC_CANDIDATES_NOT_METHOD_REVIEWED</x:v>
      </x:c>
      <x:c r="Z161" s="26" t="str">
        <x:v>BLOCKED_UNTIL_EXACT_METHOD_SOURCE_SAFETY_AND_LOCAL_REVIEW</x:v>
      </x:c>
      <x:c r="AA161" s="26" t="str">
        <x:v>DESIGN_ONLY_NOT_EXECUTED</x:v>
      </x:c>
      <x:c r="AB16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1" s="26" t="str">
        <x:v>0.4</x:v>
      </x:c>
    </x:row>
    <x:row r="162">
      <x:c r="A162" s="53" t="str">
        <x:v>PRJ-159</x:v>
      </x:c>
      <x:c r="B162" s="53" t="str">
        <x:v>SCI-MECH-16</x:v>
      </x:c>
      <x:c r="C162" s="53" t="str">
        <x:v>MECH</x:v>
      </x:c>
      <x:c r="D162" s="53" t="str">
        <x:v>Практическая проверка: Надёжность, отказ, запасные части и preventive maintenance</x:v>
      </x:c>
      <x:c r="E162" s="53" t="str">
        <x:v>OBSERVATION_DATA_OR_CALCULATION</x:v>
      </x:c>
      <x:c r="F162" s="53" t="str">
        <x:v>Объяснить базовую модель, выполнить допустимую для класса риска проверку и документировать пределы по теме «Надёжность, отказ, запасные части и preventive maintenance».</x:v>
      </x:c>
      <x:c r="G162" s="53" t="str">
        <x:v>SCI-MECH-15|SCI-METH-13|право остановить опыт|инструкция оборудования</x:v>
      </x:c>
      <x:c r="H162" s="53" t="str">
        <x:v>TBD_NON_EXECUTABLE: точные item/model/material/range/PPE для размер/сила/состояние должны быть утверждены до начала</x:v>
      </x:c>
      <x:c r="I162" s="53" t="str">
        <x:v>Сформулировать вопрос; записать метод и единицы; выполнить FMEA и план обслуживания одного актива; сохранить сырые данные; повторить; оценить неопределённость; сделать ограниченный вывод.</x:v>
      </x:c>
      <x:c r="J162" s="53" t="str">
        <x:v>FMEA и план обслуживания одного актива</x:v>
      </x:c>
      <x:c r="K162" s="53" t="str">
        <x:v>SI или явно названный стандарт</x:v>
      </x:c>
      <x:c r="L162" s="53" t="str">
        <x:v>TBD_BEFORE_EXECUTION_FROM_EXACT_METHOD: диапазон/критерий фиксируется до результата; post-hoc подгонка запрещена.</x:v>
      </x:c>
      <x:c r="M162" s="53" t="str">
        <x:v>сырые данные + фото/скриншот при допустимости + расчёт + uncertainty + подпись reviewer + hash пакета</x:v>
      </x:c>
      <x:c r="N162" s="53" t="n">
        <x:v>2</x:v>
      </x:c>
      <x:c r="O162" s="53" t="str">
        <x:v>TBD_METHOD_SPECIFIC: range/resolution/bias/repeat spread/operator effects утверждаются до execution</x:v>
      </x:c>
      <x:c r="P16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62" s="53" t="str">
        <x:v>STOP при неясных правах, происхождении данных, этическом конфликте или невозможности сохранить исходные данные.</x:v>
      </x:c>
      <x:c r="R162" s="53" t="str">
        <x:v>TBD_ITEM_SPECIFIC_AND_LOCAL: пока маршрут отходов не утверждён, физическое выполнение блокировано.</x:v>
      </x:c>
      <x:c r="S162" s="53" t="str">
        <x:v>S0_OBSERVE_READ</x:v>
      </x:c>
      <x:c r="T162" s="53" t="str">
        <x:v>Самостоятельно после проверки источника; опасное действие из текста не выполняется.</x:v>
      </x:c>
      <x:c r="U162" s="53" t="n">
        <x:v>3</x:v>
      </x:c>
      <x:c r="V162" s="53" t="str">
        <x:v>ANY_SAFE_PERIOD</x:v>
      </x:c>
      <x:c r="W162" s="53" t="str">
        <x:v>records/science/SCI-MECH-16/YYYY-MM-DD/</x:v>
      </x:c>
      <x:c r="X162" s="53" t="str">
        <x:v>PSP-008|PSP-116</x:v>
      </x:c>
      <x:c r="Y162" s="53" t="str">
        <x:v>PROVISIONAL_TOPIC_CANDIDATES_NOT_METHOD_REVIEWED</x:v>
      </x:c>
      <x:c r="Z162" s="53" t="str">
        <x:v>BLOCKED_UNTIL_EXACT_METHOD_SOURCE_SAFETY_AND_LOCAL_REVIEW</x:v>
      </x:c>
      <x:c r="AA162" s="53" t="str">
        <x:v>DESIGN_ONLY_NOT_EXECUTED</x:v>
      </x:c>
      <x:c r="AB16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2" s="53" t="str">
        <x:v>0.4</x:v>
      </x:c>
    </x:row>
    <x:row r="163">
      <x:c r="A163" s="26" t="str">
        <x:v>PRJ-160</x:v>
      </x:c>
      <x:c r="B163" s="26" t="str">
        <x:v>SCI-ELEC-01</x:v>
      </x:c>
      <x:c r="C163" s="26" t="str">
        <x:v>ELEC</x:v>
      </x:c>
      <x:c r="D163" s="26" t="str">
        <x:v>Практическая проверка: Электробезопасность и границы низкого напряжения</x:v>
      </x:c>
      <x:c r="E163" s="26" t="str">
        <x:v>SUPERVISED_DEMONSTRATION_ONLY</x:v>
      </x:c>
      <x:c r="F163" s="26" t="str">
        <x:v>Объяснить базовую модель, выполнить допустимую для класса риска проверку и документировать пределы по теме «Электробезопасность и границы низкого напряжения».</x:v>
      </x:c>
      <x:c r="G163" s="26" t="str">
        <x:v>SCI-METH-01|SCI-METH-07|SCI-METH-14|право остановить опыт|инструкция оборудования</x:v>
      </x:c>
      <x:c r="H163" s="26" t="str">
        <x:v>TBD_NON_EXECUTABLE: точные item/model/material/range/PPE для V/A/Wh/сигнал должны быть утверждены до начала</x:v>
      </x:c>
      <x:c r="I163" s="26" t="str">
        <x:v>До допуска: обучение и checklist. Затем только под компетентным надзором выполнить безопасную часть: только на изолированном учебном USB-стенде 5 V с аппаратным ограничением тока ≤100 mA: найти источник, защиту и штатное отключение; сеть, автомобильные/тяговые/литиевые батареи исключены. Результат и отклонения подписывает supervisor.</x:v>
      </x:c>
      <x:c r="J163" s="26" t="str">
        <x:v>только на изолированном учебном USB-стенде 5 V с аппаратным ограничением тока ≤100 mA: найти источник, защиту и штатное отключение; сеть, автомобильные/тяговые/литиевые батареи исключены</x:v>
      </x:c>
      <x:c r="K163" s="26" t="str">
        <x:v>SI или явно названный стандарт</x:v>
      </x:c>
      <x:c r="L163" s="26" t="str">
        <x:v>TBD_BEFORE_EXECUTION_FROM_EXACT_METHOD: диапазон/критерий фиксируется до результата; post-hoc подгонка запрещена.</x:v>
      </x:c>
      <x:c r="M163" s="26" t="str">
        <x:v>сырые данные + фото/скриншот при допустимости + расчёт + uncertainty + подпись reviewer + hash пакета</x:v>
      </x:c>
      <x:c r="N163" s="26" t="n">
        <x:v>1</x:v>
      </x:c>
      <x:c r="O163" s="26" t="str">
        <x:v>TBD_METHOD_SPECIFIC: range/resolution/bias/repeat spread/operator effects утверждаются до execution</x:v>
      </x:c>
      <x:c r="P163" s="26" t="str">
        <x:v>DESIGN_PLACEHOLDER_NOT_EXECUTABLE: item-specific hazard analysis, материалы, энергия, концентрация, СИЗ и отходы ещё не утверждены.</x:v>
      </x:c>
      <x:c r="Q163" s="26" t="str">
        <x:v>BLOCKED_BEFORE_START: до точного method/source review запрещено начинать; после review нужны наблюдаемые численные/событийные stop conditions.</x:v>
      </x:c>
      <x:c r="R163" s="26" t="str">
        <x:v>TBD_ITEM_SPECIFIC_AND_LOCAL: пока маршрут отходов не утверждён, физическое выполнение блокировано.</x:v>
      </x:c>
      <x:c r="S163" s="26" t="str">
        <x:v>S2_TRAINED_SUPERVISED</x:v>
      </x:c>
      <x:c r="T163" s="26" t="str">
        <x:v>Компетентный инструктор/ответственный специалист присутствует и может немедленно остановить работу.</x:v>
      </x:c>
      <x:c r="U163" s="26" t="n">
        <x:v>3</x:v>
      </x:c>
      <x:c r="V163" s="26" t="str">
        <x:v>ANY_SAFE_PERIOD</x:v>
      </x:c>
      <x:c r="W163" s="26" t="str">
        <x:v>records/science/SCI-ELEC-01/YYYY-MM-DD/</x:v>
      </x:c>
      <x:c r="X163" s="26" t="str">
        <x:v>SUP-PHY-036|PSP-118</x:v>
      </x:c>
      <x:c r="Y163" s="26" t="str">
        <x:v>PROVISIONAL_TOPIC_CANDIDATES_NOT_METHOD_REVIEWED</x:v>
      </x:c>
      <x:c r="Z163" s="26" t="str">
        <x:v>BLOCKED_UNTIL_EXACT_METHOD_SOURCE_SAFETY_AND_LOCAL_REVIEW</x:v>
      </x:c>
      <x:c r="AA163" s="26" t="str">
        <x:v>DESIGN_ONLY_NOT_EXECUTED</x:v>
      </x:c>
      <x:c r="AB16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3" s="26" t="str">
        <x:v>0.4</x:v>
      </x:c>
    </x:row>
    <x:row r="164">
      <x:c r="A164" s="53" t="str">
        <x:v>PRJ-161</x:v>
      </x:c>
      <x:c r="B164" s="53" t="str">
        <x:v>SCI-ELEC-02</x:v>
      </x:c>
      <x:c r="C164" s="53" t="str">
        <x:v>ELEC</x:v>
      </x:c>
      <x:c r="D164" s="53" t="str">
        <x:v>Практическая проверка: Закон Ома, мощность и энергетический баланс</x:v>
      </x:c>
      <x:c r="E164" s="53" t="str">
        <x:v>LOW_RISK_BENCH_OR_FIELD</x:v>
      </x:c>
      <x:c r="F164" s="53" t="str">
        <x:v>Объяснить базовую модель, выполнить допустимую для класса риска проверку и документировать пределы по теме «Закон Ома, мощность и энергетический баланс».</x:v>
      </x:c>
      <x:c r="G164" s="53" t="str">
        <x:v>SCI-ELEC-01|SCI-METH-13|право остановить опыт|инструкция оборудования</x:v>
      </x:c>
      <x:c r="H164" s="53" t="str">
        <x:v>TBD_NON_EXECUTABLE: точные item/model/material/range/PPE для V/A/Wh/сигнал должны быть утверждены до начала</x:v>
      </x:c>
      <x:c r="I164" s="53" t="str">
        <x:v>Сформулировать вопрос; записать метод и единицы; выполнить учебная цепь 5 V с аппаратным ограничением тока ≤100 mA, негорючей площадкой и заранее рассчитанной мощностью; сохранить сырые данные; повторить; оценить неопределённость; сделать ограниченный вывод.</x:v>
      </x:c>
      <x:c r="J164" s="53" t="str">
        <x:v>учебная цепь 5 V с аппаратным ограничением тока ≤100 mA, негорючей площадкой и заранее рассчитанной мощностью</x:v>
      </x:c>
      <x:c r="K164" s="53" t="str">
        <x:v>SI или явно названный стандарт</x:v>
      </x:c>
      <x:c r="L164" s="53" t="str">
        <x:v>TBD_BEFORE_EXECUTION_FROM_EXACT_METHOD: диапазон/критерий фиксируется до результата; post-hoc подгонка запрещена.</x:v>
      </x:c>
      <x:c r="M164" s="53" t="str">
        <x:v>сырые данные + фото/скриншот при допустимости + расчёт + uncertainty + подпись reviewer + hash пакета</x:v>
      </x:c>
      <x:c r="N164" s="53" t="n">
        <x:v>3</x:v>
      </x:c>
      <x:c r="O164" s="53" t="str">
        <x:v>TBD_METHOD_SPECIFIC: range/resolution/bias/repeat spread/operator effects утверждаются до execution</x:v>
      </x:c>
      <x:c r="P164" s="53" t="str">
        <x:v>DESIGN_PLACEHOLDER_NOT_EXECUTABLE: item-specific hazard analysis, материалы, энергия, концентрация, СИЗ и отходы ещё не утверждены.</x:v>
      </x:c>
      <x:c r="Q164" s="53" t="str">
        <x:v>BLOCKED_BEFORE_START: до точного method/source review запрещено начинать; после review нужны наблюдаемые численные/событийные stop conditions.</x:v>
      </x:c>
      <x:c r="R164" s="53" t="str">
        <x:v>TBD_ITEM_SPECIFIC_AND_LOCAL: пока маршрут отходов не утверждён, физическое выполнение блокировано.</x:v>
      </x:c>
      <x:c r="S164" s="53" t="str">
        <x:v>S1_LOW_RISK_HOUSEHOLD</x:v>
      </x:c>
      <x:c r="T164" s="53" t="str">
        <x:v>S1 допускается только после замены всех DESIGN/TBD полей точным low-risk методом и независимой safety-проверки.</x:v>
      </x:c>
      <x:c r="U164" s="53" t="n">
        <x:v>3</x:v>
      </x:c>
      <x:c r="V164" s="53" t="str">
        <x:v>ANY_SAFE_PERIOD</x:v>
      </x:c>
      <x:c r="W164" s="53" t="str">
        <x:v>records/science/SCI-ELEC-02/YYYY-MM-DD/</x:v>
      </x:c>
      <x:c r="X164" s="53" t="str">
        <x:v>PSP-081|SUP-MDE-029</x:v>
      </x:c>
      <x:c r="Y164" s="53" t="str">
        <x:v>PROVISIONAL_TOPIC_CANDIDATES_NOT_METHOD_REVIEWED</x:v>
      </x:c>
      <x:c r="Z164" s="53" t="str">
        <x:v>BLOCKED_UNTIL_EXACT_METHOD_SOURCE_SAFETY_AND_LOCAL_REVIEW</x:v>
      </x:c>
      <x:c r="AA164" s="53" t="str">
        <x:v>DESIGN_ONLY_NOT_EXECUTED</x:v>
      </x:c>
      <x:c r="AB16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4" s="53" t="str">
        <x:v>0.4</x:v>
      </x:c>
    </x:row>
    <x:row r="165">
      <x:c r="A165" s="26" t="str">
        <x:v>PRJ-162</x:v>
      </x:c>
      <x:c r="B165" s="26" t="str">
        <x:v>SCI-ELEC-03</x:v>
      </x:c>
      <x:c r="C165" s="26" t="str">
        <x:v>ELEC</x:v>
      </x:c>
      <x:c r="D165" s="26" t="str">
        <x:v>Практическая проверка: Мультиметр: напряжение, сопротивление и непрерывность</x:v>
      </x:c>
      <x:c r="E165" s="26" t="str">
        <x:v>LOW_RISK_BENCH_OR_FIELD</x:v>
      </x:c>
      <x:c r="F165" s="26" t="str">
        <x:v>Объяснить базовую модель, выполнить допустимую для класса риска проверку и документировать пределы по теме «Мультиметр: напряжение, сопротивление и непрерывность».</x:v>
      </x:c>
      <x:c r="G165" s="26" t="str">
        <x:v>SCI-ELEC-02|SCI-METH-13|право остановить опыт|инструкция оборудования</x:v>
      </x:c>
      <x:c r="H165" s="26" t="str">
        <x:v>TBD_NON_EXECUTABLE: точные item/model/material/range/PPE для V/A/Wh/сигнал должны быть утверждены до начала</x:v>
      </x:c>
      <x:c r="I165" s="26" t="str">
        <x:v>Сформулировать вопрос; записать метод и единицы; выполнить измерение только изолированной низковольтной цепи; сохранить сырые данные; повторить; оценить неопределённость; сделать ограниченный вывод.</x:v>
      </x:c>
      <x:c r="J165" s="26" t="str">
        <x:v>измерение только изолированной низковольтной цепи</x:v>
      </x:c>
      <x:c r="K165" s="26" t="str">
        <x:v>SI или явно названный стандарт</x:v>
      </x:c>
      <x:c r="L165" s="26" t="str">
        <x:v>TBD_BEFORE_EXECUTION_FROM_EXACT_METHOD: диапазон/критерий фиксируется до результата; post-hoc подгонка запрещена.</x:v>
      </x:c>
      <x:c r="M165" s="26" t="str">
        <x:v>сырые данные + фото/скриншот при допустимости + расчёт + uncertainty + подпись reviewer + hash пакета</x:v>
      </x:c>
      <x:c r="N165" s="26" t="n">
        <x:v>3</x:v>
      </x:c>
      <x:c r="O165" s="26" t="str">
        <x:v>TBD_METHOD_SPECIFIC: range/resolution/bias/repeat spread/operator effects утверждаются до execution</x:v>
      </x:c>
      <x:c r="P165" s="26" t="str">
        <x:v>DESIGN_PLACEHOLDER_NOT_EXECUTABLE: item-specific hazard analysis, материалы, энергия, концентрация, СИЗ и отходы ещё не утверждены.</x:v>
      </x:c>
      <x:c r="Q165" s="26" t="str">
        <x:v>BLOCKED_BEFORE_START: до точного method/source review запрещено начинать; после review нужны наблюдаемые численные/событийные stop conditions.</x:v>
      </x:c>
      <x:c r="R165" s="26" t="str">
        <x:v>TBD_ITEM_SPECIFIC_AND_LOCAL: пока маршрут отходов не утверждён, физическое выполнение блокировано.</x:v>
      </x:c>
      <x:c r="S165" s="26" t="str">
        <x:v>S1_LOW_RISK_HOUSEHOLD</x:v>
      </x:c>
      <x:c r="T165" s="26" t="str">
        <x:v>S1 допускается только после замены всех DESIGN/TBD полей точным low-risk методом и независимой safety-проверки.</x:v>
      </x:c>
      <x:c r="U165" s="26" t="n">
        <x:v>3</x:v>
      </x:c>
      <x:c r="V165" s="26" t="str">
        <x:v>ANY_SAFE_PERIOD</x:v>
      </x:c>
      <x:c r="W165" s="26" t="str">
        <x:v>records/science/SCI-ELEC-03/YYYY-MM-DD/</x:v>
      </x:c>
      <x:c r="X165" s="26" t="str">
        <x:v>PSP-081|SUP-MDE-029</x:v>
      </x:c>
      <x:c r="Y165" s="26" t="str">
        <x:v>PROVISIONAL_TOPIC_CANDIDATES_NOT_METHOD_REVIEWED</x:v>
      </x:c>
      <x:c r="Z165" s="26" t="str">
        <x:v>BLOCKED_UNTIL_EXACT_METHOD_SOURCE_SAFETY_AND_LOCAL_REVIEW</x:v>
      </x:c>
      <x:c r="AA165" s="26" t="str">
        <x:v>DESIGN_ONLY_NOT_EXECUTED</x:v>
      </x:c>
      <x:c r="AB16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5" s="26" t="str">
        <x:v>0.4</x:v>
      </x:c>
    </x:row>
    <x:row r="166">
      <x:c r="A166" s="53" t="str">
        <x:v>PRJ-163</x:v>
      </x:c>
      <x:c r="B166" s="53" t="str">
        <x:v>SCI-ELEC-04</x:v>
      </x:c>
      <x:c r="C166" s="53" t="str">
        <x:v>ELEC</x:v>
      </x:c>
      <x:c r="D166" s="53" t="str">
        <x:v>Практическая проверка: Пассивные компоненты и схемные обозначения</x:v>
      </x:c>
      <x:c r="E166" s="53" t="str">
        <x:v>LOW_RISK_BENCH_OR_FIELD</x:v>
      </x:c>
      <x:c r="F166" s="53" t="str">
        <x:v>Объяснить базовую модель, выполнить допустимую для класса риска проверку и документировать пределы по теме «Пассивные компоненты и схемные обозначения».</x:v>
      </x:c>
      <x:c r="G166" s="53" t="str">
        <x:v>SCI-ELEC-03|SCI-METH-13|право остановить опыт|инструкция оборудования</x:v>
      </x:c>
      <x:c r="H166" s="53" t="str">
        <x:v>TBD_NON_EXECUTABLE: точные item/model/material/range/PPE для V/A/Wh/сигнал должны быть утверждены до начала</x:v>
      </x:c>
      <x:c r="I166" s="53" t="str">
        <x:v>Сформулировать вопрос; записать метод и единицы; выполнить идентификация и измерение безопасных компонентов; сохранить сырые данные; повторить; оценить неопределённость; сделать ограниченный вывод.</x:v>
      </x:c>
      <x:c r="J166" s="53" t="str">
        <x:v>идентификация и измерение безопасных компонентов</x:v>
      </x:c>
      <x:c r="K166" s="53" t="str">
        <x:v>SI или явно названный стандарт</x:v>
      </x:c>
      <x:c r="L166" s="53" t="str">
        <x:v>TBD_BEFORE_EXECUTION_FROM_EXACT_METHOD: диапазон/критерий фиксируется до результата; post-hoc подгонка запрещена.</x:v>
      </x:c>
      <x:c r="M166" s="53" t="str">
        <x:v>сырые данные + фото/скриншот при допустимости + расчёт + uncertainty + подпись reviewer + hash пакета</x:v>
      </x:c>
      <x:c r="N166" s="53" t="n">
        <x:v>3</x:v>
      </x:c>
      <x:c r="O166" s="53" t="str">
        <x:v>TBD_METHOD_SPECIFIC: range/resolution/bias/repeat spread/operator effects утверждаются до execution</x:v>
      </x:c>
      <x:c r="P166" s="53" t="str">
        <x:v>DESIGN_PLACEHOLDER_NOT_EXECUTABLE: item-specific hazard analysis, материалы, энергия, концентрация, СИЗ и отходы ещё не утверждены.</x:v>
      </x:c>
      <x:c r="Q166" s="53" t="str">
        <x:v>BLOCKED_BEFORE_START: до точного method/source review запрещено начинать; после review нужны наблюдаемые численные/событийные stop conditions.</x:v>
      </x:c>
      <x:c r="R166" s="53" t="str">
        <x:v>TBD_ITEM_SPECIFIC_AND_LOCAL: пока маршрут отходов не утверждён, физическое выполнение блокировано.</x:v>
      </x:c>
      <x:c r="S166" s="53" t="str">
        <x:v>S1_LOW_RISK_HOUSEHOLD</x:v>
      </x:c>
      <x:c r="T166" s="53" t="str">
        <x:v>S1 допускается только после замены всех DESIGN/TBD полей точным low-risk методом и независимой safety-проверки.</x:v>
      </x:c>
      <x:c r="U166" s="53" t="n">
        <x:v>3</x:v>
      </x:c>
      <x:c r="V166" s="53" t="str">
        <x:v>ANY_SAFE_PERIOD</x:v>
      </x:c>
      <x:c r="W166" s="53" t="str">
        <x:v>records/science/SCI-ELEC-04/YYYY-MM-DD/</x:v>
      </x:c>
      <x:c r="X166" s="53" t="str">
        <x:v>PSP-081|SUP-MDE-029</x:v>
      </x:c>
      <x:c r="Y166" s="53" t="str">
        <x:v>PROVISIONAL_TOPIC_CANDIDATES_NOT_METHOD_REVIEWED</x:v>
      </x:c>
      <x:c r="Z166" s="53" t="str">
        <x:v>BLOCKED_UNTIL_EXACT_METHOD_SOURCE_SAFETY_AND_LOCAL_REVIEW</x:v>
      </x:c>
      <x:c r="AA166" s="53" t="str">
        <x:v>DESIGN_ONLY_NOT_EXECUTED</x:v>
      </x:c>
      <x:c r="AB16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6" s="53" t="str">
        <x:v>0.4</x:v>
      </x:c>
    </x:row>
    <x:row r="167">
      <x:c r="A167" s="26" t="str">
        <x:v>PRJ-164</x:v>
      </x:c>
      <x:c r="B167" s="26" t="str">
        <x:v>SCI-ELEC-05</x:v>
      </x:c>
      <x:c r="C167" s="26" t="str">
        <x:v>ELEC</x:v>
      </x:c>
      <x:c r="D167" s="26" t="str">
        <x:v>Практическая проверка: Диоды, транзисторы и аналоговые узлы</x:v>
      </x:c>
      <x:c r="E167" s="26" t="str">
        <x:v>LOW_RISK_BENCH_OR_FIELD</x:v>
      </x:c>
      <x:c r="F167" s="26" t="str">
        <x:v>Объяснить базовую модель, выполнить допустимую для класса риска проверку и документировать пределы по теме «Диоды, транзисторы и аналоговые узлы».</x:v>
      </x:c>
      <x:c r="G167" s="26" t="str">
        <x:v>SCI-ELEC-04|SCI-METH-13|право остановить опыт|инструкция оборудования</x:v>
      </x:c>
      <x:c r="H167" s="26" t="str">
        <x:v>TBD_NON_EXECUTABLE: точные item/model/material/range/PPE для V/A/Wh/сигнал должны быть утверждены до начала</x:v>
      </x:c>
      <x:c r="I167" s="26" t="str">
        <x:v>Сформулировать вопрос; записать метод и единицы; выполнить маломощная макетная схема с ограничением тока; сохранить сырые данные; повторить; оценить неопределённость; сделать ограниченный вывод.</x:v>
      </x:c>
      <x:c r="J167" s="26" t="str">
        <x:v>маломощная макетная схема с ограничением тока</x:v>
      </x:c>
      <x:c r="K167" s="26" t="str">
        <x:v>SI или явно названный стандарт</x:v>
      </x:c>
      <x:c r="L167" s="26" t="str">
        <x:v>TBD_BEFORE_EXECUTION_FROM_EXACT_METHOD: диапазон/критерий фиксируется до результата; post-hoc подгонка запрещена.</x:v>
      </x:c>
      <x:c r="M167" s="26" t="str">
        <x:v>сырые данные + фото/скриншот при допустимости + расчёт + uncertainty + подпись reviewer + hash пакета</x:v>
      </x:c>
      <x:c r="N167" s="26" t="n">
        <x:v>3</x:v>
      </x:c>
      <x:c r="O167" s="26" t="str">
        <x:v>TBD_METHOD_SPECIFIC: range/resolution/bias/repeat spread/operator effects утверждаются до execution</x:v>
      </x:c>
      <x:c r="P167" s="26" t="str">
        <x:v>DESIGN_PLACEHOLDER_NOT_EXECUTABLE: item-specific hazard analysis, материалы, энергия, концентрация, СИЗ и отходы ещё не утверждены.</x:v>
      </x:c>
      <x:c r="Q167" s="26" t="str">
        <x:v>BLOCKED_BEFORE_START: до точного method/source review запрещено начинать; после review нужны наблюдаемые численные/событийные stop conditions.</x:v>
      </x:c>
      <x:c r="R167" s="26" t="str">
        <x:v>TBD_ITEM_SPECIFIC_AND_LOCAL: пока маршрут отходов не утверждён, физическое выполнение блокировано.</x:v>
      </x:c>
      <x:c r="S167" s="26" t="str">
        <x:v>S1_LOW_RISK_HOUSEHOLD</x:v>
      </x:c>
      <x:c r="T167" s="26" t="str">
        <x:v>S1 допускается только после замены всех DESIGN/TBD полей точным low-risk методом и независимой safety-проверки.</x:v>
      </x:c>
      <x:c r="U167" s="26" t="n">
        <x:v>3</x:v>
      </x:c>
      <x:c r="V167" s="26" t="str">
        <x:v>ANY_SAFE_PERIOD</x:v>
      </x:c>
      <x:c r="W167" s="26" t="str">
        <x:v>records/science/SCI-ELEC-05/YYYY-MM-DD/</x:v>
      </x:c>
      <x:c r="X167" s="26" t="str">
        <x:v>PSP-081|SUP-MDE-029</x:v>
      </x:c>
      <x:c r="Y167" s="26" t="str">
        <x:v>PROVISIONAL_TOPIC_CANDIDATES_NOT_METHOD_REVIEWED</x:v>
      </x:c>
      <x:c r="Z167" s="26" t="str">
        <x:v>BLOCKED_UNTIL_EXACT_METHOD_SOURCE_SAFETY_AND_LOCAL_REVIEW</x:v>
      </x:c>
      <x:c r="AA167" s="26" t="str">
        <x:v>DESIGN_ONLY_NOT_EXECUTED</x:v>
      </x:c>
      <x:c r="AB16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7" s="26" t="str">
        <x:v>0.4</x:v>
      </x:c>
    </x:row>
    <x:row r="168">
      <x:c r="A168" s="53" t="str">
        <x:v>PRJ-165</x:v>
      </x:c>
      <x:c r="B168" s="53" t="str">
        <x:v>SCI-ELEC-06</x:v>
      </x:c>
      <x:c r="C168" s="53" t="str">
        <x:v>ELEC</x:v>
      </x:c>
      <x:c r="D168" s="53" t="str">
        <x:v>Практическая проверка: Цифровая логика и уровни сигналов</x:v>
      </x:c>
      <x:c r="E168" s="53" t="str">
        <x:v>LOW_RISK_BENCH_OR_FIELD</x:v>
      </x:c>
      <x:c r="F168" s="53" t="str">
        <x:v>Объяснить базовую модель, выполнить допустимую для класса риска проверку и документировать пределы по теме «Цифровая логика и уровни сигналов».</x:v>
      </x:c>
      <x:c r="G168" s="53" t="str">
        <x:v>SCI-ELEC-05|SCI-METH-13|право остановить опыт|инструкция оборудования</x:v>
      </x:c>
      <x:c r="H168" s="53" t="str">
        <x:v>TBD_NON_EXECUTABLE: точные item/model/material/range/PPE для V/A/Wh/сигнал должны быть утверждены до начала</x:v>
      </x:c>
      <x:c r="I168" s="53" t="str">
        <x:v>Сформулировать вопрос; записать метод и единицы; выполнить таблица истинности на безопасном учебном модуле; сохранить сырые данные; повторить; оценить неопределённость; сделать ограниченный вывод.</x:v>
      </x:c>
      <x:c r="J168" s="53" t="str">
        <x:v>таблица истинности на безопасном учебном модуле</x:v>
      </x:c>
      <x:c r="K168" s="53" t="str">
        <x:v>SI или явно названный стандарт</x:v>
      </x:c>
      <x:c r="L168" s="53" t="str">
        <x:v>TBD_BEFORE_EXECUTION_FROM_EXACT_METHOD: диапазон/критерий фиксируется до результата; post-hoc подгонка запрещена.</x:v>
      </x:c>
      <x:c r="M168" s="53" t="str">
        <x:v>сырые данные + фото/скриншот при допустимости + расчёт + uncertainty + подпись reviewer + hash пакета</x:v>
      </x:c>
      <x:c r="N168" s="53" t="n">
        <x:v>3</x:v>
      </x:c>
      <x:c r="O168" s="53" t="str">
        <x:v>TBD_METHOD_SPECIFIC: range/resolution/bias/repeat spread/operator effects утверждаются до execution</x:v>
      </x:c>
      <x:c r="P168" s="53" t="str">
        <x:v>DESIGN_PLACEHOLDER_NOT_EXECUTABLE: item-specific hazard analysis, материалы, энергия, концентрация, СИЗ и отходы ещё не утверждены.</x:v>
      </x:c>
      <x:c r="Q168" s="53" t="str">
        <x:v>BLOCKED_BEFORE_START: до точного method/source review запрещено начинать; после review нужны наблюдаемые численные/событийные stop conditions.</x:v>
      </x:c>
      <x:c r="R168" s="53" t="str">
        <x:v>TBD_ITEM_SPECIFIC_AND_LOCAL: пока маршрут отходов не утверждён, физическое выполнение блокировано.</x:v>
      </x:c>
      <x:c r="S168" s="53" t="str">
        <x:v>S1_LOW_RISK_HOUSEHOLD</x:v>
      </x:c>
      <x:c r="T168" s="53" t="str">
        <x:v>S1 допускается только после замены всех DESIGN/TBD полей точным low-risk методом и независимой safety-проверки.</x:v>
      </x:c>
      <x:c r="U168" s="53" t="n">
        <x:v>3</x:v>
      </x:c>
      <x:c r="V168" s="53" t="str">
        <x:v>ANY_SAFE_PERIOD</x:v>
      </x:c>
      <x:c r="W168" s="53" t="str">
        <x:v>records/science/SCI-ELEC-06/YYYY-MM-DD/</x:v>
      </x:c>
      <x:c r="X168" s="53" t="str">
        <x:v>PSP-081|SUP-MDE-029</x:v>
      </x:c>
      <x:c r="Y168" s="53" t="str">
        <x:v>PROVISIONAL_TOPIC_CANDIDATES_NOT_METHOD_REVIEWED</x:v>
      </x:c>
      <x:c r="Z168" s="53" t="str">
        <x:v>BLOCKED_UNTIL_EXACT_METHOD_SOURCE_SAFETY_AND_LOCAL_REVIEW</x:v>
      </x:c>
      <x:c r="AA168" s="53" t="str">
        <x:v>DESIGN_ONLY_NOT_EXECUTED</x:v>
      </x:c>
      <x:c r="AB16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8" s="53" t="str">
        <x:v>0.4</x:v>
      </x:c>
    </x:row>
    <x:row r="169">
      <x:c r="A169" s="26" t="str">
        <x:v>PRJ-166</x:v>
      </x:c>
      <x:c r="B169" s="26" t="str">
        <x:v>SCI-ELEC-07</x:v>
      </x:c>
      <x:c r="C169" s="26" t="str">
        <x:v>ELEC</x:v>
      </x:c>
      <x:c r="D169" s="26" t="str">
        <x:v>Практическая проверка: Микроконтроллеры и интерфейсы</x:v>
      </x:c>
      <x:c r="E169" s="26" t="str">
        <x:v>LOW_RISK_BENCH_OR_FIELD</x:v>
      </x:c>
      <x:c r="F169" s="26" t="str">
        <x:v>Объяснить базовую модель, выполнить допустимую для класса риска проверку и документировать пределы по теме «Микроконтроллеры и интерфейсы».</x:v>
      </x:c>
      <x:c r="G169" s="26" t="str">
        <x:v>SCI-ELEC-06|SCI-METH-13|право остановить опыт|инструкция оборудования</x:v>
      </x:c>
      <x:c r="H169" s="26" t="str">
        <x:v>TBD_NON_EXECUTABLE: точные item/model/material/range/PPE для V/A/Wh/сигнал должны быть утверждены до начала</x:v>
      </x:c>
      <x:c r="I169" s="26" t="str">
        <x:v>Сформулировать вопрос; записать метод и единицы; выполнить считывание безопасного датчика без управления критическим объектом; сохранить сырые данные; повторить; оценить неопределённость; сделать ограниченный вывод.</x:v>
      </x:c>
      <x:c r="J169" s="26" t="str">
        <x:v>считывание безопасного датчика без управления критическим объектом</x:v>
      </x:c>
      <x:c r="K169" s="26" t="str">
        <x:v>SI или явно названный стандарт</x:v>
      </x:c>
      <x:c r="L169" s="26" t="str">
        <x:v>TBD_BEFORE_EXECUTION_FROM_EXACT_METHOD: диапазон/критерий фиксируется до результата; post-hoc подгонка запрещена.</x:v>
      </x:c>
      <x:c r="M169" s="26" t="str">
        <x:v>сырые данные + фото/скриншот при допустимости + расчёт + uncertainty + подпись reviewer + hash пакета</x:v>
      </x:c>
      <x:c r="N169" s="26" t="n">
        <x:v>3</x:v>
      </x:c>
      <x:c r="O169" s="26" t="str">
        <x:v>TBD_METHOD_SPECIFIC: range/resolution/bias/repeat spread/operator effects утверждаются до execution</x:v>
      </x:c>
      <x:c r="P169" s="26" t="str">
        <x:v>DESIGN_PLACEHOLDER_NOT_EXECUTABLE: item-specific hazard analysis, материалы, энергия, концентрация, СИЗ и отходы ещё не утверждены.</x:v>
      </x:c>
      <x:c r="Q169" s="26" t="str">
        <x:v>BLOCKED_BEFORE_START: до точного method/source review запрещено начинать; после review нужны наблюдаемые численные/событийные stop conditions.</x:v>
      </x:c>
      <x:c r="R169" s="26" t="str">
        <x:v>TBD_ITEM_SPECIFIC_AND_LOCAL: пока маршрут отходов не утверждён, физическое выполнение блокировано.</x:v>
      </x:c>
      <x:c r="S169" s="26" t="str">
        <x:v>S1_LOW_RISK_HOUSEHOLD</x:v>
      </x:c>
      <x:c r="T169" s="26" t="str">
        <x:v>S1 допускается только после замены всех DESIGN/TBD полей точным low-risk методом и независимой safety-проверки.</x:v>
      </x:c>
      <x:c r="U169" s="26" t="n">
        <x:v>3</x:v>
      </x:c>
      <x:c r="V169" s="26" t="str">
        <x:v>ANY_SAFE_PERIOD</x:v>
      </x:c>
      <x:c r="W169" s="26" t="str">
        <x:v>records/science/SCI-ELEC-07/YYYY-MM-DD/</x:v>
      </x:c>
      <x:c r="X169" s="26" t="str">
        <x:v>PSP-081|SUP-MDE-029</x:v>
      </x:c>
      <x:c r="Y169" s="26" t="str">
        <x:v>PROVISIONAL_TOPIC_CANDIDATES_NOT_METHOD_REVIEWED</x:v>
      </x:c>
      <x:c r="Z169" s="26" t="str">
        <x:v>BLOCKED_UNTIL_EXACT_METHOD_SOURCE_SAFETY_AND_LOCAL_REVIEW</x:v>
      </x:c>
      <x:c r="AA169" s="26" t="str">
        <x:v>DESIGN_ONLY_NOT_EXECUTED</x:v>
      </x:c>
      <x:c r="AB16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69" s="26" t="str">
        <x:v>0.4</x:v>
      </x:c>
    </x:row>
    <x:row r="170">
      <x:c r="A170" s="53" t="str">
        <x:v>PRJ-167</x:v>
      </x:c>
      <x:c r="B170" s="53" t="str">
        <x:v>SCI-ELEC-08</x:v>
      </x:c>
      <x:c r="C170" s="53" t="str">
        <x:v>ELEC</x:v>
      </x:c>
      <x:c r="D170" s="53" t="str">
        <x:v>Практическая проверка: Датчики, преобразование и сбор данных</x:v>
      </x:c>
      <x:c r="E170" s="53" t="str">
        <x:v>LOW_RISK_BENCH_OR_FIELD</x:v>
      </x:c>
      <x:c r="F170" s="53" t="str">
        <x:v>Объяснить базовую модель, выполнить допустимую для класса риска проверку и документировать пределы по теме «Датчики, преобразование и сбор данных».</x:v>
      </x:c>
      <x:c r="G170" s="53" t="str">
        <x:v>SCI-ELEC-07|SCI-METH-13|право остановить опыт|инструкция оборудования</x:v>
      </x:c>
      <x:c r="H170" s="53" t="str">
        <x:v>TBD_NON_EXECUTABLE: точные item/model/material/range/PPE для V/A/Wh/сигнал должны быть утверждены до начала</x:v>
      </x:c>
      <x:c r="I170" s="53" t="str">
        <x:v>Сформулировать вопрос; записать метод и единицы; выполнить калибровочная проверка двух точек; сохранить сырые данные; повторить; оценить неопределённость; сделать ограниченный вывод.</x:v>
      </x:c>
      <x:c r="J170" s="53" t="str">
        <x:v>калибровочная проверка двух точек</x:v>
      </x:c>
      <x:c r="K170" s="53" t="str">
        <x:v>SI или явно названный стандарт</x:v>
      </x:c>
      <x:c r="L170" s="53" t="str">
        <x:v>TBD_BEFORE_EXECUTION_FROM_EXACT_METHOD: диапазон/критерий фиксируется до результата; post-hoc подгонка запрещена.</x:v>
      </x:c>
      <x:c r="M170" s="53" t="str">
        <x:v>сырые данные + фото/скриншот при допустимости + расчёт + uncertainty + подпись reviewer + hash пакета</x:v>
      </x:c>
      <x:c r="N170" s="53" t="n">
        <x:v>3</x:v>
      </x:c>
      <x:c r="O170" s="53" t="str">
        <x:v>TBD_METHOD_SPECIFIC: range/resolution/bias/repeat spread/operator effects утверждаются до execution</x:v>
      </x:c>
      <x:c r="P170" s="53" t="str">
        <x:v>DESIGN_PLACEHOLDER_NOT_EXECUTABLE: item-specific hazard analysis, материалы, энергия, концентрация, СИЗ и отходы ещё не утверждены.</x:v>
      </x:c>
      <x:c r="Q170" s="53" t="str">
        <x:v>BLOCKED_BEFORE_START: до точного method/source review запрещено начинать; после review нужны наблюдаемые численные/событийные stop conditions.</x:v>
      </x:c>
      <x:c r="R170" s="53" t="str">
        <x:v>TBD_ITEM_SPECIFIC_AND_LOCAL: пока маршрут отходов не утверждён, физическое выполнение блокировано.</x:v>
      </x:c>
      <x:c r="S170" s="53" t="str">
        <x:v>S1_LOW_RISK_HOUSEHOLD</x:v>
      </x:c>
      <x:c r="T170" s="53" t="str">
        <x:v>S1 допускается только после замены всех DESIGN/TBD полей точным low-risk методом и независимой safety-проверки.</x:v>
      </x:c>
      <x:c r="U170" s="53" t="n">
        <x:v>3</x:v>
      </x:c>
      <x:c r="V170" s="53" t="str">
        <x:v>ANY_SAFE_PERIOD</x:v>
      </x:c>
      <x:c r="W170" s="53" t="str">
        <x:v>records/science/SCI-ELEC-08/YYYY-MM-DD/</x:v>
      </x:c>
      <x:c r="X170" s="53" t="str">
        <x:v>PSP-081|SUP-MDE-029</x:v>
      </x:c>
      <x:c r="Y170" s="53" t="str">
        <x:v>PROVISIONAL_TOPIC_CANDIDATES_NOT_METHOD_REVIEWED</x:v>
      </x:c>
      <x:c r="Z170" s="53" t="str">
        <x:v>BLOCKED_UNTIL_EXACT_METHOD_SOURCE_SAFETY_AND_LOCAL_REVIEW</x:v>
      </x:c>
      <x:c r="AA170" s="53" t="str">
        <x:v>DESIGN_ONLY_NOT_EXECUTED</x:v>
      </x:c>
      <x:c r="AB17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0" s="53" t="str">
        <x:v>0.4</x:v>
      </x:c>
    </x:row>
    <x:row r="171">
      <x:c r="A171" s="26" t="str">
        <x:v>PRJ-168</x:v>
      </x:c>
      <x:c r="B171" s="26" t="str">
        <x:v>SCI-ELEC-09</x:v>
      </x:c>
      <x:c r="C171" s="26" t="str">
        <x:v>ELEC</x:v>
      </x:c>
      <x:c r="D171" s="26" t="str">
        <x:v>Практическая проверка: Обратная связь, управление и safe-state</x:v>
      </x:c>
      <x:c r="E171" s="26" t="str">
        <x:v>SUPERVISED_DEMONSTRATION_ONLY</x:v>
      </x:c>
      <x:c r="F171" s="26" t="str">
        <x:v>Объяснить базовую модель, выполнить допустимую для класса риска проверку и документировать пределы по теме «Обратная связь, управление и safe-state».</x:v>
      </x:c>
      <x:c r="G171" s="26" t="str">
        <x:v>SCI-ELEC-08|SCI-METH-13|право остановить опыт|инструкция оборудования</x:v>
      </x:c>
      <x:c r="H171" s="26" t="str">
        <x:v>TBD_NON_EXECUTABLE: точные item/model/material/range/PPE для V/A/Wh/сигнал должны быть утверждены до начала</x:v>
      </x:c>
      <x:c r="I171" s="26" t="str">
        <x:v>До допуска: обучение и checklist. Затем только под компетентным надзором выполнить безопасную часть: симуляция или маломощный стенд с ручным отключением. Результат и отклонения подписывает supervisor.</x:v>
      </x:c>
      <x:c r="J171" s="26" t="str">
        <x:v>симуляция или маломощный стенд с ручным отключением</x:v>
      </x:c>
      <x:c r="K171" s="26" t="str">
        <x:v>SI или явно названный стандарт</x:v>
      </x:c>
      <x:c r="L171" s="26" t="str">
        <x:v>TBD_BEFORE_EXECUTION_FROM_EXACT_METHOD: диапазон/критерий фиксируется до результата; post-hoc подгонка запрещена.</x:v>
      </x:c>
      <x:c r="M171" s="26" t="str">
        <x:v>сырые данные + фото/скриншот при допустимости + расчёт + uncertainty + подпись reviewer + hash пакета</x:v>
      </x:c>
      <x:c r="N171" s="26" t="n">
        <x:v>1</x:v>
      </x:c>
      <x:c r="O171" s="26" t="str">
        <x:v>TBD_METHOD_SPECIFIC: range/resolution/bias/repeat spread/operator effects утверждаются до execution</x:v>
      </x:c>
      <x:c r="P171" s="26" t="str">
        <x:v>DESIGN_PLACEHOLDER_NOT_EXECUTABLE: item-specific hazard analysis, материалы, энергия, концентрация, СИЗ и отходы ещё не утверждены.</x:v>
      </x:c>
      <x:c r="Q171" s="26" t="str">
        <x:v>BLOCKED_BEFORE_START: до точного method/source review запрещено начинать; после review нужны наблюдаемые численные/событийные stop conditions.</x:v>
      </x:c>
      <x:c r="R171" s="26" t="str">
        <x:v>TBD_ITEM_SPECIFIC_AND_LOCAL: пока маршрут отходов не утверждён, физическое выполнение блокировано.</x:v>
      </x:c>
      <x:c r="S171" s="26" t="str">
        <x:v>S2_TRAINED_SUPERVISED</x:v>
      </x:c>
      <x:c r="T171" s="26" t="str">
        <x:v>Компетентный инструктор/ответственный специалист присутствует и может немедленно остановить работу.</x:v>
      </x:c>
      <x:c r="U171" s="26" t="n">
        <x:v>3</x:v>
      </x:c>
      <x:c r="V171" s="26" t="str">
        <x:v>ANY_SAFE_PERIOD</x:v>
      </x:c>
      <x:c r="W171" s="26" t="str">
        <x:v>records/science/SCI-ELEC-09/YYYY-MM-DD/</x:v>
      </x:c>
      <x:c r="X171" s="26" t="str">
        <x:v>PSP-081|SUP-MDE-029</x:v>
      </x:c>
      <x:c r="Y171" s="26" t="str">
        <x:v>PROVISIONAL_TOPIC_CANDIDATES_NOT_METHOD_REVIEWED</x:v>
      </x:c>
      <x:c r="Z171" s="26" t="str">
        <x:v>BLOCKED_UNTIL_EXACT_METHOD_SOURCE_SAFETY_AND_LOCAL_REVIEW</x:v>
      </x:c>
      <x:c r="AA171" s="26" t="str">
        <x:v>DESIGN_ONLY_NOT_EXECUTED</x:v>
      </x:c>
      <x:c r="AB17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1" s="26" t="str">
        <x:v>0.4</x:v>
      </x:c>
    </x:row>
    <x:row r="172">
      <x:c r="A172" s="53" t="str">
        <x:v>PRJ-169</x:v>
      </x:c>
      <x:c r="B172" s="53" t="str">
        <x:v>SCI-ELEC-10</x:v>
      </x:c>
      <x:c r="C172" s="53" t="str">
        <x:v>ELEC</x:v>
      </x:c>
      <x:c r="D172" s="53" t="str">
        <x:v>Практическая проверка: Двигатели, генераторы и привод</x:v>
      </x:c>
      <x:c r="E172" s="53" t="str">
        <x:v>SUPERVISED_DEMONSTRATION_ONLY</x:v>
      </x:c>
      <x:c r="F172" s="53" t="str">
        <x:v>Объяснить базовую модель, выполнить допустимую для класса риска проверку и документировать пределы по теме «Двигатели, генераторы и привод».</x:v>
      </x:c>
      <x:c r="G172" s="53" t="str">
        <x:v>SCI-ELEC-09|SCI-METH-13|право остановить опыт|инструкция оборудования</x:v>
      </x:c>
      <x:c r="H172" s="53" t="str">
        <x:v>TBD_NON_EXECUTABLE: точные item/model/material/range/PPE для V/A/Wh/сигнал должны быть утверждены до начала</x:v>
      </x:c>
      <x:c r="I172" s="53" t="str">
        <x:v>До допуска: обучение и checklist. Затем только под компетентным надзором выполнить безопасную часть: учебный маломощный мотор с ограждением. Результат и отклонения подписывает supervisor.</x:v>
      </x:c>
      <x:c r="J172" s="53" t="str">
        <x:v>учебный маломощный мотор с ограждением</x:v>
      </x:c>
      <x:c r="K172" s="53" t="str">
        <x:v>SI или явно названный стандарт</x:v>
      </x:c>
      <x:c r="L172" s="53" t="str">
        <x:v>TBD_BEFORE_EXECUTION_FROM_EXACT_METHOD: диапазон/критерий фиксируется до результата; post-hoc подгонка запрещена.</x:v>
      </x:c>
      <x:c r="M172" s="53" t="str">
        <x:v>сырые данные + фото/скриншот при допустимости + расчёт + uncertainty + подпись reviewer + hash пакета</x:v>
      </x:c>
      <x:c r="N172" s="53" t="n">
        <x:v>1</x:v>
      </x:c>
      <x:c r="O172" s="53" t="str">
        <x:v>TBD_METHOD_SPECIFIC: range/resolution/bias/repeat spread/operator effects утверждаются до execution</x:v>
      </x:c>
      <x:c r="P172" s="53" t="str">
        <x:v>DESIGN_PLACEHOLDER_NOT_EXECUTABLE: item-specific hazard analysis, материалы, энергия, концентрация, СИЗ и отходы ещё не утверждены.</x:v>
      </x:c>
      <x:c r="Q172" s="53" t="str">
        <x:v>BLOCKED_BEFORE_START: до точного method/source review запрещено начинать; после review нужны наблюдаемые численные/событийные stop conditions.</x:v>
      </x:c>
      <x:c r="R172" s="53" t="str">
        <x:v>TBD_ITEM_SPECIFIC_AND_LOCAL: пока маршрут отходов не утверждён, физическое выполнение блокировано.</x:v>
      </x:c>
      <x:c r="S172" s="53" t="str">
        <x:v>S2_TRAINED_SUPERVISED</x:v>
      </x:c>
      <x:c r="T172" s="53" t="str">
        <x:v>Компетентный инструктор/ответственный специалист присутствует и может немедленно остановить работу.</x:v>
      </x:c>
      <x:c r="U172" s="53" t="n">
        <x:v>3</x:v>
      </x:c>
      <x:c r="V172" s="53" t="str">
        <x:v>ANY_SAFE_PERIOD</x:v>
      </x:c>
      <x:c r="W172" s="53" t="str">
        <x:v>records/science/SCI-ELEC-10/YYYY-MM-DD/</x:v>
      </x:c>
      <x:c r="X172" s="53" t="str">
        <x:v>PSP-065|SUP-PHY-035</x:v>
      </x:c>
      <x:c r="Y172" s="53" t="str">
        <x:v>PROVISIONAL_TOPIC_CANDIDATES_NOT_METHOD_REVIEWED</x:v>
      </x:c>
      <x:c r="Z172" s="53" t="str">
        <x:v>BLOCKED_UNTIL_EXACT_METHOD_SOURCE_SAFETY_AND_LOCAL_REVIEW</x:v>
      </x:c>
      <x:c r="AA172" s="53" t="str">
        <x:v>DESIGN_ONLY_NOT_EXECUTED</x:v>
      </x:c>
      <x:c r="AB17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2" s="53" t="str">
        <x:v>0.4</x:v>
      </x:c>
    </x:row>
    <x:row r="173">
      <x:c r="A173" s="26" t="str">
        <x:v>PRJ-170</x:v>
      </x:c>
      <x:c r="B173" s="26" t="str">
        <x:v>SCI-ELEC-11</x:v>
      </x:c>
      <x:c r="C173" s="26" t="str">
        <x:v>ELEC</x:v>
      </x:c>
      <x:c r="D173" s="26" t="str">
        <x:v>Практическая проверка: Солнечная фотоэлектрика и низковольтная автономная система</x:v>
      </x:c>
      <x:c r="E173" s="26" t="str">
        <x:v>SUPERVISED_DEMONSTRATION_ONLY</x:v>
      </x:c>
      <x:c r="F173" s="26" t="str">
        <x:v>Объяснить базовую модель, выполнить допустимую для класса риска проверку и документировать пределы по теме «Солнечная фотоэлектрика и низковольтная автономная система».</x:v>
      </x:c>
      <x:c r="G173" s="26" t="str">
        <x:v>SCI-ELEC-10|SCI-METH-13|право остановить опыт|инструкция оборудования</x:v>
      </x:c>
      <x:c r="H173" s="26" t="str">
        <x:v>TBD_NON_EXECUTABLE: точные item/model/material/range/PPE для V/A/Wh/сигнал должны быть утверждены до начала</x:v>
      </x:c>
      <x:c r="I173" s="26" t="str">
        <x:v>До допуска: обучение и checklist. Затем только под компетентным надзором выполнить безопасную часть: энергетический бюджет; монтаж здания — специалист. Результат и отклонения подписывает supervisor.</x:v>
      </x:c>
      <x:c r="J173" s="26" t="str">
        <x:v>энергетический бюджет; монтаж здания — специалист</x:v>
      </x:c>
      <x:c r="K173" s="26" t="str">
        <x:v>SI или явно названный стандарт</x:v>
      </x:c>
      <x:c r="L173" s="26" t="str">
        <x:v>TBD_BEFORE_EXECUTION_FROM_EXACT_METHOD: диапазон/критерий фиксируется до результата; post-hoc подгонка запрещена.</x:v>
      </x:c>
      <x:c r="M173" s="26" t="str">
        <x:v>сырые данные + фото/скриншот при допустимости + расчёт + uncertainty + подпись reviewer + hash пакета</x:v>
      </x:c>
      <x:c r="N173" s="26" t="n">
        <x:v>1</x:v>
      </x:c>
      <x:c r="O173" s="26" t="str">
        <x:v>TBD_METHOD_SPECIFIC: range/resolution/bias/repeat spread/operator effects утверждаются до execution</x:v>
      </x:c>
      <x:c r="P173" s="26" t="str">
        <x:v>DESIGN_PLACEHOLDER_NOT_EXECUTABLE: item-specific hazard analysis, материалы, энергия, концентрация, СИЗ и отходы ещё не утверждены.</x:v>
      </x:c>
      <x:c r="Q173" s="26" t="str">
        <x:v>BLOCKED_BEFORE_START: до точного method/source review запрещено начинать; после review нужны наблюдаемые численные/событийные stop conditions.</x:v>
      </x:c>
      <x:c r="R173" s="26" t="str">
        <x:v>TBD_ITEM_SPECIFIC_AND_LOCAL: пока маршрут отходов не утверждён, физическое выполнение блокировано.</x:v>
      </x:c>
      <x:c r="S173" s="26" t="str">
        <x:v>S2_TRAINED_SUPERVISED</x:v>
      </x:c>
      <x:c r="T173" s="26" t="str">
        <x:v>Компетентный инструктор/ответственный специалист присутствует и может немедленно остановить работу.</x:v>
      </x:c>
      <x:c r="U173" s="26" t="n">
        <x:v>3</x:v>
      </x:c>
      <x:c r="V173" s="26" t="str">
        <x:v>ANY_SAFE_PERIOD</x:v>
      </x:c>
      <x:c r="W173" s="26" t="str">
        <x:v>records/science/SCI-ELEC-11/YYYY-MM-DD/</x:v>
      </x:c>
      <x:c r="X173" s="26" t="str">
        <x:v>PSP-065|SUP-PHY-035</x:v>
      </x:c>
      <x:c r="Y173" s="26" t="str">
        <x:v>PROVISIONAL_TOPIC_CANDIDATES_NOT_METHOD_REVIEWED</x:v>
      </x:c>
      <x:c r="Z173" s="26" t="str">
        <x:v>BLOCKED_UNTIL_EXACT_METHOD_SOURCE_SAFETY_AND_LOCAL_REVIEW</x:v>
      </x:c>
      <x:c r="AA173" s="26" t="str">
        <x:v>DESIGN_ONLY_NOT_EXECUTED</x:v>
      </x:c>
      <x:c r="AB17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3" s="26" t="str">
        <x:v>0.4</x:v>
      </x:c>
    </x:row>
    <x:row r="174">
      <x:c r="A174" s="53" t="str">
        <x:v>PRJ-171</x:v>
      </x:c>
      <x:c r="B174" s="53" t="str">
        <x:v>SCI-ELEC-12</x:v>
      </x:c>
      <x:c r="C174" s="53" t="str">
        <x:v>ELEC</x:v>
      </x:c>
      <x:c r="D174" s="53" t="str">
        <x:v>Практическая проверка: Батареи, заряд, BMS и пожарный риск</x:v>
      </x:c>
      <x:c r="E174" s="53" t="str">
        <x:v>SUPERVISED_DEMONSTRATION_ONLY</x:v>
      </x:c>
      <x:c r="F174" s="53" t="str">
        <x:v>Объяснить базовую модель, выполнить допустимую для класса риска проверку и документировать пределы по теме «Батареи, заряд, BMS и пожарный риск».</x:v>
      </x:c>
      <x:c r="G174" s="53" t="str">
        <x:v>SCI-ELEC-11|SCI-METH-13|право остановить опыт|инструкция оборудования</x:v>
      </x:c>
      <x:c r="H174" s="53" t="str">
        <x:v>TBD_NON_EXECUTABLE: точные item/model/material/range/PPE для V/A/Wh/сигнал должны быть утверждены до начала</x:v>
      </x:c>
      <x:c r="I174" s="53" t="str">
        <x:v>До допуска: обучение и checklist. Затем только под компетентным надзором выполнить безопасную часть: учёт состояния штатных исправных модулей; разборка запрещена. Результат и отклонения подписывает supervisor.</x:v>
      </x:c>
      <x:c r="J174" s="53" t="str">
        <x:v>учёт состояния штатных исправных модулей; разборка запрещена</x:v>
      </x:c>
      <x:c r="K174" s="53" t="str">
        <x:v>SI или явно названный стандарт</x:v>
      </x:c>
      <x:c r="L174" s="53" t="str">
        <x:v>TBD_BEFORE_EXECUTION_FROM_EXACT_METHOD: диапазон/критерий фиксируется до результата; post-hoc подгонка запрещена.</x:v>
      </x:c>
      <x:c r="M174" s="53" t="str">
        <x:v>сырые данные + фото/скриншот при допустимости + расчёт + uncertainty + подпись reviewer + hash пакета</x:v>
      </x:c>
      <x:c r="N174" s="53" t="n">
        <x:v>1</x:v>
      </x:c>
      <x:c r="O174" s="53" t="str">
        <x:v>TBD_METHOD_SPECIFIC: range/resolution/bias/repeat spread/operator effects утверждаются до execution</x:v>
      </x:c>
      <x:c r="P174" s="53" t="str">
        <x:v>DESIGN_PLACEHOLDER_NOT_EXECUTABLE: item-specific hazard analysis, материалы, энергия, концентрация, СИЗ и отходы ещё не утверждены.</x:v>
      </x:c>
      <x:c r="Q174" s="53" t="str">
        <x:v>BLOCKED_BEFORE_START: до точного method/source review запрещено начинать; после review нужны наблюдаемые численные/событийные stop conditions.</x:v>
      </x:c>
      <x:c r="R174" s="53" t="str">
        <x:v>TBD_ITEM_SPECIFIC_AND_LOCAL: пока маршрут отходов не утверждён, физическое выполнение блокировано.</x:v>
      </x:c>
      <x:c r="S174" s="53" t="str">
        <x:v>S2_TRAINED_SUPERVISED</x:v>
      </x:c>
      <x:c r="T174" s="53" t="str">
        <x:v>Компетентный инструктор/ответственный специалист присутствует и может немедленно остановить работу.</x:v>
      </x:c>
      <x:c r="U174" s="53" t="n">
        <x:v>3</x:v>
      </x:c>
      <x:c r="V174" s="53" t="str">
        <x:v>ANY_SAFE_PERIOD</x:v>
      </x:c>
      <x:c r="W174" s="53" t="str">
        <x:v>records/science/SCI-ELEC-12/YYYY-MM-DD/</x:v>
      </x:c>
      <x:c r="X174" s="53" t="str">
        <x:v>PSP-065|SUP-PHY-035</x:v>
      </x:c>
      <x:c r="Y174" s="53" t="str">
        <x:v>PROVISIONAL_TOPIC_CANDIDATES_NOT_METHOD_REVIEWED</x:v>
      </x:c>
      <x:c r="Z174" s="53" t="str">
        <x:v>BLOCKED_UNTIL_EXACT_METHOD_SOURCE_SAFETY_AND_LOCAL_REVIEW</x:v>
      </x:c>
      <x:c r="AA174" s="53" t="str">
        <x:v>DESIGN_ONLY_NOT_EXECUTED</x:v>
      </x:c>
      <x:c r="AB17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4" s="53" t="str">
        <x:v>0.4</x:v>
      </x:c>
    </x:row>
    <x:row r="175">
      <x:c r="A175" s="26" t="str">
        <x:v>PRJ-172</x:v>
      </x:c>
      <x:c r="B175" s="26" t="str">
        <x:v>SCI-ELEC-13</x:v>
      </x:c>
      <x:c r="C175" s="26" t="str">
        <x:v>ELEC</x:v>
      </x:c>
      <x:c r="D175" s="26" t="str">
        <x:v>Практическая проверка: Энергетический аудит, ватт-часы и управление нагрузкой</x:v>
      </x:c>
      <x:c r="E175" s="26" t="str">
        <x:v>LOW_RISK_BENCH_OR_FIELD</x:v>
      </x:c>
      <x:c r="F175" s="26" t="str">
        <x:v>Объяснить базовую модель, выполнить допустимую для класса риска проверку и документировать пределы по теме «Энергетический аудит, ватт-часы и управление нагрузкой».</x:v>
      </x:c>
      <x:c r="G175" s="26" t="str">
        <x:v>SCI-ELEC-12|SCI-METH-13|право остановить опыт|инструкция оборудования</x:v>
      </x:c>
      <x:c r="H175" s="26" t="str">
        <x:v>TBD_NON_EXECUTABLE: точные item/model/material/range/PPE для V/A/Wh/сигнал должны быть утверждены до начала</x:v>
      </x:c>
      <x:c r="I175" s="26" t="str">
        <x:v>Сформулировать вопрос; записать метод и единицы; выполнить суточный журнал безопасных потребителей; сохранить сырые данные; повторить; оценить неопределённость; сделать ограниченный вывод.</x:v>
      </x:c>
      <x:c r="J175" s="26" t="str">
        <x:v>суточный журнал безопасных потребителей</x:v>
      </x:c>
      <x:c r="K175" s="26" t="str">
        <x:v>SI или явно названный стандарт</x:v>
      </x:c>
      <x:c r="L175" s="26" t="str">
        <x:v>TBD_BEFORE_EXECUTION_FROM_EXACT_METHOD: диапазон/критерий фиксируется до результата; post-hoc подгонка запрещена.</x:v>
      </x:c>
      <x:c r="M175" s="26" t="str">
        <x:v>сырые данные + фото/скриншот при допустимости + расчёт + uncertainty + подпись reviewer + hash пакета</x:v>
      </x:c>
      <x:c r="N175" s="26" t="n">
        <x:v>3</x:v>
      </x:c>
      <x:c r="O175" s="26" t="str">
        <x:v>TBD_METHOD_SPECIFIC: range/resolution/bias/repeat spread/operator effects утверждаются до execution</x:v>
      </x:c>
      <x:c r="P175" s="26" t="str">
        <x:v>DESIGN_PLACEHOLDER_NOT_EXECUTABLE: item-specific hazard analysis, материалы, энергия, концентрация, СИЗ и отходы ещё не утверждены.</x:v>
      </x:c>
      <x:c r="Q175" s="26" t="str">
        <x:v>BLOCKED_BEFORE_START: до точного method/source review запрещено начинать; после review нужны наблюдаемые численные/событийные stop conditions.</x:v>
      </x:c>
      <x:c r="R175" s="26" t="str">
        <x:v>TBD_ITEM_SPECIFIC_AND_LOCAL: пока маршрут отходов не утверждён, физическое выполнение блокировано.</x:v>
      </x:c>
      <x:c r="S175" s="26" t="str">
        <x:v>S1_LOW_RISK_HOUSEHOLD</x:v>
      </x:c>
      <x:c r="T175" s="26" t="str">
        <x:v>S1 допускается только после замены всех DESIGN/TBD полей точным low-risk методом и независимой safety-проверки.</x:v>
      </x:c>
      <x:c r="U175" s="26" t="n">
        <x:v>3</x:v>
      </x:c>
      <x:c r="V175" s="26" t="str">
        <x:v>ANY_SAFE_PERIOD</x:v>
      </x:c>
      <x:c r="W175" s="26" t="str">
        <x:v>records/science/SCI-ELEC-13/YYYY-MM-DD/</x:v>
      </x:c>
      <x:c r="X175" s="26" t="str">
        <x:v>PSP-065|SUP-PHY-035</x:v>
      </x:c>
      <x:c r="Y175" s="26" t="str">
        <x:v>PROVISIONAL_TOPIC_CANDIDATES_NOT_METHOD_REVIEWED</x:v>
      </x:c>
      <x:c r="Z175" s="26" t="str">
        <x:v>BLOCKED_UNTIL_EXACT_METHOD_SOURCE_SAFETY_AND_LOCAL_REVIEW</x:v>
      </x:c>
      <x:c r="AA175" s="26" t="str">
        <x:v>DESIGN_ONLY_NOT_EXECUTED</x:v>
      </x:c>
      <x:c r="AB17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5" s="26" t="str">
        <x:v>0.4</x:v>
      </x:c>
    </x:row>
    <x:row r="176">
      <x:c r="A176" s="53" t="str">
        <x:v>PRJ-173</x:v>
      </x:c>
      <x:c r="B176" s="53" t="str">
        <x:v>SCI-ELEC-14</x:v>
      </x:c>
      <x:c r="C176" s="53" t="str">
        <x:v>ELEC</x:v>
      </x:c>
      <x:c r="D176" s="53" t="str">
        <x:v>Практическая проверка: Сеть 230 В, щит, защита и backfeed</x:v>
      </x:c>
      <x:c r="E176" s="53" t="str">
        <x:v>DATASET_SIMULATION_OR_PRO_OBSERVATION_ONLY</x:v>
      </x:c>
      <x:c r="F176" s="53" t="str">
        <x:v>Объяснить базовую модель, выполнить допустимую для класса риска проверку и документировать пределы по теме «Сеть 230 В, щит, защита и backfeed».</x:v>
      </x:c>
      <x:c r="G176" s="53" t="str">
        <x:v>SCI-ELEC-13|SCI-METH-13|право остановить опыт|инструкция оборудования</x:v>
      </x:c>
      <x:c r="H176" s="53" t="str">
        <x:v>TBD_NON_EXECUTABLE: точные item/model/material/range/PPE для V/A/Wh/сигнал должны быть утверждены до начала</x:v>
      </x:c>
      <x:c r="I176" s="53" t="str">
        <x:v>Не выполнять реальную работу. Разобрать утверждённый отчёт, схему, симуляцию или обезличенный набор данных по теме: только распознавание и отключение; работы — лицензированный специалист. Зафиксировать, когда нужен лицензированный специалист.</x:v>
      </x:c>
      <x:c r="J176" s="53" t="str">
        <x:v>только распознавание и отключение; работы — лицензированный специалист</x:v>
      </x:c>
      <x:c r="K176" s="53" t="str">
        <x:v>SI или явно названный стандарт</x:v>
      </x:c>
      <x:c r="L176" s="53" t="str">
        <x:v>TBD_BEFORE_EXECUTION_FROM_EXACT_METHOD: диапазон/критерий фиксируется до результата; post-hoc подгонка запрещена.</x:v>
      </x:c>
      <x:c r="M176" s="53" t="str">
        <x:v>сырые данные + фото/скриншот при допустимости + расчёт + uncertainty + подпись reviewer + hash пакета</x:v>
      </x:c>
      <x:c r="N176" s="53" t="n">
        <x:v>1</x:v>
      </x:c>
      <x:c r="O176" s="53" t="str">
        <x:v>TBD_METHOD_SPECIFIC: range/resolution/bias/repeat spread/operator effects утверждаются до execution</x:v>
      </x:c>
      <x:c r="P176" s="53" t="str">
        <x:v>Самовольная работа может привести к пожару, поражению током, обрушению, утечке, травме или нарушению закона.</x:v>
      </x:c>
      <x:c r="Q176" s="53" t="str">
        <x:v>STOP до любого физического вмешательства; только лицензированный специалист с действующим scope и площадкой.</x:v>
      </x:c>
      <x:c r="R176" s="53" t="str">
        <x:v>TBD_ITEM_SPECIFIC_AND_LOCAL: пока маршрут отходов не утверждён, физическое выполнение блокировано.</x:v>
      </x:c>
      <x:c r="S176" s="53" t="str">
        <x:v>S3_LICENSED_PROFESSIONAL</x:v>
      </x:c>
      <x:c r="T176" s="53" t="str">
        <x:v>Лицензированный специалист для любой реальной работы; учебный анализ может быть самостоятельным.</x:v>
      </x:c>
      <x:c r="U176" s="53" t="n">
        <x:v>2</x:v>
      </x:c>
      <x:c r="V176" s="53" t="str">
        <x:v>ANY_SAFE_PERIOD</x:v>
      </x:c>
      <x:c r="W176" s="53" t="str">
        <x:v>records/science/SCI-ELEC-14/YYYY-MM-DD/</x:v>
      </x:c>
      <x:c r="X176" s="53" t="str">
        <x:v>PSP-093|PSP-118</x:v>
      </x:c>
      <x:c r="Y176" s="53" t="str">
        <x:v>PROVISIONAL_TOPIC_CANDIDATES_NOT_METHOD_REVIEWED</x:v>
      </x:c>
      <x:c r="Z176" s="53" t="str">
        <x:v>BLOCKED_UNTIL_EXACT_METHOD_SOURCE_SAFETY_AND_LOCAL_REVIEW</x:v>
      </x:c>
      <x:c r="AA176" s="53" t="str">
        <x:v>DESIGN_ONLY_NOT_EXECUTED</x:v>
      </x:c>
      <x:c r="AB17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6" s="53" t="str">
        <x:v>0.4</x:v>
      </x:c>
    </x:row>
    <x:row r="177">
      <x:c r="A177" s="26" t="str">
        <x:v>PRJ-174</x:v>
      </x:c>
      <x:c r="B177" s="26" t="str">
        <x:v>SCI-ELEC-15</x:v>
      </x:c>
      <x:c r="C177" s="26" t="str">
        <x:v>ELEC</x:v>
      </x:c>
      <x:c r="D177" s="26" t="str">
        <x:v>Практическая проверка: Заземление, молниезащита и EMC</x:v>
      </x:c>
      <x:c r="E177" s="26" t="str">
        <x:v>DATASET_SIMULATION_OR_PRO_OBSERVATION_ONLY</x:v>
      </x:c>
      <x:c r="F177" s="26" t="str">
        <x:v>Объяснить базовую модель, выполнить допустимую для класса риска проверку и документировать пределы по теме «Заземление, молниезащита и EMC».</x:v>
      </x:c>
      <x:c r="G177" s="26" t="str">
        <x:v>SCI-ELEC-14|SCI-METH-13|право остановить опыт|инструкция оборудования</x:v>
      </x:c>
      <x:c r="H177" s="26" t="str">
        <x:v>TBD_NON_EXECUTABLE: точные item/model/material/range/PPE для V/A/Wh/сигнал должны быть утверждены до начала</x:v>
      </x:c>
      <x:c r="I177" s="26" t="str">
        <x:v>Не выполнять реальную работу. Разобрать утверждённый отчёт, схему, симуляцию или обезличенный набор данных по теме: чтение проекта/отчёта; измерения установки — специалист. Зафиксировать, когда нужен лицензированный специалист.</x:v>
      </x:c>
      <x:c r="J177" s="26" t="str">
        <x:v>чтение проекта/отчёта; измерения установки — специалист</x:v>
      </x:c>
      <x:c r="K177" s="26" t="str">
        <x:v>SI или явно названный стандарт</x:v>
      </x:c>
      <x:c r="L177" s="26" t="str">
        <x:v>TBD_BEFORE_EXECUTION_FROM_EXACT_METHOD: диапазон/критерий фиксируется до результата; post-hoc подгонка запрещена.</x:v>
      </x:c>
      <x:c r="M177" s="26" t="str">
        <x:v>сырые данные + фото/скриншот при допустимости + расчёт + uncertainty + подпись reviewer + hash пакета</x:v>
      </x:c>
      <x:c r="N177" s="26" t="n">
        <x:v>1</x:v>
      </x:c>
      <x:c r="O177" s="26" t="str">
        <x:v>TBD_METHOD_SPECIFIC: range/resolution/bias/repeat spread/operator effects утверждаются до execution</x:v>
      </x:c>
      <x:c r="P177" s="26" t="str">
        <x:v>Самовольная работа может привести к пожару, поражению током, обрушению, утечке, травме или нарушению закона.</x:v>
      </x:c>
      <x:c r="Q177" s="26" t="str">
        <x:v>STOP до любого физического вмешательства; только лицензированный специалист с действующим scope и площадкой.</x:v>
      </x:c>
      <x:c r="R177" s="26" t="str">
        <x:v>TBD_ITEM_SPECIFIC_AND_LOCAL: пока маршрут отходов не утверждён, физическое выполнение блокировано.</x:v>
      </x:c>
      <x:c r="S177" s="26" t="str">
        <x:v>S3_LICENSED_PROFESSIONAL</x:v>
      </x:c>
      <x:c r="T177" s="26" t="str">
        <x:v>Лицензированный специалист для любой реальной работы; учебный анализ может быть самостоятельным.</x:v>
      </x:c>
      <x:c r="U177" s="26" t="n">
        <x:v>2</x:v>
      </x:c>
      <x:c r="V177" s="26" t="str">
        <x:v>ANY_SAFE_PERIOD</x:v>
      </x:c>
      <x:c r="W177" s="26" t="str">
        <x:v>records/science/SCI-ELEC-15/YYYY-MM-DD/</x:v>
      </x:c>
      <x:c r="X177" s="26" t="str">
        <x:v>PSP-093|PSP-118</x:v>
      </x:c>
      <x:c r="Y177" s="26" t="str">
        <x:v>PROVISIONAL_TOPIC_CANDIDATES_NOT_METHOD_REVIEWED</x:v>
      </x:c>
      <x:c r="Z177" s="26" t="str">
        <x:v>BLOCKED_UNTIL_EXACT_METHOD_SOURCE_SAFETY_AND_LOCAL_REVIEW</x:v>
      </x:c>
      <x:c r="AA177" s="26" t="str">
        <x:v>DESIGN_ONLY_NOT_EXECUTED</x:v>
      </x:c>
      <x:c r="AB17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7" s="26" t="str">
        <x:v>0.4</x:v>
      </x:c>
    </x:row>
    <x:row r="178">
      <x:c r="A178" s="53" t="str">
        <x:v>PRJ-175</x:v>
      </x:c>
      <x:c r="B178" s="53" t="str">
        <x:v>SCI-ELEC-16</x:v>
      </x:c>
      <x:c r="C178" s="53" t="str">
        <x:v>ELEC</x:v>
      </x:c>
      <x:c r="D178" s="53" t="str">
        <x:v>Практическая проверка: Радиосвязь, спектр и антенны</x:v>
      </x:c>
      <x:c r="E178" s="53" t="str">
        <x:v>SUPERVISED_DEMONSTRATION_ONLY</x:v>
      </x:c>
      <x:c r="F178" s="53" t="str">
        <x:v>Объяснить базовую модель, выполнить допустимую для класса риска проверку и документировать пределы по теме «Радиосвязь, спектр и антенны».</x:v>
      </x:c>
      <x:c r="G178" s="53" t="str">
        <x:v>SCI-ELEC-15|SCI-METH-13|право остановить опыт|инструкция оборудования</x:v>
      </x:c>
      <x:c r="H178" s="53" t="str">
        <x:v>TBD_NON_EXECUTABLE: точные item/model/material/range/PPE для V/A/Wh/сигнал должны быть утверждены до начала</x:v>
      </x:c>
      <x:c r="I178" s="53" t="str">
        <x:v>До допуска: обучение и checklist. Затем только под компетентным надзором выполнить безопасную часть: приём/учебный расчёт; передача только законно и в пределах допуска. Результат и отклонения подписывает supervisor.</x:v>
      </x:c>
      <x:c r="J178" s="53" t="str">
        <x:v>приём/учебный расчёт; передача только законно и в пределах допуска</x:v>
      </x:c>
      <x:c r="K178" s="53" t="str">
        <x:v>SI или явно названный стандарт</x:v>
      </x:c>
      <x:c r="L178" s="53" t="str">
        <x:v>TBD_BEFORE_EXECUTION_FROM_EXACT_METHOD: диапазон/критерий фиксируется до результата; post-hoc подгонка запрещена.</x:v>
      </x:c>
      <x:c r="M178" s="53" t="str">
        <x:v>сырые данные + фото/скриншот при допустимости + расчёт + uncertainty + подпись reviewer + hash пакета</x:v>
      </x:c>
      <x:c r="N178" s="53" t="n">
        <x:v>1</x:v>
      </x:c>
      <x:c r="O178" s="53" t="str">
        <x:v>TBD_METHOD_SPECIFIC: range/resolution/bias/repeat spread/operator effects утверждаются до execution</x:v>
      </x:c>
      <x:c r="P178" s="53" t="str">
        <x:v>DESIGN_PLACEHOLDER_NOT_EXECUTABLE: item-specific hazard analysis, материалы, энергия, концентрация, СИЗ и отходы ещё не утверждены.</x:v>
      </x:c>
      <x:c r="Q178" s="53" t="str">
        <x:v>BLOCKED_BEFORE_START: до точного method/source review запрещено начинать; после review нужны наблюдаемые численные/событийные stop conditions.</x:v>
      </x:c>
      <x:c r="R178" s="53" t="str">
        <x:v>TBD_ITEM_SPECIFIC_AND_LOCAL: пока маршрут отходов не утверждён, физическое выполнение блокировано.</x:v>
      </x:c>
      <x:c r="S178" s="53" t="str">
        <x:v>S2_TRAINED_SUPERVISED</x:v>
      </x:c>
      <x:c r="T178" s="53" t="str">
        <x:v>Компетентный инструктор/ответственный специалист присутствует и может немедленно остановить работу.</x:v>
      </x:c>
      <x:c r="U178" s="53" t="n">
        <x:v>3</x:v>
      </x:c>
      <x:c r="V178" s="53" t="str">
        <x:v>ANY_SAFE_PERIOD</x:v>
      </x:c>
      <x:c r="W178" s="53" t="str">
        <x:v>records/science/SCI-ELEC-16/YYYY-MM-DD/</x:v>
      </x:c>
      <x:c r="X178" s="53" t="str">
        <x:v>PSP-081|PSP-118</x:v>
      </x:c>
      <x:c r="Y178" s="53" t="str">
        <x:v>PROVISIONAL_TOPIC_CANDIDATES_NOT_METHOD_REVIEWED</x:v>
      </x:c>
      <x:c r="Z178" s="53" t="str">
        <x:v>BLOCKED_UNTIL_EXACT_METHOD_SOURCE_SAFETY_AND_LOCAL_REVIEW</x:v>
      </x:c>
      <x:c r="AA178" s="53" t="str">
        <x:v>DESIGN_ONLY_NOT_EXECUTED</x:v>
      </x:c>
      <x:c r="AB17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8" s="53" t="str">
        <x:v>0.4</x:v>
      </x:c>
    </x:row>
    <x:row r="179">
      <x:c r="A179" s="26" t="str">
        <x:v>PRJ-176</x:v>
      </x:c>
      <x:c r="B179" s="26" t="str">
        <x:v>SCI-ELEC-17</x:v>
      </x:c>
      <x:c r="C179" s="26" t="str">
        <x:v>ELEC</x:v>
      </x:c>
      <x:c r="D179" s="26" t="str">
        <x:v>Практическая проверка: Проводная/беспроводная связь и PACE</x:v>
      </x:c>
      <x:c r="E179" s="26" t="str">
        <x:v>LOW_RISK_BENCH_OR_FIELD</x:v>
      </x:c>
      <x:c r="F179" s="26" t="str">
        <x:v>Объяснить базовую модель, выполнить допустимую для класса риска проверку и документировать пределы по теме «Проводная/беспроводная связь и PACE».</x:v>
      </x:c>
      <x:c r="G179" s="26" t="str">
        <x:v>SCI-ELEC-16|SCI-METH-13|право остановить опыт|инструкция оборудования</x:v>
      </x:c>
      <x:c r="H179" s="26" t="str">
        <x:v>TBD_NON_EXECUTABLE: точные item/model/material/range/PPE для V/A/Wh/сигнал должны быть утверждены до начала</x:v>
      </x:c>
      <x:c r="I179" s="26" t="str">
        <x:v>Сформулировать вопрос; записать метод и единицы; выполнить тест независимых каналов без нарушения спектральных правил; сохранить сырые данные; повторить; оценить неопределённость; сделать ограниченный вывод.</x:v>
      </x:c>
      <x:c r="J179" s="26" t="str">
        <x:v>тест независимых каналов без нарушения спектральных правил</x:v>
      </x:c>
      <x:c r="K179" s="26" t="str">
        <x:v>SI или явно названный стандарт</x:v>
      </x:c>
      <x:c r="L179" s="26" t="str">
        <x:v>TBD_BEFORE_EXECUTION_FROM_EXACT_METHOD: диапазон/критерий фиксируется до результата; post-hoc подгонка запрещена.</x:v>
      </x:c>
      <x:c r="M179" s="26" t="str">
        <x:v>сырые данные + фото/скриншот при допустимости + расчёт + uncertainty + подпись reviewer + hash пакета</x:v>
      </x:c>
      <x:c r="N179" s="26" t="n">
        <x:v>3</x:v>
      </x:c>
      <x:c r="O179" s="26" t="str">
        <x:v>TBD_METHOD_SPECIFIC: range/resolution/bias/repeat spread/operator effects утверждаются до execution</x:v>
      </x:c>
      <x:c r="P179" s="26" t="str">
        <x:v>DESIGN_PLACEHOLDER_NOT_EXECUTABLE: item-specific hazard analysis, материалы, энергия, концентрация, СИЗ и отходы ещё не утверждены.</x:v>
      </x:c>
      <x:c r="Q179" s="26" t="str">
        <x:v>BLOCKED_BEFORE_START: до точного method/source review запрещено начинать; после review нужны наблюдаемые численные/событийные stop conditions.</x:v>
      </x:c>
      <x:c r="R179" s="26" t="str">
        <x:v>TBD_ITEM_SPECIFIC_AND_LOCAL: пока маршрут отходов не утверждён, физическое выполнение блокировано.</x:v>
      </x:c>
      <x:c r="S179" s="26" t="str">
        <x:v>S1_LOW_RISK_HOUSEHOLD</x:v>
      </x:c>
      <x:c r="T179" s="26" t="str">
        <x:v>S1 допускается только после замены всех DESIGN/TBD полей точным low-risk методом и независимой safety-проверки.</x:v>
      </x:c>
      <x:c r="U179" s="26" t="n">
        <x:v>3</x:v>
      </x:c>
      <x:c r="V179" s="26" t="str">
        <x:v>ANY_SAFE_PERIOD</x:v>
      </x:c>
      <x:c r="W179" s="26" t="str">
        <x:v>records/science/SCI-ELEC-17/YYYY-MM-DD/</x:v>
      </x:c>
      <x:c r="X179" s="26" t="str">
        <x:v>PSP-081|PSP-118</x:v>
      </x:c>
      <x:c r="Y179" s="26" t="str">
        <x:v>PROVISIONAL_TOPIC_CANDIDATES_NOT_METHOD_REVIEWED</x:v>
      </x:c>
      <x:c r="Z179" s="26" t="str">
        <x:v>BLOCKED_UNTIL_EXACT_METHOD_SOURCE_SAFETY_AND_LOCAL_REVIEW</x:v>
      </x:c>
      <x:c r="AA179" s="26" t="str">
        <x:v>DESIGN_ONLY_NOT_EXECUTED</x:v>
      </x:c>
      <x:c r="AB17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79" s="26" t="str">
        <x:v>0.4</x:v>
      </x:c>
    </x:row>
    <x:row r="180">
      <x:c r="A180" s="53" t="str">
        <x:v>PRJ-177</x:v>
      </x:c>
      <x:c r="B180" s="53" t="str">
        <x:v>SCI-COMP-01</x:v>
      </x:c>
      <x:c r="C180" s="53" t="str">
        <x:v>COMP</x:v>
      </x:c>
      <x:c r="D180" s="53" t="str">
        <x:v>Практическая проверка: Архитектура компьютера и представление данных</x:v>
      </x:c>
      <x:c r="E180" s="53" t="str">
        <x:v>OBSERVATION_DATA_OR_CALCULATION</x:v>
      </x:c>
      <x:c r="F180" s="53" t="str">
        <x:v>Объяснить базовую модель, выполнить допустимую для класса риска проверку и документировать пределы по теме «Архитектура компьютера и представление данных».</x:v>
      </x:c>
      <x:c r="G180" s="53" t="str">
        <x:v>SCI-METH-01|SCI-METH-07|SCI-METH-14|право остановить опыт|инструкция оборудования</x:v>
      </x:c>
      <x:c r="H180" s="53" t="str">
        <x:v>TBD_NON_EXECUTABLE: точные item/model/material/range/PPE для воспроизводимый файл/тест должны быть утверждены до начала</x:v>
      </x:c>
      <x:c r="I180" s="53" t="str">
        <x:v>Сформулировать вопрос; записать метод и единицы; выполнить разбор пути данные–память–процессор–вывод; сохранить сырые данные; повторить; оценить неопределённость; сделать ограниченный вывод.</x:v>
      </x:c>
      <x:c r="J180" s="53" t="str">
        <x:v>разбор пути данные–память–процессор–вывод</x:v>
      </x:c>
      <x:c r="K180" s="53" t="str">
        <x:v>SI или явно названный стандарт</x:v>
      </x:c>
      <x:c r="L180" s="53" t="str">
        <x:v>TBD_BEFORE_EXECUTION_FROM_EXACT_METHOD: диапазон/критерий фиксируется до результата; post-hoc подгонка запрещена.</x:v>
      </x:c>
      <x:c r="M180" s="53" t="str">
        <x:v>сырые данные + фото/скриншот при допустимости + расчёт + uncertainty + подпись reviewer + hash пакета</x:v>
      </x:c>
      <x:c r="N180" s="53" t="n">
        <x:v>2</x:v>
      </x:c>
      <x:c r="O180" s="53" t="str">
        <x:v>TBD_METHOD_SPECIFIC: range/resolution/bias/repeat spread/operator effects утверждаются до execution</x:v>
      </x:c>
      <x:c r="P18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0" s="53" t="str">
        <x:v>STOP при неясных правах, происхождении данных, этическом конфликте или невозможности сохранить исходные данные.</x:v>
      </x:c>
      <x:c r="R180" s="53" t="str">
        <x:v>TBD_ITEM_SPECIFIC_AND_LOCAL: пока маршрут отходов не утверждён, физическое выполнение блокировано.</x:v>
      </x:c>
      <x:c r="S180" s="53" t="str">
        <x:v>S0_OBSERVE_READ</x:v>
      </x:c>
      <x:c r="T180" s="53" t="str">
        <x:v>Самостоятельно после проверки источника; опасное действие из текста не выполняется.</x:v>
      </x:c>
      <x:c r="U180" s="53" t="n">
        <x:v>3</x:v>
      </x:c>
      <x:c r="V180" s="53" t="str">
        <x:v>ANY_SAFE_PERIOD</x:v>
      </x:c>
      <x:c r="W180" s="53" t="str">
        <x:v>records/science/SCI-COMP-01/YYYY-MM-DD/</x:v>
      </x:c>
      <x:c r="X180" s="53" t="str">
        <x:v>PSP-020|PSP-071</x:v>
      </x:c>
      <x:c r="Y180" s="53" t="str">
        <x:v>PROVISIONAL_TOPIC_CANDIDATES_NOT_METHOD_REVIEWED</x:v>
      </x:c>
      <x:c r="Z180" s="53" t="str">
        <x:v>BLOCKED_UNTIL_EXACT_METHOD_SOURCE_SAFETY_AND_LOCAL_REVIEW</x:v>
      </x:c>
      <x:c r="AA180" s="53" t="str">
        <x:v>DESIGN_ONLY_NOT_EXECUTED</x:v>
      </x:c>
      <x:c r="AB18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0" s="53" t="str">
        <x:v>0.4</x:v>
      </x:c>
    </x:row>
    <x:row r="181">
      <x:c r="A181" s="26" t="str">
        <x:v>PRJ-178</x:v>
      </x:c>
      <x:c r="B181" s="26" t="str">
        <x:v>SCI-COMP-02</x:v>
      </x:c>
      <x:c r="C181" s="26" t="str">
        <x:v>COMP</x:v>
      </x:c>
      <x:c r="D181" s="26" t="str">
        <x:v>Практическая проверка: Операционные системы и Linux</x:v>
      </x:c>
      <x:c r="E181" s="26" t="str">
        <x:v>OBSERVATION_DATA_OR_CALCULATION</x:v>
      </x:c>
      <x:c r="F181" s="26" t="str">
        <x:v>Объяснить базовую модель, выполнить допустимую для класса риска проверку и документировать пределы по теме «Операционные системы и Linux».</x:v>
      </x:c>
      <x:c r="G181" s="26" t="str">
        <x:v>SCI-COMP-01|SCI-METH-13|право остановить опыт|инструкция оборудования</x:v>
      </x:c>
      <x:c r="H181" s="26" t="str">
        <x:v>TBD_NON_EXECUTABLE: точные item/model/material/range/PPE для воспроизводимый файл/тест должны быть утверждены до начала</x:v>
      </x:c>
      <x:c r="I181" s="26" t="str">
        <x:v>Сформулировать вопрос; записать метод и единицы; выполнить установка в изолированную виртуальную машину; сохранить сырые данные; повторить; оценить неопределённость; сделать ограниченный вывод.</x:v>
      </x:c>
      <x:c r="J181" s="26" t="str">
        <x:v>установка в изолированную виртуальную машину</x:v>
      </x:c>
      <x:c r="K181" s="26" t="str">
        <x:v>SI или явно названный стандарт</x:v>
      </x:c>
      <x:c r="L181" s="26" t="str">
        <x:v>TBD_BEFORE_EXECUTION_FROM_EXACT_METHOD: диапазон/критерий фиксируется до результата; post-hoc подгонка запрещена.</x:v>
      </x:c>
      <x:c r="M181" s="26" t="str">
        <x:v>сырые данные + фото/скриншот при допустимости + расчёт + uncertainty + подпись reviewer + hash пакета</x:v>
      </x:c>
      <x:c r="N181" s="26" t="n">
        <x:v>2</x:v>
      </x:c>
      <x:c r="O181" s="26" t="str">
        <x:v>TBD_METHOD_SPECIFIC: range/resolution/bias/repeat spread/operator effects утверждаются до execution</x:v>
      </x:c>
      <x:c r="P18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1" s="26" t="str">
        <x:v>STOP при неясных правах, происхождении данных, этическом конфликте или невозможности сохранить исходные данные.</x:v>
      </x:c>
      <x:c r="R181" s="26" t="str">
        <x:v>TBD_ITEM_SPECIFIC_AND_LOCAL: пока маршрут отходов не утверждён, физическое выполнение блокировано.</x:v>
      </x:c>
      <x:c r="S181" s="26" t="str">
        <x:v>S0_OBSERVE_READ</x:v>
      </x:c>
      <x:c r="T181" s="26" t="str">
        <x:v>Самостоятельно после проверки источника; опасное действие из текста не выполняется.</x:v>
      </x:c>
      <x:c r="U181" s="26" t="n">
        <x:v>3</x:v>
      </x:c>
      <x:c r="V181" s="26" t="str">
        <x:v>ANY_SAFE_PERIOD</x:v>
      </x:c>
      <x:c r="W181" s="26" t="str">
        <x:v>records/science/SCI-COMP-02/YYYY-MM-DD/</x:v>
      </x:c>
      <x:c r="X181" s="26" t="str">
        <x:v>PSP-071|PSP-075</x:v>
      </x:c>
      <x:c r="Y181" s="26" t="str">
        <x:v>PROVISIONAL_TOPIC_CANDIDATES_NOT_METHOD_REVIEWED</x:v>
      </x:c>
      <x:c r="Z181" s="26" t="str">
        <x:v>BLOCKED_UNTIL_EXACT_METHOD_SOURCE_SAFETY_AND_LOCAL_REVIEW</x:v>
      </x:c>
      <x:c r="AA181" s="26" t="str">
        <x:v>DESIGN_ONLY_NOT_EXECUTED</x:v>
      </x:c>
      <x:c r="AB18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1" s="26" t="str">
        <x:v>0.4</x:v>
      </x:c>
    </x:row>
    <x:row r="182">
      <x:c r="A182" s="53" t="str">
        <x:v>PRJ-179</x:v>
      </x:c>
      <x:c r="B182" s="53" t="str">
        <x:v>SCI-COMP-03</x:v>
      </x:c>
      <x:c r="C182" s="53" t="str">
        <x:v>COMP</x:v>
      </x:c>
      <x:c r="D182" s="53" t="str">
        <x:v>Практическая проверка: Файловые системы, права и контроль целостности</x:v>
      </x:c>
      <x:c r="E182" s="53" t="str">
        <x:v>OBSERVATION_DATA_OR_CALCULATION</x:v>
      </x:c>
      <x:c r="F182" s="53" t="str">
        <x:v>Объяснить базовую модель, выполнить допустимую для класса риска проверку и документировать пределы по теме «Файловые системы, права и контроль целостности».</x:v>
      </x:c>
      <x:c r="G182" s="53" t="str">
        <x:v>SCI-COMP-02|SCI-METH-13|право остановить опыт|инструкция оборудования</x:v>
      </x:c>
      <x:c r="H182" s="53" t="str">
        <x:v>TBD_NON_EXECUTABLE: точные item/model/material/range/PPE для воспроизводимый файл/тест должны быть утверждены до начала</x:v>
      </x:c>
      <x:c r="I182" s="53" t="str">
        <x:v>Сформулировать вопрос; записать метод и единицы; выполнить создание/проверка hash и тест восстановления; сохранить сырые данные; повторить; оценить неопределённость; сделать ограниченный вывод.</x:v>
      </x:c>
      <x:c r="J182" s="53" t="str">
        <x:v>создание/проверка hash и тест восстановления</x:v>
      </x:c>
      <x:c r="K182" s="53" t="str">
        <x:v>SI или явно названный стандарт</x:v>
      </x:c>
      <x:c r="L182" s="53" t="str">
        <x:v>TBD_BEFORE_EXECUTION_FROM_EXACT_METHOD: диапазон/критерий фиксируется до результата; post-hoc подгонка запрещена.</x:v>
      </x:c>
      <x:c r="M182" s="53" t="str">
        <x:v>сырые данные + фото/скриншот при допустимости + расчёт + uncertainty + подпись reviewer + hash пакета</x:v>
      </x:c>
      <x:c r="N182" s="53" t="n">
        <x:v>2</x:v>
      </x:c>
      <x:c r="O182" s="53" t="str">
        <x:v>TBD_METHOD_SPECIFIC: range/resolution/bias/repeat spread/operator effects утверждаются до execution</x:v>
      </x:c>
      <x:c r="P18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2" s="53" t="str">
        <x:v>STOP при неясных правах, происхождении данных, этическом конфликте или невозможности сохранить исходные данные.</x:v>
      </x:c>
      <x:c r="R182" s="53" t="str">
        <x:v>TBD_ITEM_SPECIFIC_AND_LOCAL: пока маршрут отходов не утверждён, физическое выполнение блокировано.</x:v>
      </x:c>
      <x:c r="S182" s="53" t="str">
        <x:v>S0_OBSERVE_READ</x:v>
      </x:c>
      <x:c r="T182" s="53" t="str">
        <x:v>Самостоятельно после проверки источника; опасное действие из текста не выполняется.</x:v>
      </x:c>
      <x:c r="U182" s="53" t="n">
        <x:v>3</x:v>
      </x:c>
      <x:c r="V182" s="53" t="str">
        <x:v>ANY_SAFE_PERIOD</x:v>
      </x:c>
      <x:c r="W182" s="53" t="str">
        <x:v>records/science/SCI-COMP-03/YYYY-MM-DD/</x:v>
      </x:c>
      <x:c r="X182" s="53" t="str">
        <x:v>PSP-071|PSP-120</x:v>
      </x:c>
      <x:c r="Y182" s="53" t="str">
        <x:v>PROVISIONAL_TOPIC_CANDIDATES_NOT_METHOD_REVIEWED</x:v>
      </x:c>
      <x:c r="Z182" s="53" t="str">
        <x:v>BLOCKED_UNTIL_EXACT_METHOD_SOURCE_SAFETY_AND_LOCAL_REVIEW</x:v>
      </x:c>
      <x:c r="AA182" s="53" t="str">
        <x:v>DESIGN_ONLY_NOT_EXECUTED</x:v>
      </x:c>
      <x:c r="AB18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2" s="53" t="str">
        <x:v>0.4</x:v>
      </x:c>
    </x:row>
    <x:row r="183">
      <x:c r="A183" s="26" t="str">
        <x:v>PRJ-180</x:v>
      </x:c>
      <x:c r="B183" s="26" t="str">
        <x:v>SCI-COMP-04</x:v>
      </x:c>
      <x:c r="C183" s="26" t="str">
        <x:v>COMP</x:v>
      </x:c>
      <x:c r="D183" s="26" t="str">
        <x:v>Практическая проверка: Командная строка и автоматизация</x:v>
      </x:c>
      <x:c r="E183" s="26" t="str">
        <x:v>OBSERVATION_DATA_OR_CALCULATION</x:v>
      </x:c>
      <x:c r="F183" s="26" t="str">
        <x:v>Объяснить базовую модель, выполнить допустимую для класса риска проверку и документировать пределы по теме «Командная строка и автоматизация».</x:v>
      </x:c>
      <x:c r="G183" s="26" t="str">
        <x:v>SCI-COMP-03|SCI-METH-13|право остановить опыт|инструкция оборудования</x:v>
      </x:c>
      <x:c r="H183" s="26" t="str">
        <x:v>TBD_NON_EXECUTABLE: точные item/model/material/range/PPE для воспроизводимый файл/тест должны быть утверждены до начала</x:v>
      </x:c>
      <x:c r="I183" s="26" t="str">
        <x:v>Сформулировать вопрос; записать метод и единицы; выполнить идемпотентный безопасный скрипт в тестовом каталоге; сохранить сырые данные; повторить; оценить неопределённость; сделать ограниченный вывод.</x:v>
      </x:c>
      <x:c r="J183" s="26" t="str">
        <x:v>идемпотентный безопасный скрипт в тестовом каталоге</x:v>
      </x:c>
      <x:c r="K183" s="26" t="str">
        <x:v>SI или явно названный стандарт</x:v>
      </x:c>
      <x:c r="L183" s="26" t="str">
        <x:v>TBD_BEFORE_EXECUTION_FROM_EXACT_METHOD: диапазон/критерий фиксируется до результата; post-hoc подгонка запрещена.</x:v>
      </x:c>
      <x:c r="M183" s="26" t="str">
        <x:v>сырые данные + фото/скриншот при допустимости + расчёт + uncertainty + подпись reviewer + hash пакета</x:v>
      </x:c>
      <x:c r="N183" s="26" t="n">
        <x:v>2</x:v>
      </x:c>
      <x:c r="O183" s="26" t="str">
        <x:v>TBD_METHOD_SPECIFIC: range/resolution/bias/repeat spread/operator effects утверждаются до execution</x:v>
      </x:c>
      <x:c r="P18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3" s="26" t="str">
        <x:v>STOP при неясных правах, происхождении данных, этическом конфликте или невозможности сохранить исходные данные.</x:v>
      </x:c>
      <x:c r="R183" s="26" t="str">
        <x:v>TBD_ITEM_SPECIFIC_AND_LOCAL: пока маршрут отходов не утверждён, физическое выполнение блокировано.</x:v>
      </x:c>
      <x:c r="S183" s="26" t="str">
        <x:v>S0_OBSERVE_READ</x:v>
      </x:c>
      <x:c r="T183" s="26" t="str">
        <x:v>Самостоятельно после проверки источника; опасное действие из текста не выполняется.</x:v>
      </x:c>
      <x:c r="U183" s="26" t="n">
        <x:v>3</x:v>
      </x:c>
      <x:c r="V183" s="26" t="str">
        <x:v>ANY_SAFE_PERIOD</x:v>
      </x:c>
      <x:c r="W183" s="26" t="str">
        <x:v>records/science/SCI-COMP-04/YYYY-MM-DD/</x:v>
      </x:c>
      <x:c r="X183" s="26" t="str">
        <x:v>PSP-074|PSP-073</x:v>
      </x:c>
      <x:c r="Y183" s="26" t="str">
        <x:v>PROVISIONAL_TOPIC_CANDIDATES_NOT_METHOD_REVIEWED</x:v>
      </x:c>
      <x:c r="Z183" s="26" t="str">
        <x:v>BLOCKED_UNTIL_EXACT_METHOD_SOURCE_SAFETY_AND_LOCAL_REVIEW</x:v>
      </x:c>
      <x:c r="AA183" s="26" t="str">
        <x:v>DESIGN_ONLY_NOT_EXECUTED</x:v>
      </x:c>
      <x:c r="AB18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3" s="26" t="str">
        <x:v>0.4</x:v>
      </x:c>
    </x:row>
    <x:row r="184">
      <x:c r="A184" s="53" t="str">
        <x:v>PRJ-181</x:v>
      </x:c>
      <x:c r="B184" s="53" t="str">
        <x:v>SCI-COMP-05</x:v>
      </x:c>
      <x:c r="C184" s="53" t="str">
        <x:v>COMP</x:v>
      </x:c>
      <x:c r="D184" s="53" t="str">
        <x:v>Практическая проверка: Python и воспроизводимый анализ</x:v>
      </x:c>
      <x:c r="E184" s="53" t="str">
        <x:v>OBSERVATION_DATA_OR_CALCULATION</x:v>
      </x:c>
      <x:c r="F184" s="53" t="str">
        <x:v>Объяснить базовую модель, выполнить допустимую для класса риска проверку и документировать пределы по теме «Python и воспроизводимый анализ».</x:v>
      </x:c>
      <x:c r="G184" s="53" t="str">
        <x:v>SCI-COMP-04|SCI-METH-13|право остановить опыт|инструкция оборудования</x:v>
      </x:c>
      <x:c r="H184" s="53" t="str">
        <x:v>TBD_NON_EXECUTABLE: точные item/model/material/range/PPE для воспроизводимый файл/тест должны быть утверждены до начала</x:v>
      </x:c>
      <x:c r="I184" s="53" t="str">
        <x:v>Сформулировать вопрос; записать метод и единицы; выполнить скрипт читает CSV, считает результат и сохраняет версию; сохранить сырые данные; повторить; оценить неопределённость; сделать ограниченный вывод.</x:v>
      </x:c>
      <x:c r="J184" s="53" t="str">
        <x:v>скрипт читает CSV, считает результат и сохраняет версию</x:v>
      </x:c>
      <x:c r="K184" s="53" t="str">
        <x:v>SI или явно названный стандарт</x:v>
      </x:c>
      <x:c r="L184" s="53" t="str">
        <x:v>TBD_BEFORE_EXECUTION_FROM_EXACT_METHOD: диапазон/критерий фиксируется до результата; post-hoc подгонка запрещена.</x:v>
      </x:c>
      <x:c r="M184" s="53" t="str">
        <x:v>сырые данные + фото/скриншот при допустимости + расчёт + uncertainty + подпись reviewer + hash пакета</x:v>
      </x:c>
      <x:c r="N184" s="53" t="n">
        <x:v>2</x:v>
      </x:c>
      <x:c r="O184" s="53" t="str">
        <x:v>TBD_METHOD_SPECIFIC: range/resolution/bias/repeat spread/operator effects утверждаются до execution</x:v>
      </x:c>
      <x:c r="P18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4" s="53" t="str">
        <x:v>STOP при неясных правах, происхождении данных, этическом конфликте или невозможности сохранить исходные данные.</x:v>
      </x:c>
      <x:c r="R184" s="53" t="str">
        <x:v>TBD_ITEM_SPECIFIC_AND_LOCAL: пока маршрут отходов не утверждён, физическое выполнение блокировано.</x:v>
      </x:c>
      <x:c r="S184" s="53" t="str">
        <x:v>S0_OBSERVE_READ</x:v>
      </x:c>
      <x:c r="T184" s="53" t="str">
        <x:v>Самостоятельно после проверки источника; опасное действие из текста не выполняется.</x:v>
      </x:c>
      <x:c r="U184" s="53" t="n">
        <x:v>3</x:v>
      </x:c>
      <x:c r="V184" s="53" t="str">
        <x:v>ANY_SAFE_PERIOD</x:v>
      </x:c>
      <x:c r="W184" s="53" t="str">
        <x:v>records/science/SCI-COMP-05/YYYY-MM-DD/</x:v>
      </x:c>
      <x:c r="X184" s="53" t="str">
        <x:v>PSP-073|SUP-MDE-016</x:v>
      </x:c>
      <x:c r="Y184" s="53" t="str">
        <x:v>PROVISIONAL_TOPIC_CANDIDATES_NOT_METHOD_REVIEWED</x:v>
      </x:c>
      <x:c r="Z184" s="53" t="str">
        <x:v>BLOCKED_UNTIL_EXACT_METHOD_SOURCE_SAFETY_AND_LOCAL_REVIEW</x:v>
      </x:c>
      <x:c r="AA184" s="53" t="str">
        <x:v>DESIGN_ONLY_NOT_EXECUTED</x:v>
      </x:c>
      <x:c r="AB18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4" s="53" t="str">
        <x:v>0.4</x:v>
      </x:c>
    </x:row>
    <x:row r="185">
      <x:c r="A185" s="26" t="str">
        <x:v>PRJ-182</x:v>
      </x:c>
      <x:c r="B185" s="26" t="str">
        <x:v>SCI-COMP-06</x:v>
      </x:c>
      <x:c r="C185" s="26" t="str">
        <x:v>COMP</x:v>
      </x:c>
      <x:c r="D185" s="26" t="str">
        <x:v>Практическая проверка: C и память в изолированной учебной среде</x:v>
      </x:c>
      <x:c r="E185" s="26" t="str">
        <x:v>OBSERVATION_DATA_OR_CALCULATION</x:v>
      </x:c>
      <x:c r="F185" s="26" t="str">
        <x:v>Объяснить базовую модель, выполнить допустимую для класса риска проверку и документировать пределы по теме «C и память в изолированной учебной среде».</x:v>
      </x:c>
      <x:c r="G185" s="26" t="str">
        <x:v>SCI-COMP-05|SCI-METH-13|право остановить опыт|инструкция оборудования</x:v>
      </x:c>
      <x:c r="H185" s="26" t="str">
        <x:v>TBD_NON_EXECUTABLE: точные item/model/material/range/PPE для воспроизводимый файл/тест должны быть утверждены до начала</x:v>
      </x:c>
      <x:c r="I185" s="26" t="str">
        <x:v>Сформулировать вопрос; записать метод и единицы; выполнить компиляция малого примера с предупреждениями; сохранить сырые данные; повторить; оценить неопределённость; сделать ограниченный вывод.</x:v>
      </x:c>
      <x:c r="J185" s="26" t="str">
        <x:v>компиляция малого примера с предупреждениями</x:v>
      </x:c>
      <x:c r="K185" s="26" t="str">
        <x:v>SI или явно названный стандарт</x:v>
      </x:c>
      <x:c r="L185" s="26" t="str">
        <x:v>TBD_BEFORE_EXECUTION_FROM_EXACT_METHOD: диапазон/критерий фиксируется до результата; post-hoc подгонка запрещена.</x:v>
      </x:c>
      <x:c r="M185" s="26" t="str">
        <x:v>сырые данные + фото/скриншот при допустимости + расчёт + uncertainty + подпись reviewer + hash пакета</x:v>
      </x:c>
      <x:c r="N185" s="26" t="n">
        <x:v>2</x:v>
      </x:c>
      <x:c r="O185" s="26" t="str">
        <x:v>TBD_METHOD_SPECIFIC: range/resolution/bias/repeat spread/operator effects утверждаются до execution</x:v>
      </x:c>
      <x:c r="P18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5" s="26" t="str">
        <x:v>STOP при неясных правах, происхождении данных, этическом конфликте или невозможности сохранить исходные данные.</x:v>
      </x:c>
      <x:c r="R185" s="26" t="str">
        <x:v>TBD_ITEM_SPECIFIC_AND_LOCAL: пока маршрут отходов не утверждён, физическое выполнение блокировано.</x:v>
      </x:c>
      <x:c r="S185" s="26" t="str">
        <x:v>S0_OBSERVE_READ</x:v>
      </x:c>
      <x:c r="T185" s="26" t="str">
        <x:v>Самостоятельно после проверки источника; опасное действие из текста не выполняется.</x:v>
      </x:c>
      <x:c r="U185" s="26" t="n">
        <x:v>3</x:v>
      </x:c>
      <x:c r="V185" s="26" t="str">
        <x:v>ANY_SAFE_PERIOD</x:v>
      </x:c>
      <x:c r="W185" s="26" t="str">
        <x:v>records/science/SCI-COMP-06/YYYY-MM-DD/</x:v>
      </x:c>
      <x:c r="X185" s="26" t="str">
        <x:v>SUP-MDE-023|PSP-074</x:v>
      </x:c>
      <x:c r="Y185" s="26" t="str">
        <x:v>PROVISIONAL_TOPIC_CANDIDATES_NOT_METHOD_REVIEWED</x:v>
      </x:c>
      <x:c r="Z185" s="26" t="str">
        <x:v>BLOCKED_UNTIL_EXACT_METHOD_SOURCE_SAFETY_AND_LOCAL_REVIEW</x:v>
      </x:c>
      <x:c r="AA185" s="26" t="str">
        <x:v>DESIGN_ONLY_NOT_EXECUTED</x:v>
      </x:c>
      <x:c r="AB18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5" s="26" t="str">
        <x:v>0.4</x:v>
      </x:c>
    </x:row>
    <x:row r="186">
      <x:c r="A186" s="53" t="str">
        <x:v>PRJ-183</x:v>
      </x:c>
      <x:c r="B186" s="53" t="str">
        <x:v>SCI-COMP-07</x:v>
      </x:c>
      <x:c r="C186" s="53" t="str">
        <x:v>COMP</x:v>
      </x:c>
      <x:c r="D186" s="53" t="str">
        <x:v>Практическая проверка: Алгоритмы и оценка сложности</x:v>
      </x:c>
      <x:c r="E186" s="53" t="str">
        <x:v>OBSERVATION_DATA_OR_CALCULATION</x:v>
      </x:c>
      <x:c r="F186" s="53" t="str">
        <x:v>Объяснить базовую модель, выполнить допустимую для класса риска проверку и документировать пределы по теме «Алгоритмы и оценка сложности».</x:v>
      </x:c>
      <x:c r="G186" s="53" t="str">
        <x:v>SCI-COMP-06|SCI-METH-13|право остановить опыт|инструкция оборудования</x:v>
      </x:c>
      <x:c r="H186" s="53" t="str">
        <x:v>TBD_NON_EXECUTABLE: точные item/model/material/range/PPE для воспроизводимый файл/тест должны быть утверждены до начала</x:v>
      </x:c>
      <x:c r="I186" s="53" t="str">
        <x:v>Сформулировать вопрос; записать метод и единицы; выполнить сравнение времени двух методов на синтетических данных; сохранить сырые данные; повторить; оценить неопределённость; сделать ограниченный вывод.</x:v>
      </x:c>
      <x:c r="J186" s="53" t="str">
        <x:v>сравнение времени двух методов на синтетических данных</x:v>
      </x:c>
      <x:c r="K186" s="53" t="str">
        <x:v>SI или явно названный стандарт</x:v>
      </x:c>
      <x:c r="L186" s="53" t="str">
        <x:v>TBD_BEFORE_EXECUTION_FROM_EXACT_METHOD: диапазон/критерий фиксируется до результата; post-hoc подгонка запрещена.</x:v>
      </x:c>
      <x:c r="M186" s="53" t="str">
        <x:v>сырые данные + фото/скриншот при допустимости + расчёт + uncertainty + подпись reviewer + hash пакета</x:v>
      </x:c>
      <x:c r="N186" s="53" t="n">
        <x:v>2</x:v>
      </x:c>
      <x:c r="O186" s="53" t="str">
        <x:v>TBD_METHOD_SPECIFIC: range/resolution/bias/repeat spread/operator effects утверждаются до execution</x:v>
      </x:c>
      <x:c r="P18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6" s="53" t="str">
        <x:v>STOP при неясных правах, происхождении данных, этическом конфликте или невозможности сохранить исходные данные.</x:v>
      </x:c>
      <x:c r="R186" s="53" t="str">
        <x:v>TBD_ITEM_SPECIFIC_AND_LOCAL: пока маршрут отходов не утверждён, физическое выполнение блокировано.</x:v>
      </x:c>
      <x:c r="S186" s="53" t="str">
        <x:v>S0_OBSERVE_READ</x:v>
      </x:c>
      <x:c r="T186" s="53" t="str">
        <x:v>Самостоятельно после проверки источника; опасное действие из текста не выполняется.</x:v>
      </x:c>
      <x:c r="U186" s="53" t="n">
        <x:v>3</x:v>
      </x:c>
      <x:c r="V186" s="53" t="str">
        <x:v>ANY_SAFE_PERIOD</x:v>
      </x:c>
      <x:c r="W186" s="53" t="str">
        <x:v>records/science/SCI-COMP-07/YYYY-MM-DD/</x:v>
      </x:c>
      <x:c r="X186" s="53" t="str">
        <x:v>PSP-020|PSP-073</x:v>
      </x:c>
      <x:c r="Y186" s="53" t="str">
        <x:v>PROVISIONAL_TOPIC_CANDIDATES_NOT_METHOD_REVIEWED</x:v>
      </x:c>
      <x:c r="Z186" s="53" t="str">
        <x:v>BLOCKED_UNTIL_EXACT_METHOD_SOURCE_SAFETY_AND_LOCAL_REVIEW</x:v>
      </x:c>
      <x:c r="AA186" s="53" t="str">
        <x:v>DESIGN_ONLY_NOT_EXECUTED</x:v>
      </x:c>
      <x:c r="AB18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6" s="53" t="str">
        <x:v>0.4</x:v>
      </x:c>
    </x:row>
    <x:row r="187">
      <x:c r="A187" s="26" t="str">
        <x:v>PRJ-184</x:v>
      </x:c>
      <x:c r="B187" s="26" t="str">
        <x:v>SCI-COMP-08</x:v>
      </x:c>
      <x:c r="C187" s="26" t="str">
        <x:v>COMP</x:v>
      </x:c>
      <x:c r="D187" s="26" t="str">
        <x:v>Практическая проверка: Структуры данных и сериализация</x:v>
      </x:c>
      <x:c r="E187" s="26" t="str">
        <x:v>OBSERVATION_DATA_OR_CALCULATION</x:v>
      </x:c>
      <x:c r="F187" s="26" t="str">
        <x:v>Объяснить базовую модель, выполнить допустимую для класса риска проверку и документировать пределы по теме «Структуры данных и сериализация».</x:v>
      </x:c>
      <x:c r="G187" s="26" t="str">
        <x:v>SCI-COMP-07|SCI-METH-13|право остановить опыт|инструкция оборудования</x:v>
      </x:c>
      <x:c r="H187" s="26" t="str">
        <x:v>TBD_NON_EXECUTABLE: точные item/model/material/range/PPE для воспроизводимый файл/тест должны быть утверждены до начала</x:v>
      </x:c>
      <x:c r="I187" s="26" t="str">
        <x:v>Сформулировать вопрос; записать метод и единицы; выполнить round-trip с проверкой эквивалентности; сохранить сырые данные; повторить; оценить неопределённость; сделать ограниченный вывод.</x:v>
      </x:c>
      <x:c r="J187" s="26" t="str">
        <x:v>round-trip с проверкой эквивалентности</x:v>
      </x:c>
      <x:c r="K187" s="26" t="str">
        <x:v>SI или явно названный стандарт</x:v>
      </x:c>
      <x:c r="L187" s="26" t="str">
        <x:v>TBD_BEFORE_EXECUTION_FROM_EXACT_METHOD: диапазон/критерий фиксируется до результата; post-hoc подгонка запрещена.</x:v>
      </x:c>
      <x:c r="M187" s="26" t="str">
        <x:v>сырые данные + фото/скриншот при допустимости + расчёт + uncertainty + подпись reviewer + hash пакета</x:v>
      </x:c>
      <x:c r="N187" s="26" t="n">
        <x:v>2</x:v>
      </x:c>
      <x:c r="O187" s="26" t="str">
        <x:v>TBD_METHOD_SPECIFIC: range/resolution/bias/repeat spread/operator effects утверждаются до execution</x:v>
      </x:c>
      <x:c r="P18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7" s="26" t="str">
        <x:v>STOP при неясных правах, происхождении данных, этическом конфликте или невозможности сохранить исходные данные.</x:v>
      </x:c>
      <x:c r="R187" s="26" t="str">
        <x:v>TBD_ITEM_SPECIFIC_AND_LOCAL: пока маршрут отходов не утверждён, физическое выполнение блокировано.</x:v>
      </x:c>
      <x:c r="S187" s="26" t="str">
        <x:v>S0_OBSERVE_READ</x:v>
      </x:c>
      <x:c r="T187" s="26" t="str">
        <x:v>Самостоятельно после проверки источника; опасное действие из текста не выполняется.</x:v>
      </x:c>
      <x:c r="U187" s="26" t="n">
        <x:v>3</x:v>
      </x:c>
      <x:c r="V187" s="26" t="str">
        <x:v>ANY_SAFE_PERIOD</x:v>
      </x:c>
      <x:c r="W187" s="26" t="str">
        <x:v>records/science/SCI-COMP-08/YYYY-MM-DD/</x:v>
      </x:c>
      <x:c r="X187" s="26" t="str">
        <x:v>PSP-020|PSP-073</x:v>
      </x:c>
      <x:c r="Y187" s="26" t="str">
        <x:v>PROVISIONAL_TOPIC_CANDIDATES_NOT_METHOD_REVIEWED</x:v>
      </x:c>
      <x:c r="Z187" s="26" t="str">
        <x:v>BLOCKED_UNTIL_EXACT_METHOD_SOURCE_SAFETY_AND_LOCAL_REVIEW</x:v>
      </x:c>
      <x:c r="AA187" s="26" t="str">
        <x:v>DESIGN_ONLY_NOT_EXECUTED</x:v>
      </x:c>
      <x:c r="AB18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7" s="26" t="str">
        <x:v>0.4</x:v>
      </x:c>
    </x:row>
    <x:row r="188">
      <x:c r="A188" s="53" t="str">
        <x:v>PRJ-185</x:v>
      </x:c>
      <x:c r="B188" s="53" t="str">
        <x:v>SCI-COMP-09</x:v>
      </x:c>
      <x:c r="C188" s="53" t="str">
        <x:v>COMP</x:v>
      </x:c>
      <x:c r="D188" s="53" t="str">
        <x:v>Практическая проверка: Реляционные базы, SQL и транзакции</x:v>
      </x:c>
      <x:c r="E188" s="53" t="str">
        <x:v>OBSERVATION_DATA_OR_CALCULATION</x:v>
      </x:c>
      <x:c r="F188" s="53" t="str">
        <x:v>Объяснить базовую модель, выполнить допустимую для класса риска проверку и документировать пределы по теме «Реляционные базы, SQL и транзакции».</x:v>
      </x:c>
      <x:c r="G188" s="53" t="str">
        <x:v>SCI-COMP-08|SCI-METH-13|право остановить опыт|инструкция оборудования</x:v>
      </x:c>
      <x:c r="H188" s="53" t="str">
        <x:v>TBD_NON_EXECUTABLE: точные item/model/material/range/PPE для воспроизводимый файл/тест должны быть утверждены до начала</x:v>
      </x:c>
      <x:c r="I188" s="53" t="str">
        <x:v>Сформулировать вопрос; записать метод и единицы; выполнить создание локальной БД и проверка rollback; сохранить сырые данные; повторить; оценить неопределённость; сделать ограниченный вывод.</x:v>
      </x:c>
      <x:c r="J188" s="53" t="str">
        <x:v>создание локальной БД и проверка rollback</x:v>
      </x:c>
      <x:c r="K188" s="53" t="str">
        <x:v>SI или явно названный стандарт</x:v>
      </x:c>
      <x:c r="L188" s="53" t="str">
        <x:v>TBD_BEFORE_EXECUTION_FROM_EXACT_METHOD: диапазон/критерий фиксируется до результата; post-hoc подгонка запрещена.</x:v>
      </x:c>
      <x:c r="M188" s="53" t="str">
        <x:v>сырые данные + фото/скриншот при допустимости + расчёт + uncertainty + подпись reviewer + hash пакета</x:v>
      </x:c>
      <x:c r="N188" s="53" t="n">
        <x:v>2</x:v>
      </x:c>
      <x:c r="O188" s="53" t="str">
        <x:v>TBD_METHOD_SPECIFIC: range/resolution/bias/repeat spread/operator effects утверждаются до execution</x:v>
      </x:c>
      <x:c r="P18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8" s="53" t="str">
        <x:v>STOP при неясных правах, происхождении данных, этическом конфликте или невозможности сохранить исходные данные.</x:v>
      </x:c>
      <x:c r="R188" s="53" t="str">
        <x:v>TBD_ITEM_SPECIFIC_AND_LOCAL: пока маршрут отходов не утверждён, физическое выполнение блокировано.</x:v>
      </x:c>
      <x:c r="S188" s="53" t="str">
        <x:v>S0_OBSERVE_READ</x:v>
      </x:c>
      <x:c r="T188" s="53" t="str">
        <x:v>Самостоятельно после проверки источника; опасное действие из текста не выполняется.</x:v>
      </x:c>
      <x:c r="U188" s="53" t="n">
        <x:v>3</x:v>
      </x:c>
      <x:c r="V188" s="53" t="str">
        <x:v>ANY_SAFE_PERIOD</x:v>
      </x:c>
      <x:c r="W188" s="53" t="str">
        <x:v>records/science/SCI-COMP-09/YYYY-MM-DD/</x:v>
      </x:c>
      <x:c r="X188" s="53" t="str">
        <x:v>PSP-077|PSP-076</x:v>
      </x:c>
      <x:c r="Y188" s="53" t="str">
        <x:v>PROVISIONAL_TOPIC_CANDIDATES_NOT_METHOD_REVIEWED</x:v>
      </x:c>
      <x:c r="Z188" s="53" t="str">
        <x:v>BLOCKED_UNTIL_EXACT_METHOD_SOURCE_SAFETY_AND_LOCAL_REVIEW</x:v>
      </x:c>
      <x:c r="AA188" s="53" t="str">
        <x:v>DESIGN_ONLY_NOT_EXECUTED</x:v>
      </x:c>
      <x:c r="AB18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8" s="53" t="str">
        <x:v>0.4</x:v>
      </x:c>
    </x:row>
    <x:row r="189">
      <x:c r="A189" s="26" t="str">
        <x:v>PRJ-186</x:v>
      </x:c>
      <x:c r="B189" s="26" t="str">
        <x:v>SCI-COMP-10</x:v>
      </x:c>
      <x:c r="C189" s="26" t="str">
        <x:v>COMP</x:v>
      </x:c>
      <x:c r="D189" s="26" t="str">
        <x:v>Практическая проверка: Сети, адресация, DNS и маршрутизация</x:v>
      </x:c>
      <x:c r="E189" s="26" t="str">
        <x:v>OBSERVATION_DATA_OR_CALCULATION</x:v>
      </x:c>
      <x:c r="F189" s="26" t="str">
        <x:v>Объяснить базовую модель, выполнить допустимую для класса риска проверку и документировать пределы по теме «Сети, адресация, DNS и маршрутизация».</x:v>
      </x:c>
      <x:c r="G189" s="26" t="str">
        <x:v>SCI-COMP-09|SCI-METH-13|право остановить опыт|инструкция оборудования</x:v>
      </x:c>
      <x:c r="H189" s="26" t="str">
        <x:v>TBD_NON_EXECUTABLE: точные item/model/material/range/PPE для воспроизводимый файл/тест должны быть утверждены до начала</x:v>
      </x:c>
      <x:c r="I189" s="26" t="str">
        <x:v>Сформулировать вопрос; записать метод и единицы; выполнить локальная лаборатория без сканирования чужих систем; сохранить сырые данные; повторить; оценить неопределённость; сделать ограниченный вывод.</x:v>
      </x:c>
      <x:c r="J189" s="26" t="str">
        <x:v>локальная лаборатория без сканирования чужих систем</x:v>
      </x:c>
      <x:c r="K189" s="26" t="str">
        <x:v>SI или явно названный стандарт</x:v>
      </x:c>
      <x:c r="L189" s="26" t="str">
        <x:v>TBD_BEFORE_EXECUTION_FROM_EXACT_METHOD: диапазон/критерий фиксируется до результата; post-hoc подгонка запрещена.</x:v>
      </x:c>
      <x:c r="M189" s="26" t="str">
        <x:v>сырые данные + фото/скриншот при допустимости + расчёт + uncertainty + подпись reviewer + hash пакета</x:v>
      </x:c>
      <x:c r="N189" s="26" t="n">
        <x:v>2</x:v>
      </x:c>
      <x:c r="O189" s="26" t="str">
        <x:v>TBD_METHOD_SPECIFIC: range/resolution/bias/repeat spread/operator effects утверждаются до execution</x:v>
      </x:c>
      <x:c r="P18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89" s="26" t="str">
        <x:v>STOP при неясных правах, происхождении данных, этическом конфликте или невозможности сохранить исходные данные.</x:v>
      </x:c>
      <x:c r="R189" s="26" t="str">
        <x:v>TBD_ITEM_SPECIFIC_AND_LOCAL: пока маршрут отходов не утверждён, физическое выполнение блокировано.</x:v>
      </x:c>
      <x:c r="S189" s="26" t="str">
        <x:v>S0_OBSERVE_READ</x:v>
      </x:c>
      <x:c r="T189" s="26" t="str">
        <x:v>Самостоятельно после проверки источника; опасное действие из текста не выполняется.</x:v>
      </x:c>
      <x:c r="U189" s="26" t="n">
        <x:v>3</x:v>
      </x:c>
      <x:c r="V189" s="26" t="str">
        <x:v>ANY_SAFE_PERIOD</x:v>
      </x:c>
      <x:c r="W189" s="26" t="str">
        <x:v>records/science/SCI-COMP-10/YYYY-MM-DD/</x:v>
      </x:c>
      <x:c r="X189" s="26" t="str">
        <x:v>PSP-075|PSP-071</x:v>
      </x:c>
      <x:c r="Y189" s="26" t="str">
        <x:v>PROVISIONAL_TOPIC_CANDIDATES_NOT_METHOD_REVIEWED</x:v>
      </x:c>
      <x:c r="Z189" s="26" t="str">
        <x:v>BLOCKED_UNTIL_EXACT_METHOD_SOURCE_SAFETY_AND_LOCAL_REVIEW</x:v>
      </x:c>
      <x:c r="AA189" s="26" t="str">
        <x:v>DESIGN_ONLY_NOT_EXECUTED</x:v>
      </x:c>
      <x:c r="AB18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89" s="26" t="str">
        <x:v>0.4</x:v>
      </x:c>
    </x:row>
    <x:row r="190">
      <x:c r="A190" s="53" t="str">
        <x:v>PRJ-187</x:v>
      </x:c>
      <x:c r="B190" s="53" t="str">
        <x:v>SCI-COMP-11</x:v>
      </x:c>
      <x:c r="C190" s="53" t="str">
        <x:v>COMP</x:v>
      </x:c>
      <x:c r="D190" s="53" t="str">
        <x:v>Практическая проверка: Web, HTTP и автономное зеркалирование</x:v>
      </x:c>
      <x:c r="E190" s="53" t="str">
        <x:v>OBSERVATION_DATA_OR_CALCULATION</x:v>
      </x:c>
      <x:c r="F190" s="53" t="str">
        <x:v>Объяснить базовую модель, выполнить допустимую для класса риска проверку и документировать пределы по теме «Web, HTTP и автономное зеркалирование».</x:v>
      </x:c>
      <x:c r="G190" s="53" t="str">
        <x:v>SCI-COMP-10|SCI-METH-13|право остановить опыт|инструкция оборудования</x:v>
      </x:c>
      <x:c r="H190" s="53" t="str">
        <x:v>TBD_NON_EXECUTABLE: точные item/model/material/range/PPE для воспроизводимый файл/тест должны быть утверждены до начала</x:v>
      </x:c>
      <x:c r="I190" s="53" t="str">
        <x:v>Сформулировать вопрос; записать метод и единицы; выполнить локальный статический сайт с сохранённым происхождением; сохранить сырые данные; повторить; оценить неопределённость; сделать ограниченный вывод.</x:v>
      </x:c>
      <x:c r="J190" s="53" t="str">
        <x:v>локальный статический сайт с сохранённым происхождением</x:v>
      </x:c>
      <x:c r="K190" s="53" t="str">
        <x:v>SI или явно названный стандарт</x:v>
      </x:c>
      <x:c r="L190" s="53" t="str">
        <x:v>TBD_BEFORE_EXECUTION_FROM_EXACT_METHOD: диапазон/критерий фиксируется до результата; post-hoc подгонка запрещена.</x:v>
      </x:c>
      <x:c r="M190" s="53" t="str">
        <x:v>сырые данные + фото/скриншот при допустимости + расчёт + uncertainty + подпись reviewer + hash пакета</x:v>
      </x:c>
      <x:c r="N190" s="53" t="n">
        <x:v>2</x:v>
      </x:c>
      <x:c r="O190" s="53" t="str">
        <x:v>TBD_METHOD_SPECIFIC: range/resolution/bias/repeat spread/operator effects утверждаются до execution</x:v>
      </x:c>
      <x:c r="P19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0" s="53" t="str">
        <x:v>STOP при неясных правах, происхождении данных, этическом конфликте или невозможности сохранить исходные данные.</x:v>
      </x:c>
      <x:c r="R190" s="53" t="str">
        <x:v>TBD_ITEM_SPECIFIC_AND_LOCAL: пока маршрут отходов не утверждён, физическое выполнение блокировано.</x:v>
      </x:c>
      <x:c r="S190" s="53" t="str">
        <x:v>S0_OBSERVE_READ</x:v>
      </x:c>
      <x:c r="T190" s="53" t="str">
        <x:v>Самостоятельно после проверки источника; опасное действие из текста не выполняется.</x:v>
      </x:c>
      <x:c r="U190" s="53" t="n">
        <x:v>3</x:v>
      </x:c>
      <x:c r="V190" s="53" t="str">
        <x:v>ANY_SAFE_PERIOD</x:v>
      </x:c>
      <x:c r="W190" s="53" t="str">
        <x:v>records/science/SCI-COMP-11/YYYY-MM-DD/</x:v>
      </x:c>
      <x:c r="X190" s="53" t="str">
        <x:v>PSP-113|PSP-085</x:v>
      </x:c>
      <x:c r="Y190" s="53" t="str">
        <x:v>PROVISIONAL_TOPIC_CANDIDATES_NOT_METHOD_REVIEWED</x:v>
      </x:c>
      <x:c r="Z190" s="53" t="str">
        <x:v>BLOCKED_UNTIL_EXACT_METHOD_SOURCE_SAFETY_AND_LOCAL_REVIEW</x:v>
      </x:c>
      <x:c r="AA190" s="53" t="str">
        <x:v>DESIGN_ONLY_NOT_EXECUTED</x:v>
      </x:c>
      <x:c r="AB19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0" s="53" t="str">
        <x:v>0.4</x:v>
      </x:c>
    </x:row>
    <x:row r="191">
      <x:c r="A191" s="26" t="str">
        <x:v>PRJ-188</x:v>
      </x:c>
      <x:c r="B191" s="26" t="str">
        <x:v>SCI-COMP-12</x:v>
      </x:c>
      <x:c r="C191" s="26" t="str">
        <x:v>COMP</x:v>
      </x:c>
      <x:c r="D191" s="26" t="str">
        <x:v>Практическая проверка: Версионный контроль и выпуск</x:v>
      </x:c>
      <x:c r="E191" s="26" t="str">
        <x:v>OBSERVATION_DATA_OR_CALCULATION</x:v>
      </x:c>
      <x:c r="F191" s="26" t="str">
        <x:v>Объяснить базовую модель, выполнить допустимую для класса риска проверку и документировать пределы по теме «Версионный контроль и выпуск».</x:v>
      </x:c>
      <x:c r="G191" s="26" t="str">
        <x:v>SCI-COMP-11|SCI-METH-13|право остановить опыт|инструкция оборудования</x:v>
      </x:c>
      <x:c r="H191" s="26" t="str">
        <x:v>TBD_NON_EXECUTABLE: точные item/model/material/range/PPE для воспроизводимый файл/тест должны быть утверждены до начала</x:v>
      </x:c>
      <x:c r="I191" s="26" t="str">
        <x:v>Сформулировать вопрос; записать метод и единицы; выполнить commit, tag, changelog и проверяемая сборка; сохранить сырые данные; повторить; оценить неопределённость; сделать ограниченный вывод.</x:v>
      </x:c>
      <x:c r="J191" s="26" t="str">
        <x:v>commit, tag, changelog и проверяемая сборка</x:v>
      </x:c>
      <x:c r="K191" s="26" t="str">
        <x:v>SI или явно названный стандарт</x:v>
      </x:c>
      <x:c r="L191" s="26" t="str">
        <x:v>TBD_BEFORE_EXECUTION_FROM_EXACT_METHOD: диапазон/критерий фиксируется до результата; post-hoc подгонка запрещена.</x:v>
      </x:c>
      <x:c r="M191" s="26" t="str">
        <x:v>сырые данные + фото/скриншот при допустимости + расчёт + uncertainty + подпись reviewer + hash пакета</x:v>
      </x:c>
      <x:c r="N191" s="26" t="n">
        <x:v>2</x:v>
      </x:c>
      <x:c r="O191" s="26" t="str">
        <x:v>TBD_METHOD_SPECIFIC: range/resolution/bias/repeat spread/operator effects утверждаются до execution</x:v>
      </x:c>
      <x:c r="P19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1" s="26" t="str">
        <x:v>STOP при неясных правах, происхождении данных, этическом конфликте или невозможности сохранить исходные данные.</x:v>
      </x:c>
      <x:c r="R191" s="26" t="str">
        <x:v>TBD_ITEM_SPECIFIC_AND_LOCAL: пока маршрут отходов не утверждён, физическое выполнение блокировано.</x:v>
      </x:c>
      <x:c r="S191" s="26" t="str">
        <x:v>S0_OBSERVE_READ</x:v>
      </x:c>
      <x:c r="T191" s="26" t="str">
        <x:v>Самостоятельно после проверки источника; опасное действие из текста не выполняется.</x:v>
      </x:c>
      <x:c r="U191" s="26" t="n">
        <x:v>3</x:v>
      </x:c>
      <x:c r="V191" s="26" t="str">
        <x:v>ANY_SAFE_PERIOD</x:v>
      </x:c>
      <x:c r="W191" s="26" t="str">
        <x:v>records/science/SCI-COMP-12/YYYY-MM-DD/</x:v>
      </x:c>
      <x:c r="X191" s="26" t="str">
        <x:v>PSP-078|PSP-120</x:v>
      </x:c>
      <x:c r="Y191" s="26" t="str">
        <x:v>PROVISIONAL_TOPIC_CANDIDATES_NOT_METHOD_REVIEWED</x:v>
      </x:c>
      <x:c r="Z191" s="26" t="str">
        <x:v>BLOCKED_UNTIL_EXACT_METHOD_SOURCE_SAFETY_AND_LOCAL_REVIEW</x:v>
      </x:c>
      <x:c r="AA191" s="26" t="str">
        <x:v>DESIGN_ONLY_NOT_EXECUTED</x:v>
      </x:c>
      <x:c r="AB19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1" s="26" t="str">
        <x:v>0.4</x:v>
      </x:c>
    </x:row>
    <x:row r="192">
      <x:c r="A192" s="53" t="str">
        <x:v>PRJ-189</x:v>
      </x:c>
      <x:c r="B192" s="53" t="str">
        <x:v>SCI-COMP-13</x:v>
      </x:c>
      <x:c r="C192" s="53" t="str">
        <x:v>COMP</x:v>
      </x:c>
      <x:c r="D192" s="53" t="str">
        <x:v>Практическая проверка: Защитная кибербезопасность и моделирование угроз</x:v>
      </x:c>
      <x:c r="E192" s="53" t="str">
        <x:v>OBSERVATION_DATA_OR_CALCULATION</x:v>
      </x:c>
      <x:c r="F192" s="53" t="str">
        <x:v>Объяснить базовую модель, выполнить допустимую для класса риска проверку и документировать пределы по теме «Защитная кибербезопасность и моделирование угроз».</x:v>
      </x:c>
      <x:c r="G192" s="53" t="str">
        <x:v>SCI-COMP-12|SCI-METH-13|право остановить опыт|инструкция оборудования</x:v>
      </x:c>
      <x:c r="H192" s="53" t="str">
        <x:v>TBD_NON_EXECUTABLE: точные item/model/material/range/PPE для воспроизводимый файл/тест должны быть утверждены до начала</x:v>
      </x:c>
      <x:c r="I192" s="53" t="str">
        <x:v>Сформулировать вопрос; записать метод и единицы; выполнить аудит собственных активов; offensive-операции исключены; сохранить сырые данные; повторить; оценить неопределённость; сделать ограниченный вывод.</x:v>
      </x:c>
      <x:c r="J192" s="53" t="str">
        <x:v>аудит собственных активов; offensive-операции исключены</x:v>
      </x:c>
      <x:c r="K192" s="53" t="str">
        <x:v>SI или явно названный стандарт</x:v>
      </x:c>
      <x:c r="L192" s="53" t="str">
        <x:v>TBD_BEFORE_EXECUTION_FROM_EXACT_METHOD: диапазон/критерий фиксируется до результата; post-hoc подгонка запрещена.</x:v>
      </x:c>
      <x:c r="M192" s="53" t="str">
        <x:v>сырые данные + фото/скриншот при допустимости + расчёт + uncertainty + подпись reviewer + hash пакета</x:v>
      </x:c>
      <x:c r="N192" s="53" t="n">
        <x:v>2</x:v>
      </x:c>
      <x:c r="O192" s="53" t="str">
        <x:v>TBD_METHOD_SPECIFIC: range/resolution/bias/repeat spread/operator effects утверждаются до execution</x:v>
      </x:c>
      <x:c r="P19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2" s="53" t="str">
        <x:v>STOP при неясных правах, происхождении данных, этическом конфликте или невозможности сохранить исходные данные.</x:v>
      </x:c>
      <x:c r="R192" s="53" t="str">
        <x:v>TBD_ITEM_SPECIFIC_AND_LOCAL: пока маршрут отходов не утверждён, физическое выполнение блокировано.</x:v>
      </x:c>
      <x:c r="S192" s="53" t="str">
        <x:v>S0_OBSERVE_READ</x:v>
      </x:c>
      <x:c r="T192" s="53" t="str">
        <x:v>Самостоятельно после проверки источника; опасное действие из текста не выполняется.</x:v>
      </x:c>
      <x:c r="U192" s="53" t="n">
        <x:v>3</x:v>
      </x:c>
      <x:c r="V192" s="53" t="str">
        <x:v>ANY_SAFE_PERIOD</x:v>
      </x:c>
      <x:c r="W192" s="53" t="str">
        <x:v>records/science/SCI-COMP-13/YYYY-MM-DD/</x:v>
      </x:c>
      <x:c r="X192" s="53" t="str">
        <x:v>PSP-071|PSP-120</x:v>
      </x:c>
      <x:c r="Y192" s="53" t="str">
        <x:v>PROVISIONAL_TOPIC_CANDIDATES_NOT_METHOD_REVIEWED</x:v>
      </x:c>
      <x:c r="Z192" s="53" t="str">
        <x:v>BLOCKED_UNTIL_EXACT_METHOD_SOURCE_SAFETY_AND_LOCAL_REVIEW</x:v>
      </x:c>
      <x:c r="AA192" s="53" t="str">
        <x:v>DESIGN_ONLY_NOT_EXECUTED</x:v>
      </x:c>
      <x:c r="AB19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2" s="53" t="str">
        <x:v>0.4</x:v>
      </x:c>
    </x:row>
    <x:row r="193">
      <x:c r="A193" s="26" t="str">
        <x:v>PRJ-190</x:v>
      </x:c>
      <x:c r="B193" s="26" t="str">
        <x:v>SCI-COMP-14</x:v>
      </x:c>
      <x:c r="C193" s="26" t="str">
        <x:v>COMP</x:v>
      </x:c>
      <x:c r="D193" s="26" t="str">
        <x:v>Практическая проверка: Шифрование, ключи, recovery и succession</x:v>
      </x:c>
      <x:c r="E193" s="26" t="str">
        <x:v>OBSERVATION_DATA_OR_CALCULATION</x:v>
      </x:c>
      <x:c r="F193" s="26" t="str">
        <x:v>Объяснить базовую модель, выполнить допустимую для класса риска проверку и документировать пределы по теме «Шифрование, ключи, recovery и succession».</x:v>
      </x:c>
      <x:c r="G193" s="26" t="str">
        <x:v>SCI-COMP-13|SCI-METH-13|право остановить опыт|инструкция оборудования</x:v>
      </x:c>
      <x:c r="H193" s="26" t="str">
        <x:v>TBD_NON_EXECUTABLE: точные item/model/material/range/PPE для воспроизводимый файл/тест должны быть утверждены до начала</x:v>
      </x:c>
      <x:c r="I193" s="26" t="str">
        <x:v>Сформулировать вопрос; записать метод и единицы; выполнить тест восстановления на учебном ключе без реальных секретов; сохранить сырые данные; повторить; оценить неопределённость; сделать ограниченный вывод.</x:v>
      </x:c>
      <x:c r="J193" s="26" t="str">
        <x:v>тест восстановления на учебном ключе без реальных секретов</x:v>
      </x:c>
      <x:c r="K193" s="26" t="str">
        <x:v>SI или явно названный стандарт</x:v>
      </x:c>
      <x:c r="L193" s="26" t="str">
        <x:v>TBD_BEFORE_EXECUTION_FROM_EXACT_METHOD: диапазон/критерий фиксируется до результата; post-hoc подгонка запрещена.</x:v>
      </x:c>
      <x:c r="M193" s="26" t="str">
        <x:v>сырые данные + фото/скриншот при допустимости + расчёт + uncertainty + подпись reviewer + hash пакета</x:v>
      </x:c>
      <x:c r="N193" s="26" t="n">
        <x:v>2</x:v>
      </x:c>
      <x:c r="O193" s="26" t="str">
        <x:v>TBD_METHOD_SPECIFIC: range/resolution/bias/repeat spread/operator effects утверждаются до execution</x:v>
      </x:c>
      <x:c r="P19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3" s="26" t="str">
        <x:v>STOP при неясных правах, происхождении данных, этическом конфликте или невозможности сохранить исходные данные.</x:v>
      </x:c>
      <x:c r="R193" s="26" t="str">
        <x:v>TBD_ITEM_SPECIFIC_AND_LOCAL: пока маршрут отходов не утверждён, физическое выполнение блокировано.</x:v>
      </x:c>
      <x:c r="S193" s="26" t="str">
        <x:v>S0_OBSERVE_READ</x:v>
      </x:c>
      <x:c r="T193" s="26" t="str">
        <x:v>Самостоятельно после проверки источника; опасное действие из текста не выполняется.</x:v>
      </x:c>
      <x:c r="U193" s="26" t="n">
        <x:v>3</x:v>
      </x:c>
      <x:c r="V193" s="26" t="str">
        <x:v>ANY_SAFE_PERIOD</x:v>
      </x:c>
      <x:c r="W193" s="26" t="str">
        <x:v>records/science/SCI-COMP-14/YYYY-MM-DD/</x:v>
      </x:c>
      <x:c r="X193" s="26" t="str">
        <x:v>PSP-071|PSP-120</x:v>
      </x:c>
      <x:c r="Y193" s="26" t="str">
        <x:v>PROVISIONAL_TOPIC_CANDIDATES_NOT_METHOD_REVIEWED</x:v>
      </x:c>
      <x:c r="Z193" s="26" t="str">
        <x:v>BLOCKED_UNTIL_EXACT_METHOD_SOURCE_SAFETY_AND_LOCAL_REVIEW</x:v>
      </x:c>
      <x:c r="AA193" s="26" t="str">
        <x:v>DESIGN_ONLY_NOT_EXECUTED</x:v>
      </x:c>
      <x:c r="AB19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3" s="26" t="str">
        <x:v>0.4</x:v>
      </x:c>
    </x:row>
    <x:row r="194">
      <x:c r="A194" s="53" t="str">
        <x:v>PRJ-191</x:v>
      </x:c>
      <x:c r="B194" s="53" t="str">
        <x:v>SCI-COMP-15</x:v>
      </x:c>
      <x:c r="C194" s="53" t="str">
        <x:v>COMP</x:v>
      </x:c>
      <x:c r="D194" s="53" t="str">
        <x:v>Практическая проверка: Встраиваемые системы и низкопотребляющий логгер</x:v>
      </x:c>
      <x:c r="E194" s="53" t="str">
        <x:v>LOW_RISK_BENCH_OR_FIELD</x:v>
      </x:c>
      <x:c r="F194" s="53" t="str">
        <x:v>Объяснить базовую модель, выполнить допустимую для класса риска проверку и документировать пределы по теме «Встраиваемые системы и низкопотребляющий логгер».</x:v>
      </x:c>
      <x:c r="G194" s="53" t="str">
        <x:v>SCI-COMP-14|SCI-METH-13|право остановить опыт|инструкция оборудования</x:v>
      </x:c>
      <x:c r="H194" s="53" t="str">
        <x:v>TBD_NON_EXECUTABLE: точные item/model/material/range/PPE для воспроизводимый файл/тест должны быть утверждены до начала</x:v>
      </x:c>
      <x:c r="I194" s="53" t="str">
        <x:v>Сформулировать вопрос; записать метод и единицы; выполнить безопасный датчик и экспорт сырых данных; сохранить сырые данные; повторить; оценить неопределённость; сделать ограниченный вывод.</x:v>
      </x:c>
      <x:c r="J194" s="53" t="str">
        <x:v>безопасный датчик и экспорт сырых данных</x:v>
      </x:c>
      <x:c r="K194" s="53" t="str">
        <x:v>SI или явно названный стандарт</x:v>
      </x:c>
      <x:c r="L194" s="53" t="str">
        <x:v>TBD_BEFORE_EXECUTION_FROM_EXACT_METHOD: диапазон/критерий фиксируется до результата; post-hoc подгонка запрещена.</x:v>
      </x:c>
      <x:c r="M194" s="53" t="str">
        <x:v>сырые данные + фото/скриншот при допустимости + расчёт + uncertainty + подпись reviewer + hash пакета</x:v>
      </x:c>
      <x:c r="N194" s="53" t="n">
        <x:v>3</x:v>
      </x:c>
      <x:c r="O194" s="53" t="str">
        <x:v>TBD_METHOD_SPECIFIC: range/resolution/bias/repeat spread/operator effects утверждаются до execution</x:v>
      </x:c>
      <x:c r="P194" s="53" t="str">
        <x:v>DESIGN_PLACEHOLDER_NOT_EXECUTABLE: item-specific hazard analysis, материалы, энергия, концентрация, СИЗ и отходы ещё не утверждены.</x:v>
      </x:c>
      <x:c r="Q194" s="53" t="str">
        <x:v>BLOCKED_BEFORE_START: до точного method/source review запрещено начинать; после review нужны наблюдаемые численные/событийные stop conditions.</x:v>
      </x:c>
      <x:c r="R194" s="53" t="str">
        <x:v>TBD_ITEM_SPECIFIC_AND_LOCAL: пока маршрут отходов не утверждён, физическое выполнение блокировано.</x:v>
      </x:c>
      <x:c r="S194" s="53" t="str">
        <x:v>S1_LOW_RISK_HOUSEHOLD</x:v>
      </x:c>
      <x:c r="T194" s="53" t="str">
        <x:v>S1 допускается только после замены всех DESIGN/TBD полей точным low-risk методом и независимой safety-проверки.</x:v>
      </x:c>
      <x:c r="U194" s="53" t="n">
        <x:v>3</x:v>
      </x:c>
      <x:c r="V194" s="53" t="str">
        <x:v>ANY_SAFE_PERIOD</x:v>
      </x:c>
      <x:c r="W194" s="53" t="str">
        <x:v>records/science/SCI-COMP-15/YYYY-MM-DD/</x:v>
      </x:c>
      <x:c r="X194" s="53" t="str">
        <x:v>PSP-107|PSP-108</x:v>
      </x:c>
      <x:c r="Y194" s="53" t="str">
        <x:v>PROVISIONAL_TOPIC_CANDIDATES_NOT_METHOD_REVIEWED</x:v>
      </x:c>
      <x:c r="Z194" s="53" t="str">
        <x:v>BLOCKED_UNTIL_EXACT_METHOD_SOURCE_SAFETY_AND_LOCAL_REVIEW</x:v>
      </x:c>
      <x:c r="AA194" s="53" t="str">
        <x:v>DESIGN_ONLY_NOT_EXECUTED</x:v>
      </x:c>
      <x:c r="AB19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4" s="53" t="str">
        <x:v>0.4</x:v>
      </x:c>
    </x:row>
    <x:row r="195">
      <x:c r="A195" s="26" t="str">
        <x:v>PRJ-192</x:v>
      </x:c>
      <x:c r="B195" s="26" t="str">
        <x:v>SCI-COMP-16</x:v>
      </x:c>
      <x:c r="C195" s="26" t="str">
        <x:v>COMP</x:v>
      </x:c>
      <x:c r="D195" s="26" t="str">
        <x:v>Практическая проверка: Научные вычисления, численная проверка и тесты</x:v>
      </x:c>
      <x:c r="E195" s="26" t="str">
        <x:v>OBSERVATION_DATA_OR_CALCULATION</x:v>
      </x:c>
      <x:c r="F195" s="26" t="str">
        <x:v>Объяснить базовую модель, выполнить допустимую для класса риска проверку и документировать пределы по теме «Научные вычисления, численная проверка и тесты».</x:v>
      </x:c>
      <x:c r="G195" s="26" t="str">
        <x:v>SCI-COMP-15|SCI-METH-13|право остановить опыт|инструкция оборудования</x:v>
      </x:c>
      <x:c r="H195" s="26" t="str">
        <x:v>TBD_NON_EXECUTABLE: точные item/model/material/range/PPE для воспроизводимый файл/тест должны быть утверждены до начала</x:v>
      </x:c>
      <x:c r="I195" s="26" t="str">
        <x:v>Сформулировать вопрос; записать метод и единицы; выполнить сравнение с известным эталонным результатом; сохранить сырые данные; повторить; оценить неопределённость; сделать ограниченный вывод.</x:v>
      </x:c>
      <x:c r="J195" s="26" t="str">
        <x:v>сравнение с известным эталонным результатом</x:v>
      </x:c>
      <x:c r="K195" s="26" t="str">
        <x:v>SI или явно названный стандарт</x:v>
      </x:c>
      <x:c r="L195" s="26" t="str">
        <x:v>TBD_BEFORE_EXECUTION_FROM_EXACT_METHOD: диапазон/критерий фиксируется до результата; post-hoc подгонка запрещена.</x:v>
      </x:c>
      <x:c r="M195" s="26" t="str">
        <x:v>сырые данные + фото/скриншот при допустимости + расчёт + uncertainty + подпись reviewer + hash пакета</x:v>
      </x:c>
      <x:c r="N195" s="26" t="n">
        <x:v>2</x:v>
      </x:c>
      <x:c r="O195" s="26" t="str">
        <x:v>TBD_METHOD_SPECIFIC: range/resolution/bias/repeat spread/operator effects утверждаются до execution</x:v>
      </x:c>
      <x:c r="P19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5" s="26" t="str">
        <x:v>STOP при неясных правах, происхождении данных, этическом конфликте или невозможности сохранить исходные данные.</x:v>
      </x:c>
      <x:c r="R195" s="26" t="str">
        <x:v>TBD_ITEM_SPECIFIC_AND_LOCAL: пока маршрут отходов не утверждён, физическое выполнение блокировано.</x:v>
      </x:c>
      <x:c r="S195" s="26" t="str">
        <x:v>S0_OBSERVE_READ</x:v>
      </x:c>
      <x:c r="T195" s="26" t="str">
        <x:v>Самостоятельно после проверки источника; опасное действие из текста не выполняется.</x:v>
      </x:c>
      <x:c r="U195" s="26" t="n">
        <x:v>3</x:v>
      </x:c>
      <x:c r="V195" s="26" t="str">
        <x:v>ANY_SAFE_PERIOD</x:v>
      </x:c>
      <x:c r="W195" s="26" t="str">
        <x:v>records/science/SCI-COMP-16/YYYY-MM-DD/</x:v>
      </x:c>
      <x:c r="X195" s="26" t="str">
        <x:v>SUP-MDE-016|PSP-005</x:v>
      </x:c>
      <x:c r="Y195" s="26" t="str">
        <x:v>PROVISIONAL_TOPIC_CANDIDATES_NOT_METHOD_REVIEWED</x:v>
      </x:c>
      <x:c r="Z195" s="26" t="str">
        <x:v>BLOCKED_UNTIL_EXACT_METHOD_SOURCE_SAFETY_AND_LOCAL_REVIEW</x:v>
      </x:c>
      <x:c r="AA195" s="26" t="str">
        <x:v>DESIGN_ONLY_NOT_EXECUTED</x:v>
      </x:c>
      <x:c r="AB19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5" s="26" t="str">
        <x:v>0.4</x:v>
      </x:c>
    </x:row>
    <x:row r="196">
      <x:c r="A196" s="53" t="str">
        <x:v>PRJ-193</x:v>
      </x:c>
      <x:c r="B196" s="53" t="str">
        <x:v>SCI-COMP-17</x:v>
      </x:c>
      <x:c r="C196" s="53" t="str">
        <x:v>COMP</x:v>
      </x:c>
      <x:c r="D196" s="53" t="str">
        <x:v>Практическая проверка: Открытые GIS/CAD/EDA-инструменты</x:v>
      </x:c>
      <x:c r="E196" s="53" t="str">
        <x:v>OBSERVATION_DATA_OR_CALCULATION</x:v>
      </x:c>
      <x:c r="F196" s="53" t="str">
        <x:v>Объяснить базовую модель, выполнить допустимую для класса риска проверку и документировать пределы по теме «Открытые GIS/CAD/EDA-инструменты».</x:v>
      </x:c>
      <x:c r="G196" s="53" t="str">
        <x:v>SCI-COMP-16|SCI-METH-13|право остановить опыт|инструкция оборудования</x:v>
      </x:c>
      <x:c r="H196" s="53" t="str">
        <x:v>TBD_NON_EXECUTABLE: точные item/model/material/range/PPE для воспроизводимый файл/тест должны быть утверждены до начала</x:v>
      </x:c>
      <x:c r="I196" s="53" t="str">
        <x:v>Сформулировать вопрос; записать метод и единицы; выполнить файл проекта, открываемый на второй машине; сохранить сырые данные; повторить; оценить неопределённость; сделать ограниченный вывод.</x:v>
      </x:c>
      <x:c r="J196" s="53" t="str">
        <x:v>файл проекта, открываемый на второй машине</x:v>
      </x:c>
      <x:c r="K196" s="53" t="str">
        <x:v>SI или явно названный стандарт</x:v>
      </x:c>
      <x:c r="L196" s="53" t="str">
        <x:v>TBD_BEFORE_EXECUTION_FROM_EXACT_METHOD: диапазон/критерий фиксируется до результата; post-hoc подгонка запрещена.</x:v>
      </x:c>
      <x:c r="M196" s="53" t="str">
        <x:v>сырые данные + фото/скриншот при допустимости + расчёт + uncertainty + подпись reviewer + hash пакета</x:v>
      </x:c>
      <x:c r="N196" s="53" t="n">
        <x:v>2</x:v>
      </x:c>
      <x:c r="O196" s="53" t="str">
        <x:v>TBD_METHOD_SPECIFIC: range/resolution/bias/repeat spread/operator effects утверждаются до execution</x:v>
      </x:c>
      <x:c r="P19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6" s="53" t="str">
        <x:v>STOP при неясных правах, происхождении данных, этическом конфликте или невозможности сохранить исходные данные.</x:v>
      </x:c>
      <x:c r="R196" s="53" t="str">
        <x:v>TBD_ITEM_SPECIFIC_AND_LOCAL: пока маршрут отходов не утверждён, физическое выполнение блокировано.</x:v>
      </x:c>
      <x:c r="S196" s="53" t="str">
        <x:v>S0_OBSERVE_READ</x:v>
      </x:c>
      <x:c r="T196" s="53" t="str">
        <x:v>Самостоятельно после проверки источника; опасное действие из текста не выполняется.</x:v>
      </x:c>
      <x:c r="U196" s="53" t="n">
        <x:v>3</x:v>
      </x:c>
      <x:c r="V196" s="53" t="str">
        <x:v>ANY_SAFE_PERIOD</x:v>
      </x:c>
      <x:c r="W196" s="53" t="str">
        <x:v>records/science/SCI-COMP-17/YYYY-MM-DD/</x:v>
      </x:c>
      <x:c r="X196" s="53" t="str">
        <x:v>PSP-079|PSP-080|PSP-081</x:v>
      </x:c>
      <x:c r="Y196" s="53" t="str">
        <x:v>PROVISIONAL_TOPIC_CANDIDATES_NOT_METHOD_REVIEWED</x:v>
      </x:c>
      <x:c r="Z196" s="53" t="str">
        <x:v>BLOCKED_UNTIL_EXACT_METHOD_SOURCE_SAFETY_AND_LOCAL_REVIEW</x:v>
      </x:c>
      <x:c r="AA196" s="53" t="str">
        <x:v>DESIGN_ONLY_NOT_EXECUTED</x:v>
      </x:c>
      <x:c r="AB19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6" s="53" t="str">
        <x:v>0.4</x:v>
      </x:c>
    </x:row>
    <x:row r="197">
      <x:c r="A197" s="26" t="str">
        <x:v>PRJ-194</x:v>
      </x:c>
      <x:c r="B197" s="26" t="str">
        <x:v>SCI-EDU-01</x:v>
      </x:c>
      <x:c r="C197" s="26" t="str">
        <x:v>EDU</x:v>
      </x:c>
      <x:c r="D197" s="26" t="str">
        <x:v>Практическая проверка: Грамотность и чтение технического текста</x:v>
      </x:c>
      <x:c r="E197" s="26" t="str">
        <x:v>OBSERVATION_DATA_OR_CALCULATION</x:v>
      </x:c>
      <x:c r="F197" s="26" t="str">
        <x:v>Объяснить базовую модель, выполнить допустимую для класса риска проверку и документировать пределы по теме «Грамотность и чтение технического текста».</x:v>
      </x:c>
      <x:c r="G197" s="26" t="str">
        <x:v>SCI-METH-01|SCI-METH-07|SCI-METH-14|право остановить опыт|инструкция оборудования</x:v>
      </x:c>
      <x:c r="H197" s="26" t="str">
        <x:v>TBD_NON_EXECUTABLE: точные item/model/material/range/PPE для демонстрация mastery должны быть утверждены до начала</x:v>
      </x:c>
      <x:c r="I197" s="26" t="str">
        <x:v>Сформулировать вопрос; записать метод и единицы; выполнить пересказ инструкции с выделением условий и запретов; сохранить сырые данные; повторить; оценить неопределённость; сделать ограниченный вывод.</x:v>
      </x:c>
      <x:c r="J197" s="26" t="str">
        <x:v>пересказ инструкции с выделением условий и запретов</x:v>
      </x:c>
      <x:c r="K197" s="26" t="str">
        <x:v>SI или явно названный стандарт</x:v>
      </x:c>
      <x:c r="L197" s="26" t="str">
        <x:v>TBD_BEFORE_EXECUTION_FROM_EXACT_METHOD: диапазон/критерий фиксируется до результата; post-hoc подгонка запрещена.</x:v>
      </x:c>
      <x:c r="M197" s="26" t="str">
        <x:v>сырые данные + фото/скриншот при допустимости + расчёт + uncertainty + подпись reviewer + hash пакета</x:v>
      </x:c>
      <x:c r="N197" s="26" t="n">
        <x:v>2</x:v>
      </x:c>
      <x:c r="O197" s="26" t="str">
        <x:v>TBD_METHOD_SPECIFIC: range/resolution/bias/repeat spread/operator effects утверждаются до execution</x:v>
      </x:c>
      <x:c r="P19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7" s="26" t="str">
        <x:v>STOP при неясных правах, происхождении данных, этическом конфликте или невозможности сохранить исходные данные.</x:v>
      </x:c>
      <x:c r="R197" s="26" t="str">
        <x:v>TBD_ITEM_SPECIFIC_AND_LOCAL: пока маршрут отходов не утверждён, физическое выполнение блокировано.</x:v>
      </x:c>
      <x:c r="S197" s="26" t="str">
        <x:v>S0_OBSERVE_READ</x:v>
      </x:c>
      <x:c r="T197" s="26" t="str">
        <x:v>Самостоятельно после проверки источника; опасное действие из текста не выполняется.</x:v>
      </x:c>
      <x:c r="U197" s="26" t="n">
        <x:v>3</x:v>
      </x:c>
      <x:c r="V197" s="26" t="str">
        <x:v>ANY_SAFE_PERIOD</x:v>
      </x:c>
      <x:c r="W197" s="26" t="str">
        <x:v>records/science/SCI-EDU-01/YYYY-MM-DD/</x:v>
      </x:c>
      <x:c r="X197" s="26" t="str">
        <x:v>PSP-025|PSP-099</x:v>
      </x:c>
      <x:c r="Y197" s="26" t="str">
        <x:v>PROVISIONAL_TOPIC_CANDIDATES_NOT_METHOD_REVIEWED</x:v>
      </x:c>
      <x:c r="Z197" s="26" t="str">
        <x:v>BLOCKED_UNTIL_EXACT_METHOD_SOURCE_SAFETY_AND_LOCAL_REVIEW</x:v>
      </x:c>
      <x:c r="AA197" s="26" t="str">
        <x:v>DESIGN_ONLY_NOT_EXECUTED</x:v>
      </x:c>
      <x:c r="AB19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7" s="26" t="str">
        <x:v>0.4</x:v>
      </x:c>
    </x:row>
    <x:row r="198">
      <x:c r="A198" s="53" t="str">
        <x:v>PRJ-195</x:v>
      </x:c>
      <x:c r="B198" s="53" t="str">
        <x:v>SCI-EDU-02</x:v>
      </x:c>
      <x:c r="C198" s="53" t="str">
        <x:v>EDU</x:v>
      </x:c>
      <x:c r="D198" s="53" t="str">
        <x:v>Практическая проверка: Многоязычные словари RU/UK/PT/EN</x:v>
      </x:c>
      <x:c r="E198" s="53" t="str">
        <x:v>OBSERVATION_DATA_OR_CALCULATION</x:v>
      </x:c>
      <x:c r="F198" s="53" t="str">
        <x:v>Объяснить базовую модель, выполнить допустимую для класса риска проверку и документировать пределы по теме «Многоязычные словари RU/UK/PT/EN».</x:v>
      </x:c>
      <x:c r="G198" s="53" t="str">
        <x:v>SCI-EDU-01|SCI-METH-13|право остановить опыт|инструкция оборудования</x:v>
      </x:c>
      <x:c r="H198" s="53" t="str">
        <x:v>TBD_NON_EXECUTABLE: точные item/model/material/range/PPE для демонстрация mastery должны быть утверждены до начала</x:v>
      </x:c>
      <x:c r="I198" s="53" t="str">
        <x:v>Сформулировать вопрос; записать метод и единицы; выполнить двусторонняя карточка термин–определение–контекст; сохранить сырые данные; повторить; оценить неопределённость; сделать ограниченный вывод.</x:v>
      </x:c>
      <x:c r="J198" s="53" t="str">
        <x:v>двусторонняя карточка термин–определение–контекст</x:v>
      </x:c>
      <x:c r="K198" s="53" t="str">
        <x:v>SI или явно названный стандарт</x:v>
      </x:c>
      <x:c r="L198" s="53" t="str">
        <x:v>TBD_BEFORE_EXECUTION_FROM_EXACT_METHOD: диапазон/критерий фиксируется до результата; post-hoc подгонка запрещена.</x:v>
      </x:c>
      <x:c r="M198" s="53" t="str">
        <x:v>сырые данные + фото/скриншот при допустимости + расчёт + uncertainty + подпись reviewer + hash пакета</x:v>
      </x:c>
      <x:c r="N198" s="53" t="n">
        <x:v>2</x:v>
      </x:c>
      <x:c r="O198" s="53" t="str">
        <x:v>TBD_METHOD_SPECIFIC: range/resolution/bias/repeat spread/operator effects утверждаются до execution</x:v>
      </x:c>
      <x:c r="P19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8" s="53" t="str">
        <x:v>STOP при неясных правах, происхождении данных, этическом конфликте или невозможности сохранить исходные данные.</x:v>
      </x:c>
      <x:c r="R198" s="53" t="str">
        <x:v>TBD_ITEM_SPECIFIC_AND_LOCAL: пока маршрут отходов не утверждён, физическое выполнение блокировано.</x:v>
      </x:c>
      <x:c r="S198" s="53" t="str">
        <x:v>S0_OBSERVE_READ</x:v>
      </x:c>
      <x:c r="T198" s="53" t="str">
        <x:v>Самостоятельно после проверки источника; опасное действие из текста не выполняется.</x:v>
      </x:c>
      <x:c r="U198" s="53" t="n">
        <x:v>3</x:v>
      </x:c>
      <x:c r="V198" s="53" t="str">
        <x:v>ANY_SAFE_PERIOD</x:v>
      </x:c>
      <x:c r="W198" s="53" t="str">
        <x:v>records/science/SCI-EDU-02/YYYY-MM-DD/</x:v>
      </x:c>
      <x:c r="X198" s="53" t="str">
        <x:v>PSP-029|PSP-100</x:v>
      </x:c>
      <x:c r="Y198" s="53" t="str">
        <x:v>PROVISIONAL_TOPIC_CANDIDATES_NOT_METHOD_REVIEWED</x:v>
      </x:c>
      <x:c r="Z198" s="53" t="str">
        <x:v>BLOCKED_UNTIL_EXACT_METHOD_SOURCE_SAFETY_AND_LOCAL_REVIEW</x:v>
      </x:c>
      <x:c r="AA198" s="53" t="str">
        <x:v>DESIGN_ONLY_NOT_EXECUTED</x:v>
      </x:c>
      <x:c r="AB19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8" s="53" t="str">
        <x:v>0.4</x:v>
      </x:c>
    </x:row>
    <x:row r="199">
      <x:c r="A199" s="26" t="str">
        <x:v>PRJ-196</x:v>
      </x:c>
      <x:c r="B199" s="26" t="str">
        <x:v>SCI-EDU-03</x:v>
      </x:c>
      <x:c r="C199" s="26" t="str">
        <x:v>EDU</x:v>
      </x:c>
      <x:c r="D199" s="26" t="str">
        <x:v>Практическая проверка: Числовая грамотность и бытовые расчёты</x:v>
      </x:c>
      <x:c r="E199" s="26" t="str">
        <x:v>OBSERVATION_DATA_OR_CALCULATION</x:v>
      </x:c>
      <x:c r="F199" s="26" t="str">
        <x:v>Объяснить базовую модель, выполнить допустимую для класса риска проверку и документировать пределы по теме «Числовая грамотность и бытовые расчёты».</x:v>
      </x:c>
      <x:c r="G199" s="26" t="str">
        <x:v>SCI-EDU-02|SCI-METH-13|право остановить опыт|инструкция оборудования</x:v>
      </x:c>
      <x:c r="H199" s="26" t="str">
        <x:v>TBD_NON_EXECUTABLE: точные item/model/material/range/PPE для демонстрация mastery должны быть утверждены до начала</x:v>
      </x:c>
      <x:c r="I199" s="26" t="str">
        <x:v>Сформулировать вопрос; записать метод и единицы; выполнить оценка, расчёт, единица и здравый контроль результата; сохранить сырые данные; повторить; оценить неопределённость; сделать ограниченный вывод.</x:v>
      </x:c>
      <x:c r="J199" s="26" t="str">
        <x:v>оценка, расчёт, единица и здравый контроль результата</x:v>
      </x:c>
      <x:c r="K199" s="26" t="str">
        <x:v>SI или явно названный стандарт</x:v>
      </x:c>
      <x:c r="L199" s="26" t="str">
        <x:v>TBD_BEFORE_EXECUTION_FROM_EXACT_METHOD: диапазон/критерий фиксируется до результата; post-hoc подгонка запрещена.</x:v>
      </x:c>
      <x:c r="M199" s="26" t="str">
        <x:v>сырые данные + фото/скриншот при допустимости + расчёт + uncertainty + подпись reviewer + hash пакета</x:v>
      </x:c>
      <x:c r="N199" s="26" t="n">
        <x:v>2</x:v>
      </x:c>
      <x:c r="O199" s="26" t="str">
        <x:v>TBD_METHOD_SPECIFIC: range/resolution/bias/repeat spread/operator effects утверждаются до execution</x:v>
      </x:c>
      <x:c r="P19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199" s="26" t="str">
        <x:v>STOP при неясных правах, происхождении данных, этическом конфликте или невозможности сохранить исходные данные.</x:v>
      </x:c>
      <x:c r="R199" s="26" t="str">
        <x:v>TBD_ITEM_SPECIFIC_AND_LOCAL: пока маршрут отходов не утверждён, физическое выполнение блокировано.</x:v>
      </x:c>
      <x:c r="S199" s="26" t="str">
        <x:v>S0_OBSERVE_READ</x:v>
      </x:c>
      <x:c r="T199" s="26" t="str">
        <x:v>Самостоятельно после проверки источника; опасное действие из текста не выполняется.</x:v>
      </x:c>
      <x:c r="U199" s="26" t="n">
        <x:v>3</x:v>
      </x:c>
      <x:c r="V199" s="26" t="str">
        <x:v>ANY_SAFE_PERIOD</x:v>
      </x:c>
      <x:c r="W199" s="26" t="str">
        <x:v>records/science/SCI-EDU-03/YYYY-MM-DD/</x:v>
      </x:c>
      <x:c r="X199" s="26" t="str">
        <x:v>PSP-011|PSP-025</x:v>
      </x:c>
      <x:c r="Y199" s="26" t="str">
        <x:v>PROVISIONAL_TOPIC_CANDIDATES_NOT_METHOD_REVIEWED</x:v>
      </x:c>
      <x:c r="Z199" s="26" t="str">
        <x:v>BLOCKED_UNTIL_EXACT_METHOD_SOURCE_SAFETY_AND_LOCAL_REVIEW</x:v>
      </x:c>
      <x:c r="AA199" s="26" t="str">
        <x:v>DESIGN_ONLY_NOT_EXECUTED</x:v>
      </x:c>
      <x:c r="AB19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199" s="26" t="str">
        <x:v>0.4</x:v>
      </x:c>
    </x:row>
    <x:row r="200">
      <x:c r="A200" s="53" t="str">
        <x:v>PRJ-197</x:v>
      </x:c>
      <x:c r="B200" s="53" t="str">
        <x:v>SCI-EDU-04</x:v>
      </x:c>
      <x:c r="C200" s="53" t="str">
        <x:v>EDU</x:v>
      </x:c>
      <x:c r="D200" s="53" t="str">
        <x:v>Практическая проверка: Педагогика, память и интервальное повторение</x:v>
      </x:c>
      <x:c r="E200" s="53" t="str">
        <x:v>OBSERVATION_DATA_OR_CALCULATION</x:v>
      </x:c>
      <x:c r="F200" s="53" t="str">
        <x:v>Объяснить базовую модель, выполнить допустимую для класса риска проверку и документировать пределы по теме «Педагогика, память и интервальное повторение».</x:v>
      </x:c>
      <x:c r="G200" s="53" t="str">
        <x:v>SCI-EDU-03|SCI-METH-13|право остановить опыт|инструкция оборудования</x:v>
      </x:c>
      <x:c r="H200" s="53" t="str">
        <x:v>TBD_NON_EXECUTABLE: точные item/model/material/range/PPE для демонстрация mastery должны быть утверждены до начала</x:v>
      </x:c>
      <x:c r="I200" s="53" t="str">
        <x:v>Сформулировать вопрос; записать метод и единицы; выполнить план занятия с retrieval practice; сохранить сырые данные; повторить; оценить неопределённость; сделать ограниченный вывод.</x:v>
      </x:c>
      <x:c r="J200" s="53" t="str">
        <x:v>план занятия с retrieval practice</x:v>
      </x:c>
      <x:c r="K200" s="53" t="str">
        <x:v>SI или явно названный стандарт</x:v>
      </x:c>
      <x:c r="L200" s="53" t="str">
        <x:v>TBD_BEFORE_EXECUTION_FROM_EXACT_METHOD: диапазон/критерий фиксируется до результата; post-hoc подгонка запрещена.</x:v>
      </x:c>
      <x:c r="M200" s="53" t="str">
        <x:v>сырые данные + фото/скриншот при допустимости + расчёт + uncertainty + подпись reviewer + hash пакета</x:v>
      </x:c>
      <x:c r="N200" s="53" t="n">
        <x:v>2</x:v>
      </x:c>
      <x:c r="O200" s="53" t="str">
        <x:v>TBD_METHOD_SPECIFIC: range/resolution/bias/repeat spread/operator effects утверждаются до execution</x:v>
      </x:c>
      <x:c r="P20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0" s="53" t="str">
        <x:v>STOP при неясных правах, происхождении данных, этическом конфликте или невозможности сохранить исходные данные.</x:v>
      </x:c>
      <x:c r="R200" s="53" t="str">
        <x:v>TBD_ITEM_SPECIFIC_AND_LOCAL: пока маршрут отходов не утверждён, физическое выполнение блокировано.</x:v>
      </x:c>
      <x:c r="S200" s="53" t="str">
        <x:v>S0_OBSERVE_READ</x:v>
      </x:c>
      <x:c r="T200" s="53" t="str">
        <x:v>Самостоятельно после проверки источника; опасное действие из текста не выполняется.</x:v>
      </x:c>
      <x:c r="U200" s="53" t="n">
        <x:v>3</x:v>
      </x:c>
      <x:c r="V200" s="53" t="str">
        <x:v>ANY_SAFE_PERIOD</x:v>
      </x:c>
      <x:c r="W200" s="53" t="str">
        <x:v>records/science/SCI-EDU-04/YYYY-MM-DD/</x:v>
      </x:c>
      <x:c r="X200" s="53" t="str">
        <x:v>PSP-119|SUP-MDE-004</x:v>
      </x:c>
      <x:c r="Y200" s="53" t="str">
        <x:v>PROVISIONAL_TOPIC_CANDIDATES_NOT_METHOD_REVIEWED</x:v>
      </x:c>
      <x:c r="Z200" s="53" t="str">
        <x:v>BLOCKED_UNTIL_EXACT_METHOD_SOURCE_SAFETY_AND_LOCAL_REVIEW</x:v>
      </x:c>
      <x:c r="AA200" s="53" t="str">
        <x:v>DESIGN_ONLY_NOT_EXECUTED</x:v>
      </x:c>
      <x:c r="AB20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0" s="53" t="str">
        <x:v>0.4</x:v>
      </x:c>
    </x:row>
    <x:row r="201">
      <x:c r="A201" s="26" t="str">
        <x:v>PRJ-198</x:v>
      </x:c>
      <x:c r="B201" s="26" t="str">
        <x:v>SCI-EDU-05</x:v>
      </x:c>
      <x:c r="C201" s="26" t="str">
        <x:v>EDU</x:v>
      </x:c>
      <x:c r="D201" s="26" t="str">
        <x:v>Практическая проверка: Карта программы и зависимости тем</x:v>
      </x:c>
      <x:c r="E201" s="26" t="str">
        <x:v>OBSERVATION_DATA_OR_CALCULATION</x:v>
      </x:c>
      <x:c r="F201" s="26" t="str">
        <x:v>Объяснить базовую модель, выполнить допустимую для класса риска проверку и документировать пределы по теме «Карта программы и зависимости тем».</x:v>
      </x:c>
      <x:c r="G201" s="26" t="str">
        <x:v>SCI-EDU-04|SCI-METH-13|право остановить опыт|инструкция оборудования</x:v>
      </x:c>
      <x:c r="H201" s="26" t="str">
        <x:v>TBD_NON_EXECUTABLE: точные item/model/material/range/PPE для демонстрация mastery должны быть утверждены до начала</x:v>
      </x:c>
      <x:c r="I201" s="26" t="str">
        <x:v>Сформулировать вопрос; записать метод и единицы; выполнить граф prerequisite → lesson → demonstration; сохранить сырые данные; повторить; оценить неопределённость; сделать ограниченный вывод.</x:v>
      </x:c>
      <x:c r="J201" s="26" t="str">
        <x:v>граф prerequisite → lesson → demonstration</x:v>
      </x:c>
      <x:c r="K201" s="26" t="str">
        <x:v>SI или явно названный стандарт</x:v>
      </x:c>
      <x:c r="L201" s="26" t="str">
        <x:v>TBD_BEFORE_EXECUTION_FROM_EXACT_METHOD: диапазон/критерий фиксируется до результата; post-hoc подгонка запрещена.</x:v>
      </x:c>
      <x:c r="M201" s="26" t="str">
        <x:v>сырые данные + фото/скриншот при допустимости + расчёт + uncertainty + подпись reviewer + hash пакета</x:v>
      </x:c>
      <x:c r="N201" s="26" t="n">
        <x:v>2</x:v>
      </x:c>
      <x:c r="O201" s="26" t="str">
        <x:v>TBD_METHOD_SPECIFIC: range/resolution/bias/repeat spread/operator effects утверждаются до execution</x:v>
      </x:c>
      <x:c r="P20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1" s="26" t="str">
        <x:v>STOP при неясных правах, происхождении данных, этическом конфликте или невозможности сохранить исходные данные.</x:v>
      </x:c>
      <x:c r="R201" s="26" t="str">
        <x:v>TBD_ITEM_SPECIFIC_AND_LOCAL: пока маршрут отходов не утверждён, физическое выполнение блокировано.</x:v>
      </x:c>
      <x:c r="S201" s="26" t="str">
        <x:v>S0_OBSERVE_READ</x:v>
      </x:c>
      <x:c r="T201" s="26" t="str">
        <x:v>Самостоятельно после проверки источника; опасное действие из текста не выполняется.</x:v>
      </x:c>
      <x:c r="U201" s="26" t="n">
        <x:v>3</x:v>
      </x:c>
      <x:c r="V201" s="26" t="str">
        <x:v>ANY_SAFE_PERIOD</x:v>
      </x:c>
      <x:c r="W201" s="26" t="str">
        <x:v>records/science/SCI-EDU-05/YYYY-MM-DD/</x:v>
      </x:c>
      <x:c r="X201" s="26" t="str">
        <x:v>PSP-119|SUP-MDE-004</x:v>
      </x:c>
      <x:c r="Y201" s="26" t="str">
        <x:v>PROVISIONAL_TOPIC_CANDIDATES_NOT_METHOD_REVIEWED</x:v>
      </x:c>
      <x:c r="Z201" s="26" t="str">
        <x:v>BLOCKED_UNTIL_EXACT_METHOD_SOURCE_SAFETY_AND_LOCAL_REVIEW</x:v>
      </x:c>
      <x:c r="AA201" s="26" t="str">
        <x:v>DESIGN_ONLY_NOT_EXECUTED</x:v>
      </x:c>
      <x:c r="AB20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1" s="26" t="str">
        <x:v>0.4</x:v>
      </x:c>
    </x:row>
    <x:row r="202">
      <x:c r="A202" s="53" t="str">
        <x:v>PRJ-199</x:v>
      </x:c>
      <x:c r="B202" s="53" t="str">
        <x:v>SCI-EDU-06</x:v>
      </x:c>
      <x:c r="C202" s="53" t="str">
        <x:v>EDU</x:v>
      </x:c>
      <x:c r="D202" s="53" t="str">
        <x:v>Практическая проверка: Оценивание без подсказки и критерии mastery</x:v>
      </x:c>
      <x:c r="E202" s="53" t="str">
        <x:v>OBSERVATION_DATA_OR_CALCULATION</x:v>
      </x:c>
      <x:c r="F202" s="53" t="str">
        <x:v>Объяснить базовую модель, выполнить допустимую для класса риска проверку и документировать пределы по теме «Оценивание без подсказки и критерии mastery».</x:v>
      </x:c>
      <x:c r="G202" s="53" t="str">
        <x:v>SCI-EDU-05|SCI-METH-13|право остановить опыт|инструкция оборудования</x:v>
      </x:c>
      <x:c r="H202" s="53" t="str">
        <x:v>TBD_NON_EXECUTABLE: точные item/model/material/range/PPE для демонстрация mastery должны быть утверждены до начала</x:v>
      </x:c>
      <x:c r="I202" s="53" t="str">
        <x:v>Сформулировать вопрос; записать метод и единицы; выполнить слепое практическое задание по рубрике; сохранить сырые данные; повторить; оценить неопределённость; сделать ограниченный вывод.</x:v>
      </x:c>
      <x:c r="J202" s="53" t="str">
        <x:v>слепое практическое задание по рубрике</x:v>
      </x:c>
      <x:c r="K202" s="53" t="str">
        <x:v>SI или явно названный стандарт</x:v>
      </x:c>
      <x:c r="L202" s="53" t="str">
        <x:v>TBD_BEFORE_EXECUTION_FROM_EXACT_METHOD: диапазон/критерий фиксируется до результата; post-hoc подгонка запрещена.</x:v>
      </x:c>
      <x:c r="M202" s="53" t="str">
        <x:v>сырые данные + фото/скриншот при допустимости + расчёт + uncertainty + подпись reviewer + hash пакета</x:v>
      </x:c>
      <x:c r="N202" s="53" t="n">
        <x:v>2</x:v>
      </x:c>
      <x:c r="O202" s="53" t="str">
        <x:v>TBD_METHOD_SPECIFIC: range/resolution/bias/repeat spread/operator effects утверждаются до execution</x:v>
      </x:c>
      <x:c r="P20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2" s="53" t="str">
        <x:v>STOP при неясных правах, происхождении данных, этическом конфликте или невозможности сохранить исходные данные.</x:v>
      </x:c>
      <x:c r="R202" s="53" t="str">
        <x:v>TBD_ITEM_SPECIFIC_AND_LOCAL: пока маршрут отходов не утверждён, физическое выполнение блокировано.</x:v>
      </x:c>
      <x:c r="S202" s="53" t="str">
        <x:v>S0_OBSERVE_READ</x:v>
      </x:c>
      <x:c r="T202" s="53" t="str">
        <x:v>Самостоятельно после проверки источника; опасное действие из текста не выполняется.</x:v>
      </x:c>
      <x:c r="U202" s="53" t="n">
        <x:v>3</x:v>
      </x:c>
      <x:c r="V202" s="53" t="str">
        <x:v>ANY_SAFE_PERIOD</x:v>
      </x:c>
      <x:c r="W202" s="53" t="str">
        <x:v>records/science/SCI-EDU-06/YYYY-MM-DD/</x:v>
      </x:c>
      <x:c r="X202" s="53" t="str">
        <x:v>PSP-119|SUP-MDE-004</x:v>
      </x:c>
      <x:c r="Y202" s="53" t="str">
        <x:v>PROVISIONAL_TOPIC_CANDIDATES_NOT_METHOD_REVIEWED</x:v>
      </x:c>
      <x:c r="Z202" s="53" t="str">
        <x:v>BLOCKED_UNTIL_EXACT_METHOD_SOURCE_SAFETY_AND_LOCAL_REVIEW</x:v>
      </x:c>
      <x:c r="AA202" s="53" t="str">
        <x:v>DESIGN_ONLY_NOT_EXECUTED</x:v>
      </x:c>
      <x:c r="AB20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2" s="53" t="str">
        <x:v>0.4</x:v>
      </x:c>
    </x:row>
    <x:row r="203">
      <x:c r="A203" s="26" t="str">
        <x:v>PRJ-200</x:v>
      </x:c>
      <x:c r="B203" s="26" t="str">
        <x:v>SCI-EDU-07</x:v>
      </x:c>
      <x:c r="C203" s="26" t="str">
        <x:v>EDU</x:v>
      </x:c>
      <x:c r="D203" s="26" t="str">
        <x:v>Практическая проверка: Ученичество, наблюдение и постепенный допуск</x:v>
      </x:c>
      <x:c r="E203" s="26" t="str">
        <x:v>OBSERVATION_DATA_OR_CALCULATION</x:v>
      </x:c>
      <x:c r="F203" s="26" t="str">
        <x:v>Объяснить базовую модель, выполнить допустимую для класса риска проверку и документировать пределы по теме «Ученичество, наблюдение и постепенный допуск».</x:v>
      </x:c>
      <x:c r="G203" s="26" t="str">
        <x:v>SCI-EDU-06|SCI-METH-13|право остановить опыт|инструкция оборудования</x:v>
      </x:c>
      <x:c r="H203" s="26" t="str">
        <x:v>TBD_NON_EXECUTABLE: точные item/model/material/range/PPE для демонстрация mastery должны быть утверждены до начала</x:v>
      </x:c>
      <x:c r="I203" s="26" t="str">
        <x:v>Сформулировать вопрос; записать метод и единицы; выполнить матрица observe → assist → supervised → independent; сохранить сырые данные; повторить; оценить неопределённость; сделать ограниченный вывод.</x:v>
      </x:c>
      <x:c r="J203" s="26" t="str">
        <x:v>матрица observe → assist → supervised → independent</x:v>
      </x:c>
      <x:c r="K203" s="26" t="str">
        <x:v>SI или явно названный стандарт</x:v>
      </x:c>
      <x:c r="L203" s="26" t="str">
        <x:v>TBD_BEFORE_EXECUTION_FROM_EXACT_METHOD: диапазон/критерий фиксируется до результата; post-hoc подгонка запрещена.</x:v>
      </x:c>
      <x:c r="M203" s="26" t="str">
        <x:v>сырые данные + фото/скриншот при допустимости + расчёт + uncertainty + подпись reviewer + hash пакета</x:v>
      </x:c>
      <x:c r="N203" s="26" t="n">
        <x:v>2</x:v>
      </x:c>
      <x:c r="O203" s="26" t="str">
        <x:v>TBD_METHOD_SPECIFIC: range/resolution/bias/repeat spread/operator effects утверждаются до execution</x:v>
      </x:c>
      <x:c r="P20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3" s="26" t="str">
        <x:v>STOP при неясных правах, происхождении данных, этическом конфликте или невозможности сохранить исходные данные.</x:v>
      </x:c>
      <x:c r="R203" s="26" t="str">
        <x:v>TBD_ITEM_SPECIFIC_AND_LOCAL: пока маршрут отходов не утверждён, физическое выполнение блокировано.</x:v>
      </x:c>
      <x:c r="S203" s="26" t="str">
        <x:v>S0_OBSERVE_READ</x:v>
      </x:c>
      <x:c r="T203" s="26" t="str">
        <x:v>Самостоятельно после проверки источника; опасное действие из текста не выполняется.</x:v>
      </x:c>
      <x:c r="U203" s="26" t="n">
        <x:v>3</x:v>
      </x:c>
      <x:c r="V203" s="26" t="str">
        <x:v>ANY_SAFE_PERIOD</x:v>
      </x:c>
      <x:c r="W203" s="26" t="str">
        <x:v>records/science/SCI-EDU-07/YYYY-MM-DD/</x:v>
      </x:c>
      <x:c r="X203" s="26" t="str">
        <x:v>PSP-119|SUP-MDE-004</x:v>
      </x:c>
      <x:c r="Y203" s="26" t="str">
        <x:v>PROVISIONAL_TOPIC_CANDIDATES_NOT_METHOD_REVIEWED</x:v>
      </x:c>
      <x:c r="Z203" s="26" t="str">
        <x:v>BLOCKED_UNTIL_EXACT_METHOD_SOURCE_SAFETY_AND_LOCAL_REVIEW</x:v>
      </x:c>
      <x:c r="AA203" s="26" t="str">
        <x:v>DESIGN_ONLY_NOT_EXECUTED</x:v>
      </x:c>
      <x:c r="AB20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3" s="26" t="str">
        <x:v>0.4</x:v>
      </x:c>
    </x:row>
    <x:row r="204">
      <x:c r="A204" s="53" t="str">
        <x:v>PRJ-201</x:v>
      </x:c>
      <x:c r="B204" s="53" t="str">
        <x:v>SCI-EDU-08</x:v>
      </x:c>
      <x:c r="C204" s="53" t="str">
        <x:v>EDU</x:v>
      </x:c>
      <x:c r="D204" s="53" t="str">
        <x:v>Практическая проверка: Техническое письмо, схемы и чек-листы</x:v>
      </x:c>
      <x:c r="E204" s="53" t="str">
        <x:v>OBSERVATION_DATA_OR_CALCULATION</x:v>
      </x:c>
      <x:c r="F204" s="53" t="str">
        <x:v>Объяснить базовую модель, выполнить допустимую для класса риска проверку и документировать пределы по теме «Техническое письмо, схемы и чек-листы».</x:v>
      </x:c>
      <x:c r="G204" s="53" t="str">
        <x:v>SCI-EDU-07|SCI-METH-13|право остановить опыт|инструкция оборудования</x:v>
      </x:c>
      <x:c r="H204" s="53" t="str">
        <x:v>TBD_NON_EXECUTABLE: точные item/model/material/range/PPE для демонстрация mastery должны быть утверждены до начала</x:v>
      </x:c>
      <x:c r="I204" s="53" t="str">
        <x:v>Сформулировать вопрос; записать метод и единицы; выполнить однозначная инструкция, проверенная вторым человеком; сохранить сырые данные; повторить; оценить неопределённость; сделать ограниченный вывод.</x:v>
      </x:c>
      <x:c r="J204" s="53" t="str">
        <x:v>однозначная инструкция, проверенная вторым человеком</x:v>
      </x:c>
      <x:c r="K204" s="53" t="str">
        <x:v>SI или явно названный стандарт</x:v>
      </x:c>
      <x:c r="L204" s="53" t="str">
        <x:v>TBD_BEFORE_EXECUTION_FROM_EXACT_METHOD: диапазон/критерий фиксируется до результата; post-hoc подгонка запрещена.</x:v>
      </x:c>
      <x:c r="M204" s="53" t="str">
        <x:v>сырые данные + фото/скриншот при допустимости + расчёт + uncertainty + подпись reviewer + hash пакета</x:v>
      </x:c>
      <x:c r="N204" s="53" t="n">
        <x:v>2</x:v>
      </x:c>
      <x:c r="O204" s="53" t="str">
        <x:v>TBD_METHOD_SPECIFIC: range/resolution/bias/repeat spread/operator effects утверждаются до execution</x:v>
      </x:c>
      <x:c r="P20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4" s="53" t="str">
        <x:v>STOP при неясных правах, происхождении данных, этическом конфликте или невозможности сохранить исходные данные.</x:v>
      </x:c>
      <x:c r="R204" s="53" t="str">
        <x:v>TBD_ITEM_SPECIFIC_AND_LOCAL: пока маршрут отходов не утверждён, физическое выполнение блокировано.</x:v>
      </x:c>
      <x:c r="S204" s="53" t="str">
        <x:v>S0_OBSERVE_READ</x:v>
      </x:c>
      <x:c r="T204" s="53" t="str">
        <x:v>Самостоятельно после проверки источника; опасное действие из текста не выполняется.</x:v>
      </x:c>
      <x:c r="U204" s="53" t="n">
        <x:v>3</x:v>
      </x:c>
      <x:c r="V204" s="53" t="str">
        <x:v>ANY_SAFE_PERIOD</x:v>
      </x:c>
      <x:c r="W204" s="53" t="str">
        <x:v>records/science/SCI-EDU-08/YYYY-MM-DD/</x:v>
      </x:c>
      <x:c r="X204" s="53" t="str">
        <x:v>PSP-082|PSP-119</x:v>
      </x:c>
      <x:c r="Y204" s="53" t="str">
        <x:v>PROVISIONAL_TOPIC_CANDIDATES_NOT_METHOD_REVIEWED</x:v>
      </x:c>
      <x:c r="Z204" s="53" t="str">
        <x:v>BLOCKED_UNTIL_EXACT_METHOD_SOURCE_SAFETY_AND_LOCAL_REVIEW</x:v>
      </x:c>
      <x:c r="AA204" s="53" t="str">
        <x:v>DESIGN_ONLY_NOT_EXECUTED</x:v>
      </x:c>
      <x:c r="AB20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4" s="53" t="str">
        <x:v>0.4</x:v>
      </x:c>
    </x:row>
    <x:row r="205">
      <x:c r="A205" s="26" t="str">
        <x:v>PRJ-202</x:v>
      </x:c>
      <x:c r="B205" s="26" t="str">
        <x:v>SCI-EDU-09</x:v>
      </x:c>
      <x:c r="C205" s="26" t="str">
        <x:v>EDU</x:v>
      </x:c>
      <x:c r="D205" s="26" t="str">
        <x:v>Практическая проверка: Технический перевод и опасные неоднозначности</x:v>
      </x:c>
      <x:c r="E205" s="26" t="str">
        <x:v>OBSERVATION_DATA_OR_CALCULATION</x:v>
      </x:c>
      <x:c r="F205" s="26" t="str">
        <x:v>Объяснить базовую модель, выполнить допустимую для класса риска проверку и документировать пределы по теме «Технический перевод и опасные неоднозначности».</x:v>
      </x:c>
      <x:c r="G205" s="26" t="str">
        <x:v>SCI-EDU-08|SCI-METH-13|право остановить опыт|инструкция оборудования</x:v>
      </x:c>
      <x:c r="H205" s="26" t="str">
        <x:v>TBD_NON_EXECUTABLE: точные item/model/material/range/PPE для демонстрация mastery должны быть утверждены до начала</x:v>
      </x:c>
      <x:c r="I205" s="26" t="str">
        <x:v>Сформулировать вопрос; записать метод и единицы; выполнить двуязычная проверка единиц, отрицаний и стоп-условий; сохранить сырые данные; повторить; оценить неопределённость; сделать ограниченный вывод.</x:v>
      </x:c>
      <x:c r="J205" s="26" t="str">
        <x:v>двуязычная проверка единиц, отрицаний и стоп-условий</x:v>
      </x:c>
      <x:c r="K205" s="26" t="str">
        <x:v>SI или явно названный стандарт</x:v>
      </x:c>
      <x:c r="L205" s="26" t="str">
        <x:v>TBD_BEFORE_EXECUTION_FROM_EXACT_METHOD: диапазон/критерий фиксируется до результата; post-hoc подгонка запрещена.</x:v>
      </x:c>
      <x:c r="M205" s="26" t="str">
        <x:v>сырые данные + фото/скриншот при допустимости + расчёт + uncertainty + подпись reviewer + hash пакета</x:v>
      </x:c>
      <x:c r="N205" s="26" t="n">
        <x:v>2</x:v>
      </x:c>
      <x:c r="O205" s="26" t="str">
        <x:v>TBD_METHOD_SPECIFIC: range/resolution/bias/repeat spread/operator effects утверждаются до execution</x:v>
      </x:c>
      <x:c r="P20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5" s="26" t="str">
        <x:v>STOP при неясных правах, происхождении данных, этическом конфликте или невозможности сохранить исходные данные.</x:v>
      </x:c>
      <x:c r="R205" s="26" t="str">
        <x:v>TBD_ITEM_SPECIFIC_AND_LOCAL: пока маршрут отходов не утверждён, физическое выполнение блокировано.</x:v>
      </x:c>
      <x:c r="S205" s="26" t="str">
        <x:v>S0_OBSERVE_READ</x:v>
      </x:c>
      <x:c r="T205" s="26" t="str">
        <x:v>Самостоятельно после проверки источника; опасное действие из текста не выполняется.</x:v>
      </x:c>
      <x:c r="U205" s="26" t="n">
        <x:v>3</x:v>
      </x:c>
      <x:c r="V205" s="26" t="str">
        <x:v>ANY_SAFE_PERIOD</x:v>
      </x:c>
      <x:c r="W205" s="26" t="str">
        <x:v>records/science/SCI-EDU-09/YYYY-MM-DD/</x:v>
      </x:c>
      <x:c r="X205" s="26" t="str">
        <x:v>PSP-029|PSP-100</x:v>
      </x:c>
      <x:c r="Y205" s="26" t="str">
        <x:v>PROVISIONAL_TOPIC_CANDIDATES_NOT_METHOD_REVIEWED</x:v>
      </x:c>
      <x:c r="Z205" s="26" t="str">
        <x:v>BLOCKED_UNTIL_EXACT_METHOD_SOURCE_SAFETY_AND_LOCAL_REVIEW</x:v>
      </x:c>
      <x:c r="AA205" s="26" t="str">
        <x:v>DESIGN_ONLY_NOT_EXECUTED</x:v>
      </x:c>
      <x:c r="AB20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5" s="26" t="str">
        <x:v>0.4</x:v>
      </x:c>
    </x:row>
    <x:row r="206">
      <x:c r="A206" s="53" t="str">
        <x:v>PRJ-203</x:v>
      </x:c>
      <x:c r="B206" s="53" t="str">
        <x:v>SCI-EDU-10</x:v>
      </x:c>
      <x:c r="C206" s="53" t="str">
        <x:v>EDU</x:v>
      </x:c>
      <x:c r="D206" s="53" t="str">
        <x:v>Практическая проверка: Доступность: зрение, слух, моторика и когнитивная нагрузка</x:v>
      </x:c>
      <x:c r="E206" s="53" t="str">
        <x:v>OBSERVATION_DATA_OR_CALCULATION</x:v>
      </x:c>
      <x:c r="F206" s="53" t="str">
        <x:v>Объяснить базовую модель, выполнить допустимую для класса риска проверку и документировать пределы по теме «Доступность: зрение, слух, моторика и когнитивная нагрузка».</x:v>
      </x:c>
      <x:c r="G206" s="53" t="str">
        <x:v>SCI-EDU-09|SCI-METH-13|право остановить опыт|инструкция оборудования</x:v>
      </x:c>
      <x:c r="H206" s="53" t="str">
        <x:v>TBD_NON_EXECUTABLE: точные item/model/material/range/PPE для демонстрация mastery должны быть утверждены до начала</x:v>
      </x:c>
      <x:c r="I206" s="53" t="str">
        <x:v>Сформулировать вопрос; записать метод и единицы; выполнить альтернативный формат одной инструкции; сохранить сырые данные; повторить; оценить неопределённость; сделать ограниченный вывод.</x:v>
      </x:c>
      <x:c r="J206" s="53" t="str">
        <x:v>альтернативный формат одной инструкции</x:v>
      </x:c>
      <x:c r="K206" s="53" t="str">
        <x:v>SI или явно названный стандарт</x:v>
      </x:c>
      <x:c r="L206" s="53" t="str">
        <x:v>TBD_BEFORE_EXECUTION_FROM_EXACT_METHOD: диапазон/критерий фиксируется до результата; post-hoc подгонка запрещена.</x:v>
      </x:c>
      <x:c r="M206" s="53" t="str">
        <x:v>сырые данные + фото/скриншот при допустимости + расчёт + uncertainty + подпись reviewer + hash пакета</x:v>
      </x:c>
      <x:c r="N206" s="53" t="n">
        <x:v>2</x:v>
      </x:c>
      <x:c r="O206" s="53" t="str">
        <x:v>TBD_METHOD_SPECIFIC: range/resolution/bias/repeat spread/operator effects утверждаются до execution</x:v>
      </x:c>
      <x:c r="P20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6" s="53" t="str">
        <x:v>STOP при неясных правах, происхождении данных, этическом конфликте или невозможности сохранить исходные данные.</x:v>
      </x:c>
      <x:c r="R206" s="53" t="str">
        <x:v>TBD_ITEM_SPECIFIC_AND_LOCAL: пока маршрут отходов не утверждён, физическое выполнение блокировано.</x:v>
      </x:c>
      <x:c r="S206" s="53" t="str">
        <x:v>S0_OBSERVE_READ</x:v>
      </x:c>
      <x:c r="T206" s="53" t="str">
        <x:v>Самостоятельно после проверки источника; опасное действие из текста не выполняется.</x:v>
      </x:c>
      <x:c r="U206" s="53" t="n">
        <x:v>3</x:v>
      </x:c>
      <x:c r="V206" s="53" t="str">
        <x:v>ANY_SAFE_PERIOD</x:v>
      </x:c>
      <x:c r="W206" s="53" t="str">
        <x:v>records/science/SCI-EDU-10/YYYY-MM-DD/</x:v>
      </x:c>
      <x:c r="X206" s="53" t="str">
        <x:v>PSP-119|SUP-MDE-004</x:v>
      </x:c>
      <x:c r="Y206" s="53" t="str">
        <x:v>PROVISIONAL_TOPIC_CANDIDATES_NOT_METHOD_REVIEWED</x:v>
      </x:c>
      <x:c r="Z206" s="53" t="str">
        <x:v>BLOCKED_UNTIL_EXACT_METHOD_SOURCE_SAFETY_AND_LOCAL_REVIEW</x:v>
      </x:c>
      <x:c r="AA206" s="53" t="str">
        <x:v>DESIGN_ONLY_NOT_EXECUTED</x:v>
      </x:c>
      <x:c r="AB20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6" s="53" t="str">
        <x:v>0.4</x:v>
      </x:c>
    </x:row>
    <x:row r="207">
      <x:c r="A207" s="26" t="str">
        <x:v>PRJ-204</x:v>
      </x:c>
      <x:c r="B207" s="26" t="str">
        <x:v>SCI-EDU-11</x:v>
      </x:c>
      <x:c r="C207" s="26" t="str">
        <x:v>EDU</x:v>
      </x:c>
      <x:c r="D207" s="26" t="str">
        <x:v>Практическая проверка: Коммуникация в конфликте и read-back/check-back</x:v>
      </x:c>
      <x:c r="E207" s="26" t="str">
        <x:v>OBSERVATION_DATA_OR_CALCULATION</x:v>
      </x:c>
      <x:c r="F207" s="26" t="str">
        <x:v>Объяснить базовую модель, выполнить допустимую для класса риска проверку и документировать пределы по теме «Коммуникация в конфликте и read-back/check-back».</x:v>
      </x:c>
      <x:c r="G207" s="26" t="str">
        <x:v>SCI-EDU-10|SCI-METH-13|право остановить опыт|инструкция оборудования</x:v>
      </x:c>
      <x:c r="H207" s="26" t="str">
        <x:v>TBD_NON_EXECUTABLE: точные item/model/material/range/PPE для демонстрация mastery должны быть утверждены до начала</x:v>
      </x:c>
      <x:c r="I207" s="26" t="str">
        <x:v>Сформулировать вопрос; записать метод и единицы; выполнить ролевая передача задачи с подтверждением; сохранить сырые данные; повторить; оценить неопределённость; сделать ограниченный вывод.</x:v>
      </x:c>
      <x:c r="J207" s="26" t="str">
        <x:v>ролевая передача задачи с подтверждением</x:v>
      </x:c>
      <x:c r="K207" s="26" t="str">
        <x:v>SI или явно названный стандарт</x:v>
      </x:c>
      <x:c r="L207" s="26" t="str">
        <x:v>TBD_BEFORE_EXECUTION_FROM_EXACT_METHOD: диапазон/критерий фиксируется до результата; post-hoc подгонка запрещена.</x:v>
      </x:c>
      <x:c r="M207" s="26" t="str">
        <x:v>сырые данные + фото/скриншот при допустимости + расчёт + uncertainty + подпись reviewer + hash пакета</x:v>
      </x:c>
      <x:c r="N207" s="26" t="n">
        <x:v>2</x:v>
      </x:c>
      <x:c r="O207" s="26" t="str">
        <x:v>TBD_METHOD_SPECIFIC: range/resolution/bias/repeat spread/operator effects утверждаются до execution</x:v>
      </x:c>
      <x:c r="P20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7" s="26" t="str">
        <x:v>STOP при неясных правах, происхождении данных, этическом конфликте или невозможности сохранить исходные данные.</x:v>
      </x:c>
      <x:c r="R207" s="26" t="str">
        <x:v>TBD_ITEM_SPECIFIC_AND_LOCAL: пока маршрут отходов не утверждён, физическое выполнение блокировано.</x:v>
      </x:c>
      <x:c r="S207" s="26" t="str">
        <x:v>S0_OBSERVE_READ</x:v>
      </x:c>
      <x:c r="T207" s="26" t="str">
        <x:v>Самостоятельно после проверки источника; опасное действие из текста не выполняется.</x:v>
      </x:c>
      <x:c r="U207" s="26" t="n">
        <x:v>3</x:v>
      </x:c>
      <x:c r="V207" s="26" t="str">
        <x:v>ANY_SAFE_PERIOD</x:v>
      </x:c>
      <x:c r="W207" s="26" t="str">
        <x:v>records/science/SCI-EDU-11/YYYY-MM-DD/</x:v>
      </x:c>
      <x:c r="X207" s="26" t="str">
        <x:v>PSP-119|SUP-MDE-004</x:v>
      </x:c>
      <x:c r="Y207" s="26" t="str">
        <x:v>PROVISIONAL_TOPIC_CANDIDATES_NOT_METHOD_REVIEWED</x:v>
      </x:c>
      <x:c r="Z207" s="26" t="str">
        <x:v>BLOCKED_UNTIL_EXACT_METHOD_SOURCE_SAFETY_AND_LOCAL_REVIEW</x:v>
      </x:c>
      <x:c r="AA207" s="26" t="str">
        <x:v>DESIGN_ONLY_NOT_EXECUTED</x:v>
      </x:c>
      <x:c r="AB20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7" s="26" t="str">
        <x:v>0.4</x:v>
      </x:c>
    </x:row>
    <x:row r="208">
      <x:c r="A208" s="53" t="str">
        <x:v>PRJ-205</x:v>
      </x:c>
      <x:c r="B208" s="53" t="str">
        <x:v>SCI-EDU-12</x:v>
      </x:c>
      <x:c r="C208" s="53" t="str">
        <x:v>EDU</x:v>
      </x:c>
      <x:c r="D208" s="53" t="str">
        <x:v>Практическая проверка: Teach-back и межпоколенческий экзамен</x:v>
      </x:c>
      <x:c r="E208" s="53" t="str">
        <x:v>OBSERVATION_DATA_OR_CALCULATION</x:v>
      </x:c>
      <x:c r="F208" s="53" t="str">
        <x:v>Объяснить базовую модель, выполнить допустимую для класса риска проверку и документировать пределы по теме «Teach-back и межпоколенческий экзамен».</x:v>
      </x:c>
      <x:c r="G208" s="53" t="str">
        <x:v>SCI-EDU-11|SCI-METH-13|право остановить опыт|инструкция оборудования</x:v>
      </x:c>
      <x:c r="H208" s="53" t="str">
        <x:v>TBD_NON_EXECUTABLE: точные item/model/material/range/PPE для демонстрация mastery должны быть утверждены до начала</x:v>
      </x:c>
      <x:c r="I208" s="53" t="str">
        <x:v>Сформулировать вопрос; записать метод и единицы; выполнить новичок выполняет задачу без устной помощи автора; сохранить сырые данные; повторить; оценить неопределённость; сделать ограниченный вывод.</x:v>
      </x:c>
      <x:c r="J208" s="53" t="str">
        <x:v>новичок выполняет задачу без устной помощи автора</x:v>
      </x:c>
      <x:c r="K208" s="53" t="str">
        <x:v>SI или явно названный стандарт</x:v>
      </x:c>
      <x:c r="L208" s="53" t="str">
        <x:v>TBD_BEFORE_EXECUTION_FROM_EXACT_METHOD: диапазон/критерий фиксируется до результата; post-hoc подгонка запрещена.</x:v>
      </x:c>
      <x:c r="M208" s="53" t="str">
        <x:v>сырые данные + фото/скриншот при допустимости + расчёт + uncertainty + подпись reviewer + hash пакета</x:v>
      </x:c>
      <x:c r="N208" s="53" t="n">
        <x:v>2</x:v>
      </x:c>
      <x:c r="O208" s="53" t="str">
        <x:v>TBD_METHOD_SPECIFIC: range/resolution/bias/repeat spread/operator effects утверждаются до execution</x:v>
      </x:c>
      <x:c r="P20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8" s="53" t="str">
        <x:v>STOP при неясных правах, происхождении данных, этическом конфликте или невозможности сохранить исходные данные.</x:v>
      </x:c>
      <x:c r="R208" s="53" t="str">
        <x:v>TBD_ITEM_SPECIFIC_AND_LOCAL: пока маршрут отходов не утверждён, физическое выполнение блокировано.</x:v>
      </x:c>
      <x:c r="S208" s="53" t="str">
        <x:v>S0_OBSERVE_READ</x:v>
      </x:c>
      <x:c r="T208" s="53" t="str">
        <x:v>Самостоятельно после проверки источника; опасное действие из текста не выполняется.</x:v>
      </x:c>
      <x:c r="U208" s="53" t="n">
        <x:v>3</x:v>
      </x:c>
      <x:c r="V208" s="53" t="str">
        <x:v>ANY_SAFE_PERIOD</x:v>
      </x:c>
      <x:c r="W208" s="53" t="str">
        <x:v>records/science/SCI-EDU-12/YYYY-MM-DD/</x:v>
      </x:c>
      <x:c r="X208" s="53" t="str">
        <x:v>PSP-119|SUP-MDE-004</x:v>
      </x:c>
      <x:c r="Y208" s="53" t="str">
        <x:v>PROVISIONAL_TOPIC_CANDIDATES_NOT_METHOD_REVIEWED</x:v>
      </x:c>
      <x:c r="Z208" s="53" t="str">
        <x:v>BLOCKED_UNTIL_EXACT_METHOD_SOURCE_SAFETY_AND_LOCAL_REVIEW</x:v>
      </x:c>
      <x:c r="AA208" s="53" t="str">
        <x:v>DESIGN_ONLY_NOT_EXECUTED</x:v>
      </x:c>
      <x:c r="AB20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8" s="53" t="str">
        <x:v>0.4</x:v>
      </x:c>
    </x:row>
    <x:row r="209">
      <x:c r="A209" s="26" t="str">
        <x:v>PRJ-206</x:v>
      </x:c>
      <x:c r="B209" s="26" t="str">
        <x:v>SCI-OPS-01</x:v>
      </x:c>
      <x:c r="C209" s="26" t="str">
        <x:v>OPS</x:v>
      </x:c>
      <x:c r="D209" s="26" t="str">
        <x:v>Практическая проверка: Инвентаризация, единицы учёта и фактический остаток</x:v>
      </x:c>
      <x:c r="E209" s="26" t="str">
        <x:v>OBSERVATION_DATA_OR_CALCULATION</x:v>
      </x:c>
      <x:c r="F209" s="26" t="str">
        <x:v>Объяснить базовую модель, выполнить допустимую для класса риска проверку и документировать пределы по теме «Инвентаризация, единицы учёта и фактический остаток».</x:v>
      </x:c>
      <x:c r="G209" s="26" t="str">
        <x:v>SCI-METH-01|SCI-METH-07|SCI-METH-14|право остановить опыт|инструкция оборудования</x:v>
      </x:c>
      <x:c r="H209" s="26" t="str">
        <x:v>TBD_NON_EXECUTABLE: точные item/model/material/range/PPE для остаток/время/дефект должны быть утверждены до начала</x:v>
      </x:c>
      <x:c r="I209" s="26" t="str">
        <x:v>Сформулировать вопрос; записать метод и единицы; выполнить цикл count → discrepancy → correction; сохранить сырые данные; повторить; оценить неопределённость; сделать ограниченный вывод.</x:v>
      </x:c>
      <x:c r="J209" s="26" t="str">
        <x:v>цикл count → discrepancy → correction</x:v>
      </x:c>
      <x:c r="K209" s="26" t="str">
        <x:v>SI или явно названный стандарт</x:v>
      </x:c>
      <x:c r="L209" s="26" t="str">
        <x:v>TBD_BEFORE_EXECUTION_FROM_EXACT_METHOD: диапазон/критерий фиксируется до результата; post-hoc подгонка запрещена.</x:v>
      </x:c>
      <x:c r="M209" s="26" t="str">
        <x:v>сырые данные + фото/скриншот при допустимости + расчёт + uncertainty + подпись reviewer + hash пакета</x:v>
      </x:c>
      <x:c r="N209" s="26" t="n">
        <x:v>2</x:v>
      </x:c>
      <x:c r="O209" s="26" t="str">
        <x:v>TBD_METHOD_SPECIFIC: range/resolution/bias/repeat spread/operator effects утверждаются до execution</x:v>
      </x:c>
      <x:c r="P20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09" s="26" t="str">
        <x:v>STOP при неясных правах, происхождении данных, этическом конфликте или невозможности сохранить исходные данные.</x:v>
      </x:c>
      <x:c r="R209" s="26" t="str">
        <x:v>TBD_ITEM_SPECIFIC_AND_LOCAL: пока маршрут отходов не утверждён, физическое выполнение блокировано.</x:v>
      </x:c>
      <x:c r="S209" s="26" t="str">
        <x:v>S0_OBSERVE_READ</x:v>
      </x:c>
      <x:c r="T209" s="26" t="str">
        <x:v>Самостоятельно после проверки источника; опасное действие из текста не выполняется.</x:v>
      </x:c>
      <x:c r="U209" s="26" t="n">
        <x:v>3</x:v>
      </x:c>
      <x:c r="V209" s="26" t="str">
        <x:v>ANY_SAFE_PERIOD</x:v>
      </x:c>
      <x:c r="W209" s="26" t="str">
        <x:v>records/science/SCI-OPS-01/YYYY-MM-DD/</x:v>
      </x:c>
      <x:c r="X209" s="26" t="str">
        <x:v>PSP-077|PSP-023</x:v>
      </x:c>
      <x:c r="Y209" s="26" t="str">
        <x:v>PROVISIONAL_TOPIC_CANDIDATES_NOT_METHOD_REVIEWED</x:v>
      </x:c>
      <x:c r="Z209" s="26" t="str">
        <x:v>BLOCKED_UNTIL_EXACT_METHOD_SOURCE_SAFETY_AND_LOCAL_REVIEW</x:v>
      </x:c>
      <x:c r="AA209" s="26" t="str">
        <x:v>DESIGN_ONLY_NOT_EXECUTED</x:v>
      </x:c>
      <x:c r="AB20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09" s="26" t="str">
        <x:v>0.4</x:v>
      </x:c>
    </x:row>
    <x:row r="210">
      <x:c r="A210" s="53" t="str">
        <x:v>PRJ-207</x:v>
      </x:c>
      <x:c r="B210" s="53" t="str">
        <x:v>SCI-OPS-02</x:v>
      </x:c>
      <x:c r="C210" s="53" t="str">
        <x:v>OPS</x:v>
      </x:c>
      <x:c r="D210" s="53" t="str">
        <x:v>Практическая проверка: Бухгалтерский след и двойная запись</x:v>
      </x:c>
      <x:c r="E210" s="53" t="str">
        <x:v>OBSERVATION_DATA_OR_CALCULATION</x:v>
      </x:c>
      <x:c r="F210" s="53" t="str">
        <x:v>Объяснить базовую модель, выполнить допустимую для класса риска проверку и документировать пределы по теме «Бухгалтерский след и двойная запись».</x:v>
      </x:c>
      <x:c r="G210" s="53" t="str">
        <x:v>SCI-OPS-01|SCI-METH-13|право остановить опыт|инструкция оборудования</x:v>
      </x:c>
      <x:c r="H210" s="53" t="str">
        <x:v>TBD_NON_EXECUTABLE: точные item/model/material/range/PPE для остаток/время/дефект должны быть утверждены до начала</x:v>
      </x:c>
      <x:c r="I210" s="53" t="str">
        <x:v>Сформулировать вопрос; записать метод и единицы; выполнить сверка журнала с остатком без реальных финансовых данных; сохранить сырые данные; повторить; оценить неопределённость; сделать ограниченный вывод.</x:v>
      </x:c>
      <x:c r="J210" s="53" t="str">
        <x:v>сверка журнала с остатком без реальных финансовых данных</x:v>
      </x:c>
      <x:c r="K210" s="53" t="str">
        <x:v>SI или явно названный стандарт</x:v>
      </x:c>
      <x:c r="L210" s="53" t="str">
        <x:v>TBD_BEFORE_EXECUTION_FROM_EXACT_METHOD: диапазон/критерий фиксируется до результата; post-hoc подгонка запрещена.</x:v>
      </x:c>
      <x:c r="M210" s="53" t="str">
        <x:v>сырые данные + фото/скриншот при допустимости + расчёт + uncertainty + подпись reviewer + hash пакета</x:v>
      </x:c>
      <x:c r="N210" s="53" t="n">
        <x:v>2</x:v>
      </x:c>
      <x:c r="O210" s="53" t="str">
        <x:v>TBD_METHOD_SPECIFIC: range/resolution/bias/repeat spread/operator effects утверждаются до execution</x:v>
      </x:c>
      <x:c r="P21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0" s="53" t="str">
        <x:v>STOP при неясных правах, происхождении данных, этическом конфликте или невозможности сохранить исходные данные.</x:v>
      </x:c>
      <x:c r="R210" s="53" t="str">
        <x:v>TBD_ITEM_SPECIFIC_AND_LOCAL: пока маршрут отходов не утверждён, физическое выполнение блокировано.</x:v>
      </x:c>
      <x:c r="S210" s="53" t="str">
        <x:v>S0_OBSERVE_READ</x:v>
      </x:c>
      <x:c r="T210" s="53" t="str">
        <x:v>Самостоятельно после проверки источника; опасное действие из текста не выполняется.</x:v>
      </x:c>
      <x:c r="U210" s="53" t="n">
        <x:v>3</x:v>
      </x:c>
      <x:c r="V210" s="53" t="str">
        <x:v>ANY_SAFE_PERIOD</x:v>
      </x:c>
      <x:c r="W210" s="53" t="str">
        <x:v>records/science/SCI-OPS-02/YYYY-MM-DD/</x:v>
      </x:c>
      <x:c r="X210" s="53" t="str">
        <x:v>PSP-077|PSP-023</x:v>
      </x:c>
      <x:c r="Y210" s="53" t="str">
        <x:v>PROVISIONAL_TOPIC_CANDIDATES_NOT_METHOD_REVIEWED</x:v>
      </x:c>
      <x:c r="Z210" s="53" t="str">
        <x:v>BLOCKED_UNTIL_EXACT_METHOD_SOURCE_SAFETY_AND_LOCAL_REVIEW</x:v>
      </x:c>
      <x:c r="AA210" s="53" t="str">
        <x:v>DESIGN_ONLY_NOT_EXECUTED</x:v>
      </x:c>
      <x:c r="AB21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0" s="53" t="str">
        <x:v>0.4</x:v>
      </x:c>
    </x:row>
    <x:row r="211">
      <x:c r="A211" s="26" t="str">
        <x:v>PRJ-208</x:v>
      </x:c>
      <x:c r="B211" s="26" t="str">
        <x:v>SCI-OPS-03</x:v>
      </x:c>
      <x:c r="C211" s="26" t="str">
        <x:v>OPS</x:v>
      </x:c>
      <x:c r="D211" s="26" t="str">
        <x:v>Практическая проверка: Логистика, lead time, reorder point и резерв</x:v>
      </x:c>
      <x:c r="E211" s="26" t="str">
        <x:v>OBSERVATION_DATA_OR_CALCULATION</x:v>
      </x:c>
      <x:c r="F211" s="26" t="str">
        <x:v>Объяснить базовую модель, выполнить допустимую для класса риска проверку и документировать пределы по теме «Логистика, lead time, reorder point и резерв».</x:v>
      </x:c>
      <x:c r="G211" s="26" t="str">
        <x:v>SCI-OPS-02|SCI-METH-13|право остановить опыт|инструкция оборудования</x:v>
      </x:c>
      <x:c r="H211" s="26" t="str">
        <x:v>TBD_NON_EXECUTABLE: точные item/model/material/range/PPE для остаток/время/дефект должны быть утверждены до начала</x:v>
      </x:c>
      <x:c r="I211" s="26" t="str">
        <x:v>Сформулировать вопрос; записать метод и единицы; выполнить расчёт точки заказа с вариацией спроса; сохранить сырые данные; повторить; оценить неопределённость; сделать ограниченный вывод.</x:v>
      </x:c>
      <x:c r="J211" s="26" t="str">
        <x:v>расчёт точки заказа с вариацией спроса</x:v>
      </x:c>
      <x:c r="K211" s="26" t="str">
        <x:v>SI или явно названный стандарт</x:v>
      </x:c>
      <x:c r="L211" s="26" t="str">
        <x:v>TBD_BEFORE_EXECUTION_FROM_EXACT_METHOD: диапазон/критерий фиксируется до результата; post-hoc подгонка запрещена.</x:v>
      </x:c>
      <x:c r="M211" s="26" t="str">
        <x:v>сырые данные + фото/скриншот при допустимости + расчёт + uncertainty + подпись reviewer + hash пакета</x:v>
      </x:c>
      <x:c r="N211" s="26" t="n">
        <x:v>2</x:v>
      </x:c>
      <x:c r="O211" s="26" t="str">
        <x:v>TBD_METHOD_SPECIFIC: range/resolution/bias/repeat spread/operator effects утверждаются до execution</x:v>
      </x:c>
      <x:c r="P21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1" s="26" t="str">
        <x:v>STOP при неясных правах, происхождении данных, этическом конфликте или невозможности сохранить исходные данные.</x:v>
      </x:c>
      <x:c r="R211" s="26" t="str">
        <x:v>TBD_ITEM_SPECIFIC_AND_LOCAL: пока маршрут отходов не утверждён, физическое выполнение блокировано.</x:v>
      </x:c>
      <x:c r="S211" s="26" t="str">
        <x:v>S0_OBSERVE_READ</x:v>
      </x:c>
      <x:c r="T211" s="26" t="str">
        <x:v>Самостоятельно после проверки источника; опасное действие из текста не выполняется.</x:v>
      </x:c>
      <x:c r="U211" s="26" t="n">
        <x:v>3</x:v>
      </x:c>
      <x:c r="V211" s="26" t="str">
        <x:v>ANY_SAFE_PERIOD</x:v>
      </x:c>
      <x:c r="W211" s="26" t="str">
        <x:v>records/science/SCI-OPS-03/YYYY-MM-DD/</x:v>
      </x:c>
      <x:c r="X211" s="26" t="str">
        <x:v>PSP-077|PSP-023</x:v>
      </x:c>
      <x:c r="Y211" s="26" t="str">
        <x:v>PROVISIONAL_TOPIC_CANDIDATES_NOT_METHOD_REVIEWED</x:v>
      </x:c>
      <x:c r="Z211" s="26" t="str">
        <x:v>BLOCKED_UNTIL_EXACT_METHOD_SOURCE_SAFETY_AND_LOCAL_REVIEW</x:v>
      </x:c>
      <x:c r="AA211" s="26" t="str">
        <x:v>DESIGN_ONLY_NOT_EXECUTED</x:v>
      </x:c>
      <x:c r="AB21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1" s="26" t="str">
        <x:v>0.4</x:v>
      </x:c>
    </x:row>
    <x:row r="212">
      <x:c r="A212" s="53" t="str">
        <x:v>PRJ-209</x:v>
      </x:c>
      <x:c r="B212" s="53" t="str">
        <x:v>SCI-OPS-04</x:v>
      </x:c>
      <x:c r="C212" s="53" t="str">
        <x:v>OPS</x:v>
      </x:c>
      <x:c r="D212" s="53" t="str">
        <x:v>Практическая проверка: План обслуживания, work order и запасные части</x:v>
      </x:c>
      <x:c r="E212" s="53" t="str">
        <x:v>OBSERVATION_DATA_OR_CALCULATION</x:v>
      </x:c>
      <x:c r="F212" s="53" t="str">
        <x:v>Объяснить базовую модель, выполнить допустимую для класса риска проверку и документировать пределы по теме «План обслуживания, work order и запасные части».</x:v>
      </x:c>
      <x:c r="G212" s="53" t="str">
        <x:v>SCI-OPS-03|SCI-METH-13|право остановить опыт|инструкция оборудования</x:v>
      </x:c>
      <x:c r="H212" s="53" t="str">
        <x:v>TBD_NON_EXECUTABLE: точные item/model/material/range/PPE для остаток/время/дефект должны быть утверждены до начала</x:v>
      </x:c>
      <x:c r="I212" s="53" t="str">
        <x:v>Сформулировать вопрос; записать метод и единицы; выполнить закрытый наряд с evidence; сохранить сырые данные; повторить; оценить неопределённость; сделать ограниченный вывод.</x:v>
      </x:c>
      <x:c r="J212" s="53" t="str">
        <x:v>закрытый наряд с evidence</x:v>
      </x:c>
      <x:c r="K212" s="53" t="str">
        <x:v>SI или явно названный стандарт</x:v>
      </x:c>
      <x:c r="L212" s="53" t="str">
        <x:v>TBD_BEFORE_EXECUTION_FROM_EXACT_METHOD: диапазон/критерий фиксируется до результата; post-hoc подгонка запрещена.</x:v>
      </x:c>
      <x:c r="M212" s="53" t="str">
        <x:v>сырые данные + фото/скриншот при допустимости + расчёт + uncertainty + подпись reviewer + hash пакета</x:v>
      </x:c>
      <x:c r="N212" s="53" t="n">
        <x:v>2</x:v>
      </x:c>
      <x:c r="O212" s="53" t="str">
        <x:v>TBD_METHOD_SPECIFIC: range/resolution/bias/repeat spread/operator effects утверждаются до execution</x:v>
      </x:c>
      <x:c r="P21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2" s="53" t="str">
        <x:v>STOP при неясных правах, происхождении данных, этическом конфликте или невозможности сохранить исходные данные.</x:v>
      </x:c>
      <x:c r="R212" s="53" t="str">
        <x:v>TBD_ITEM_SPECIFIC_AND_LOCAL: пока маршрут отходов не утверждён, физическое выполнение блокировано.</x:v>
      </x:c>
      <x:c r="S212" s="53" t="str">
        <x:v>S0_OBSERVE_READ</x:v>
      </x:c>
      <x:c r="T212" s="53" t="str">
        <x:v>Самостоятельно после проверки источника; опасное действие из текста не выполняется.</x:v>
      </x:c>
      <x:c r="U212" s="53" t="n">
        <x:v>3</x:v>
      </x:c>
      <x:c r="V212" s="53" t="str">
        <x:v>ANY_SAFE_PERIOD</x:v>
      </x:c>
      <x:c r="W212" s="53" t="str">
        <x:v>records/science/SCI-OPS-04/YYYY-MM-DD/</x:v>
      </x:c>
      <x:c r="X212" s="53" t="str">
        <x:v>PSP-008|PSP-116</x:v>
      </x:c>
      <x:c r="Y212" s="53" t="str">
        <x:v>PROVISIONAL_TOPIC_CANDIDATES_NOT_METHOD_REVIEWED</x:v>
      </x:c>
      <x:c r="Z212" s="53" t="str">
        <x:v>BLOCKED_UNTIL_EXACT_METHOD_SOURCE_SAFETY_AND_LOCAL_REVIEW</x:v>
      </x:c>
      <x:c r="AA212" s="53" t="str">
        <x:v>DESIGN_ONLY_NOT_EXECUTED</x:v>
      </x:c>
      <x:c r="AB21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2" s="53" t="str">
        <x:v>0.4</x:v>
      </x:c>
    </x:row>
    <x:row r="213">
      <x:c r="A213" s="26" t="str">
        <x:v>PRJ-210</x:v>
      </x:c>
      <x:c r="B213" s="26" t="str">
        <x:v>SCI-OPS-05</x:v>
      </x:c>
      <x:c r="C213" s="26" t="str">
        <x:v>OPS</x:v>
      </x:c>
      <x:c r="D213" s="26" t="str">
        <x:v>Практическая проверка: Качество, дефект, root cause и CAPA</x:v>
      </x:c>
      <x:c r="E213" s="26" t="str">
        <x:v>OBSERVATION_DATA_OR_CALCULATION</x:v>
      </x:c>
      <x:c r="F213" s="26" t="str">
        <x:v>Объяснить базовую модель, выполнить допустимую для класса риска проверку и документировать пределы по теме «Качество, дефект, root cause и CAPA».</x:v>
      </x:c>
      <x:c r="G213" s="26" t="str">
        <x:v>SCI-OPS-04|SCI-METH-13|право остановить опыт|инструкция оборудования</x:v>
      </x:c>
      <x:c r="H213" s="26" t="str">
        <x:v>TBD_NON_EXECUTABLE: точные item/model/material/range/PPE для остаток/время/дефект должны быть утверждены до начала</x:v>
      </x:c>
      <x:c r="I213" s="26" t="str">
        <x:v>Сформулировать вопрос; записать метод и единицы; выполнить разбор безопасного учебного несоответствия; сохранить сырые данные; повторить; оценить неопределённость; сделать ограниченный вывод.</x:v>
      </x:c>
      <x:c r="J213" s="26" t="str">
        <x:v>разбор безопасного учебного несоответствия</x:v>
      </x:c>
      <x:c r="K213" s="26" t="str">
        <x:v>SI или явно названный стандарт</x:v>
      </x:c>
      <x:c r="L213" s="26" t="str">
        <x:v>TBD_BEFORE_EXECUTION_FROM_EXACT_METHOD: диапазон/критерий фиксируется до результата; post-hoc подгонка запрещена.</x:v>
      </x:c>
      <x:c r="M213" s="26" t="str">
        <x:v>сырые данные + фото/скриншот при допустимости + расчёт + uncertainty + подпись reviewer + hash пакета</x:v>
      </x:c>
      <x:c r="N213" s="26" t="n">
        <x:v>2</x:v>
      </x:c>
      <x:c r="O213" s="26" t="str">
        <x:v>TBD_METHOD_SPECIFIC: range/resolution/bias/repeat spread/operator effects утверждаются до execution</x:v>
      </x:c>
      <x:c r="P21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3" s="26" t="str">
        <x:v>STOP при неясных правах, происхождении данных, этическом конфликте или невозможности сохранить исходные данные.</x:v>
      </x:c>
      <x:c r="R213" s="26" t="str">
        <x:v>TBD_ITEM_SPECIFIC_AND_LOCAL: пока маршрут отходов не утверждён, физическое выполнение блокировано.</x:v>
      </x:c>
      <x:c r="S213" s="26" t="str">
        <x:v>S0_OBSERVE_READ</x:v>
      </x:c>
      <x:c r="T213" s="26" t="str">
        <x:v>Самостоятельно после проверки источника; опасное действие из текста не выполняется.</x:v>
      </x:c>
      <x:c r="U213" s="26" t="n">
        <x:v>3</x:v>
      </x:c>
      <x:c r="V213" s="26" t="str">
        <x:v>ANY_SAFE_PERIOD</x:v>
      </x:c>
      <x:c r="W213" s="26" t="str">
        <x:v>records/science/SCI-OPS-05/YYYY-MM-DD/</x:v>
      </x:c>
      <x:c r="X213" s="26" t="str">
        <x:v>PSP-007|PSP-023</x:v>
      </x:c>
      <x:c r="Y213" s="26" t="str">
        <x:v>PROVISIONAL_TOPIC_CANDIDATES_NOT_METHOD_REVIEWED</x:v>
      </x:c>
      <x:c r="Z213" s="26" t="str">
        <x:v>BLOCKED_UNTIL_EXACT_METHOD_SOURCE_SAFETY_AND_LOCAL_REVIEW</x:v>
      </x:c>
      <x:c r="AA213" s="26" t="str">
        <x:v>DESIGN_ONLY_NOT_EXECUTED</x:v>
      </x:c>
      <x:c r="AB21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3" s="26" t="str">
        <x:v>0.4</x:v>
      </x:c>
    </x:row>
    <x:row r="214">
      <x:c r="A214" s="53" t="str">
        <x:v>PRJ-211</x:v>
      </x:c>
      <x:c r="B214" s="53" t="str">
        <x:v>SCI-OPS-06</x:v>
      </x:c>
      <x:c r="C214" s="53" t="str">
        <x:v>OPS</x:v>
      </x:c>
      <x:c r="D214" s="53" t="str">
        <x:v>Практическая проверка: Управление проектом, зависимости и change control</x:v>
      </x:c>
      <x:c r="E214" s="53" t="str">
        <x:v>OBSERVATION_DATA_OR_CALCULATION</x:v>
      </x:c>
      <x:c r="F214" s="53" t="str">
        <x:v>Объяснить базовую модель, выполнить допустимую для класса риска проверку и документировать пределы по теме «Управление проектом, зависимости и change control».</x:v>
      </x:c>
      <x:c r="G214" s="53" t="str">
        <x:v>SCI-OPS-05|SCI-METH-13|право остановить опыт|инструкция оборудования</x:v>
      </x:c>
      <x:c r="H214" s="53" t="str">
        <x:v>TBD_NON_EXECUTABLE: точные item/model/material/range/PPE для остаток/время/дефект должны быть утверждены до начала</x:v>
      </x:c>
      <x:c r="I214" s="53" t="str">
        <x:v>Сформулировать вопрос; записать метод и единицы; выполнить baseline, изменение и журнал решения; сохранить сырые данные; повторить; оценить неопределённость; сделать ограниченный вывод.</x:v>
      </x:c>
      <x:c r="J214" s="53" t="str">
        <x:v>baseline, изменение и журнал решения</x:v>
      </x:c>
      <x:c r="K214" s="53" t="str">
        <x:v>SI или явно названный стандарт</x:v>
      </x:c>
      <x:c r="L214" s="53" t="str">
        <x:v>TBD_BEFORE_EXECUTION_FROM_EXACT_METHOD: диапазон/критерий фиксируется до результата; post-hoc подгонка запрещена.</x:v>
      </x:c>
      <x:c r="M214" s="53" t="str">
        <x:v>сырые данные + фото/скриншот при допустимости + расчёт + uncertainty + подпись reviewer + hash пакета</x:v>
      </x:c>
      <x:c r="N214" s="53" t="n">
        <x:v>2</x:v>
      </x:c>
      <x:c r="O214" s="53" t="str">
        <x:v>TBD_METHOD_SPECIFIC: range/resolution/bias/repeat spread/operator effects утверждаются до execution</x:v>
      </x:c>
      <x:c r="P21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4" s="53" t="str">
        <x:v>STOP при неясных правах, происхождении данных, этическом конфликте или невозможности сохранить исходные данные.</x:v>
      </x:c>
      <x:c r="R214" s="53" t="str">
        <x:v>TBD_ITEM_SPECIFIC_AND_LOCAL: пока маршрут отходов не утверждён, физическое выполнение блокировано.</x:v>
      </x:c>
      <x:c r="S214" s="53" t="str">
        <x:v>S0_OBSERVE_READ</x:v>
      </x:c>
      <x:c r="T214" s="53" t="str">
        <x:v>Самостоятельно после проверки источника; опасное действие из текста не выполняется.</x:v>
      </x:c>
      <x:c r="U214" s="53" t="n">
        <x:v>3</x:v>
      </x:c>
      <x:c r="V214" s="53" t="str">
        <x:v>ANY_SAFE_PERIOD</x:v>
      </x:c>
      <x:c r="W214" s="53" t="str">
        <x:v>records/science/SCI-OPS-06/YYYY-MM-DD/</x:v>
      </x:c>
      <x:c r="X214" s="53" t="str">
        <x:v>PSP-007|PSP-023</x:v>
      </x:c>
      <x:c r="Y214" s="53" t="str">
        <x:v>PROVISIONAL_TOPIC_CANDIDATES_NOT_METHOD_REVIEWED</x:v>
      </x:c>
      <x:c r="Z214" s="53" t="str">
        <x:v>BLOCKED_UNTIL_EXACT_METHOD_SOURCE_SAFETY_AND_LOCAL_REVIEW</x:v>
      </x:c>
      <x:c r="AA214" s="53" t="str">
        <x:v>DESIGN_ONLY_NOT_EXECUTED</x:v>
      </x:c>
      <x:c r="AB21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4" s="53" t="str">
        <x:v>0.4</x:v>
      </x:c>
    </x:row>
    <x:row r="215">
      <x:c r="A215" s="26" t="str">
        <x:v>PRJ-212</x:v>
      </x:c>
      <x:c r="B215" s="26" t="str">
        <x:v>SCI-OPS-07</x:v>
      </x:c>
      <x:c r="C215" s="26" t="str">
        <x:v>OPS</x:v>
      </x:c>
      <x:c r="D215" s="26" t="str">
        <x:v>Практическая проверка: Emergency operations, роли и span of control</x:v>
      </x:c>
      <x:c r="E215" s="26" t="str">
        <x:v>LOW_RISK_BENCH_OR_FIELD</x:v>
      </x:c>
      <x:c r="F215" s="26" t="str">
        <x:v>Объяснить базовую модель, выполнить допустимую для класса риска проверку и документировать пределы по теме «Emergency operations, роли и span of control».</x:v>
      </x:c>
      <x:c r="G215" s="26" t="str">
        <x:v>SCI-OPS-06|SCI-METH-13|право остановить опыт|инструкция оборудования</x:v>
      </x:c>
      <x:c r="H215" s="26" t="str">
        <x:v>TBD_NON_EXECUTABLE: точные item/model/material/range/PPE для остаток/время/дефект должны быть утверждены до начала</x:v>
      </x:c>
      <x:c r="I215" s="26" t="str">
        <x:v>Сформулировать вопрос; записать метод и единицы; выполнить настольная тренировка без имитации опасных действий; сохранить сырые данные; повторить; оценить неопределённость; сделать ограниченный вывод.</x:v>
      </x:c>
      <x:c r="J215" s="26" t="str">
        <x:v>настольная тренировка без имитации опасных действий</x:v>
      </x:c>
      <x:c r="K215" s="26" t="str">
        <x:v>SI или явно названный стандарт</x:v>
      </x:c>
      <x:c r="L215" s="26" t="str">
        <x:v>TBD_BEFORE_EXECUTION_FROM_EXACT_METHOD: диапазон/критерий фиксируется до результата; post-hoc подгонка запрещена.</x:v>
      </x:c>
      <x:c r="M215" s="26" t="str">
        <x:v>сырые данные + фото/скриншот при допустимости + расчёт + uncertainty + подпись reviewer + hash пакета</x:v>
      </x:c>
      <x:c r="N215" s="26" t="n">
        <x:v>3</x:v>
      </x:c>
      <x:c r="O215" s="26" t="str">
        <x:v>TBD_METHOD_SPECIFIC: range/resolution/bias/repeat spread/operator effects утверждаются до execution</x:v>
      </x:c>
      <x:c r="P215" s="26" t="str">
        <x:v>DESIGN_PLACEHOLDER_NOT_EXECUTABLE: item-specific hazard analysis, материалы, энергия, концентрация, СИЗ и отходы ещё не утверждены.</x:v>
      </x:c>
      <x:c r="Q215" s="26" t="str">
        <x:v>BLOCKED_BEFORE_START: до точного method/source review запрещено начинать; после review нужны наблюдаемые численные/событийные stop conditions.</x:v>
      </x:c>
      <x:c r="R215" s="26" t="str">
        <x:v>TBD_ITEM_SPECIFIC_AND_LOCAL: пока маршрут отходов не утверждён, физическое выполнение блокировано.</x:v>
      </x:c>
      <x:c r="S215" s="26" t="str">
        <x:v>S1_LOW_RISK_HOUSEHOLD</x:v>
      </x:c>
      <x:c r="T215" s="26" t="str">
        <x:v>S1 допускается только после замены всех DESIGN/TBD полей точным low-risk методом и независимой safety-проверки.</x:v>
      </x:c>
      <x:c r="U215" s="26" t="n">
        <x:v>3</x:v>
      </x:c>
      <x:c r="V215" s="26" t="str">
        <x:v>ANY_SAFE_PERIOD</x:v>
      </x:c>
      <x:c r="W215" s="26" t="str">
        <x:v>records/science/SCI-OPS-07/YYYY-MM-DD/</x:v>
      </x:c>
      <x:c r="X215" s="26" t="str">
        <x:v>PSP-103|PSP-007</x:v>
      </x:c>
      <x:c r="Y215" s="26" t="str">
        <x:v>PROVISIONAL_TOPIC_CANDIDATES_NOT_METHOD_REVIEWED</x:v>
      </x:c>
      <x:c r="Z215" s="26" t="str">
        <x:v>BLOCKED_UNTIL_EXACT_METHOD_SOURCE_SAFETY_AND_LOCAL_REVIEW</x:v>
      </x:c>
      <x:c r="AA215" s="26" t="str">
        <x:v>DESIGN_ONLY_NOT_EXECUTED</x:v>
      </x:c>
      <x:c r="AB21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5" s="26" t="str">
        <x:v>0.4</x:v>
      </x:c>
    </x:row>
    <x:row r="216">
      <x:c r="A216" s="53" t="str">
        <x:v>PRJ-213</x:v>
      </x:c>
      <x:c r="B216" s="53" t="str">
        <x:v>SCI-OPS-08</x:v>
      </x:c>
      <x:c r="C216" s="53" t="str">
        <x:v>OPS</x:v>
      </x:c>
      <x:c r="D216" s="53" t="str">
        <x:v>Практическая проверка: Human factors, усталость, чек-лист и режим ошибки</x:v>
      </x:c>
      <x:c r="E216" s="53" t="str">
        <x:v>OBSERVATION_DATA_OR_CALCULATION</x:v>
      </x:c>
      <x:c r="F216" s="53" t="str">
        <x:v>Объяснить базовую модель, выполнить допустимую для класса риска проверку и документировать пределы по теме «Human factors, усталость, чек-лист и режим ошибки».</x:v>
      </x:c>
      <x:c r="G216" s="53" t="str">
        <x:v>SCI-OPS-07|SCI-METH-13|право остановить опыт|инструкция оборудования</x:v>
      </x:c>
      <x:c r="H216" s="53" t="str">
        <x:v>TBD_NON_EXECUTABLE: точные item/model/material/range/PPE для остаток/время/дефект должны быть утверждены до начала</x:v>
      </x:c>
      <x:c r="I216" s="53" t="str">
        <x:v>Сформулировать вопрос; записать метод и единицы; выполнить наблюдение процесса и redesign шага; сохранить сырые данные; повторить; оценить неопределённость; сделать ограниченный вывод.</x:v>
      </x:c>
      <x:c r="J216" s="53" t="str">
        <x:v>наблюдение процесса и redesign шага</x:v>
      </x:c>
      <x:c r="K216" s="53" t="str">
        <x:v>SI или явно названный стандарт</x:v>
      </x:c>
      <x:c r="L216" s="53" t="str">
        <x:v>TBD_BEFORE_EXECUTION_FROM_EXACT_METHOD: диапазон/критерий фиксируется до результата; post-hoc подгонка запрещена.</x:v>
      </x:c>
      <x:c r="M216" s="53" t="str">
        <x:v>сырые данные + фото/скриншот при допустимости + расчёт + uncertainty + подпись reviewer + hash пакета</x:v>
      </x:c>
      <x:c r="N216" s="53" t="n">
        <x:v>2</x:v>
      </x:c>
      <x:c r="O216" s="53" t="str">
        <x:v>TBD_METHOD_SPECIFIC: range/resolution/bias/repeat spread/operator effects утверждаются до execution</x:v>
      </x:c>
      <x:c r="P21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6" s="53" t="str">
        <x:v>STOP при неясных правах, происхождении данных, этическом конфликте или невозможности сохранить исходные данные.</x:v>
      </x:c>
      <x:c r="R216" s="53" t="str">
        <x:v>TBD_ITEM_SPECIFIC_AND_LOCAL: пока маршрут отходов не утверждён, физическое выполнение блокировано.</x:v>
      </x:c>
      <x:c r="S216" s="53" t="str">
        <x:v>S0_OBSERVE_READ</x:v>
      </x:c>
      <x:c r="T216" s="53" t="str">
        <x:v>Самостоятельно после проверки источника; опасное действие из текста не выполняется.</x:v>
      </x:c>
      <x:c r="U216" s="53" t="n">
        <x:v>3</x:v>
      </x:c>
      <x:c r="V216" s="53" t="str">
        <x:v>ANY_SAFE_PERIOD</x:v>
      </x:c>
      <x:c r="W216" s="53" t="str">
        <x:v>records/science/SCI-OPS-08/YYYY-MM-DD/</x:v>
      </x:c>
      <x:c r="X216" s="53" t="str">
        <x:v>PSP-007|PSP-023</x:v>
      </x:c>
      <x:c r="Y216" s="53" t="str">
        <x:v>PROVISIONAL_TOPIC_CANDIDATES_NOT_METHOD_REVIEWED</x:v>
      </x:c>
      <x:c r="Z216" s="53" t="str">
        <x:v>BLOCKED_UNTIL_EXACT_METHOD_SOURCE_SAFETY_AND_LOCAL_REVIEW</x:v>
      </x:c>
      <x:c r="AA216" s="53" t="str">
        <x:v>DESIGN_ONLY_NOT_EXECUTED</x:v>
      </x:c>
      <x:c r="AB21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6" s="53" t="str">
        <x:v>0.4</x:v>
      </x:c>
    </x:row>
    <x:row r="217">
      <x:c r="A217" s="26" t="str">
        <x:v>PRJ-214</x:v>
      </x:c>
      <x:c r="B217" s="26" t="str">
        <x:v>SCI-OPS-09</x:v>
      </x:c>
      <x:c r="C217" s="26" t="str">
        <x:v>OPS</x:v>
      </x:c>
      <x:c r="D217" s="26" t="str">
        <x:v>Практическая проверка: Решение при неопределённости и premortem</x:v>
      </x:c>
      <x:c r="E217" s="26" t="str">
        <x:v>OBSERVATION_DATA_OR_CALCULATION</x:v>
      </x:c>
      <x:c r="F217" s="26" t="str">
        <x:v>Объяснить базовую модель, выполнить допустимую для класса риска проверку и документировать пределы по теме «Решение при неопределённости и premortem».</x:v>
      </x:c>
      <x:c r="G217" s="26" t="str">
        <x:v>SCI-OPS-08|SCI-METH-13|право остановить опыт|инструкция оборудования</x:v>
      </x:c>
      <x:c r="H217" s="26" t="str">
        <x:v>TBD_NON_EXECUTABLE: точные item/model/material/range/PPE для остаток/время/дефект должны быть утверждены до начала</x:v>
      </x:c>
      <x:c r="I217" s="26" t="str">
        <x:v>Сформулировать вопрос; записать метод и единицы; выполнить варианты, вероятность, ущерб и обратимость; сохранить сырые данные; повторить; оценить неопределённость; сделать ограниченный вывод.</x:v>
      </x:c>
      <x:c r="J217" s="26" t="str">
        <x:v>варианты, вероятность, ущерб и обратимость</x:v>
      </x:c>
      <x:c r="K217" s="26" t="str">
        <x:v>SI или явно названный стандарт</x:v>
      </x:c>
      <x:c r="L217" s="26" t="str">
        <x:v>TBD_BEFORE_EXECUTION_FROM_EXACT_METHOD: диапазон/критерий фиксируется до результата; post-hoc подгонка запрещена.</x:v>
      </x:c>
      <x:c r="M217" s="26" t="str">
        <x:v>сырые данные + фото/скриншот при допустимости + расчёт + uncertainty + подпись reviewer + hash пакета</x:v>
      </x:c>
      <x:c r="N217" s="26" t="n">
        <x:v>2</x:v>
      </x:c>
      <x:c r="O217" s="26" t="str">
        <x:v>TBD_METHOD_SPECIFIC: range/resolution/bias/repeat spread/operator effects утверждаются до execution</x:v>
      </x:c>
      <x:c r="P21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7" s="26" t="str">
        <x:v>STOP при неясных правах, происхождении данных, этическом конфликте или невозможности сохранить исходные данные.</x:v>
      </x:c>
      <x:c r="R217" s="26" t="str">
        <x:v>TBD_ITEM_SPECIFIC_AND_LOCAL: пока маршрут отходов не утверждён, физическое выполнение блокировано.</x:v>
      </x:c>
      <x:c r="S217" s="26" t="str">
        <x:v>S0_OBSERVE_READ</x:v>
      </x:c>
      <x:c r="T217" s="26" t="str">
        <x:v>Самостоятельно после проверки источника; опасное действие из текста не выполняется.</x:v>
      </x:c>
      <x:c r="U217" s="26" t="n">
        <x:v>3</x:v>
      </x:c>
      <x:c r="V217" s="26" t="str">
        <x:v>ANY_SAFE_PERIOD</x:v>
      </x:c>
      <x:c r="W217" s="26" t="str">
        <x:v>records/science/SCI-OPS-09/YYYY-MM-DD/</x:v>
      </x:c>
      <x:c r="X217" s="26" t="str">
        <x:v>PSP-007|PSP-023</x:v>
      </x:c>
      <x:c r="Y217" s="26" t="str">
        <x:v>PROVISIONAL_TOPIC_CANDIDATES_NOT_METHOD_REVIEWED</x:v>
      </x:c>
      <x:c r="Z217" s="26" t="str">
        <x:v>BLOCKED_UNTIL_EXACT_METHOD_SOURCE_SAFETY_AND_LOCAL_REVIEW</x:v>
      </x:c>
      <x:c r="AA217" s="26" t="str">
        <x:v>DESIGN_ONLY_NOT_EXECUTED</x:v>
      </x:c>
      <x:c r="AB21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7" s="26" t="str">
        <x:v>0.4</x:v>
      </x:c>
    </x:row>
    <x:row r="218">
      <x:c r="A218" s="53" t="str">
        <x:v>PRJ-215</x:v>
      </x:c>
      <x:c r="B218" s="53" t="str">
        <x:v>SCI-OPS-10</x:v>
      </x:c>
      <x:c r="C218" s="53" t="str">
        <x:v>OPS</x:v>
      </x:c>
      <x:c r="D218" s="53" t="str">
        <x:v>Практическая проверка: Право, полномочия и доказательство актуальности</x:v>
      </x:c>
      <x:c r="E218" s="53" t="str">
        <x:v>OBSERVATION_DATA_OR_CALCULATION</x:v>
      </x:c>
      <x:c r="F218" s="53" t="str">
        <x:v>Объяснить базовую модель, выполнить допустимую для класса риска проверку и документировать пределы по теме «Право, полномочия и доказательство актуальности».</x:v>
      </x:c>
      <x:c r="G218" s="53" t="str">
        <x:v>SCI-OPS-09|SCI-METH-13|право остановить опыт|инструкция оборудования</x:v>
      </x:c>
      <x:c r="H218" s="53" t="str">
        <x:v>TBD_NON_EXECUTABLE: точные item/model/material/range/PPE для остаток/время/дефект должны быть утверждены до начала</x:v>
      </x:c>
      <x:c r="I218" s="53" t="str">
        <x:v>Сформулировать вопрос; записать метод и единицы; выполнить jurisdiction–version–valid_at–review_due; сохранить сырые данные; повторить; оценить неопределённость; сделать ограниченный вывод.</x:v>
      </x:c>
      <x:c r="J218" s="53" t="str">
        <x:v>jurisdiction–version–valid_at–review_due</x:v>
      </x:c>
      <x:c r="K218" s="53" t="str">
        <x:v>SI или явно названный стандарт</x:v>
      </x:c>
      <x:c r="L218" s="53" t="str">
        <x:v>TBD_BEFORE_EXECUTION_FROM_EXACT_METHOD: диапазон/критерий фиксируется до результата; post-hoc подгонка запрещена.</x:v>
      </x:c>
      <x:c r="M218" s="53" t="str">
        <x:v>сырые данные + фото/скриншот при допустимости + расчёт + uncertainty + подпись reviewer + hash пакета</x:v>
      </x:c>
      <x:c r="N218" s="53" t="n">
        <x:v>2</x:v>
      </x:c>
      <x:c r="O218" s="53" t="str">
        <x:v>TBD_METHOD_SPECIFIC: range/resolution/bias/repeat spread/operator effects утверждаются до execution</x:v>
      </x:c>
      <x:c r="P21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8" s="53" t="str">
        <x:v>STOP при неясных правах, происхождении данных, этическом конфликте или невозможности сохранить исходные данные.</x:v>
      </x:c>
      <x:c r="R218" s="53" t="str">
        <x:v>TBD_ITEM_SPECIFIC_AND_LOCAL: пока маршрут отходов не утверждён, физическое выполнение блокировано.</x:v>
      </x:c>
      <x:c r="S218" s="53" t="str">
        <x:v>S0_OBSERVE_READ</x:v>
      </x:c>
      <x:c r="T218" s="53" t="str">
        <x:v>Самостоятельно после проверки источника; опасное действие из текста не выполняется.</x:v>
      </x:c>
      <x:c r="U218" s="53" t="n">
        <x:v>3</x:v>
      </x:c>
      <x:c r="V218" s="53" t="str">
        <x:v>ANY_SAFE_PERIOD</x:v>
      </x:c>
      <x:c r="W218" s="53" t="str">
        <x:v>records/science/SCI-OPS-10/YYYY-MM-DD/</x:v>
      </x:c>
      <x:c r="X218" s="53" t="str">
        <x:v>PSP-096|PSP-097</x:v>
      </x:c>
      <x:c r="Y218" s="53" t="str">
        <x:v>PROVISIONAL_TOPIC_CANDIDATES_NOT_METHOD_REVIEWED</x:v>
      </x:c>
      <x:c r="Z218" s="53" t="str">
        <x:v>BLOCKED_UNTIL_EXACT_METHOD_SOURCE_SAFETY_AND_LOCAL_REVIEW</x:v>
      </x:c>
      <x:c r="AA218" s="53" t="str">
        <x:v>DESIGN_ONLY_NOT_EXECUTED</x:v>
      </x:c>
      <x:c r="AB21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8" s="53" t="str">
        <x:v>0.4</x:v>
      </x:c>
    </x:row>
    <x:row r="219">
      <x:c r="A219" s="26" t="str">
        <x:v>PRJ-216</x:v>
      </x:c>
      <x:c r="B219" s="26" t="str">
        <x:v>SCI-OPS-11</x:v>
      </x:c>
      <x:c r="C219" s="26" t="str">
        <x:v>OPS</x:v>
      </x:c>
      <x:c r="D219" s="26" t="str">
        <x:v>Практическая проверка: Экономика ремонта, замены и стандартизации</x:v>
      </x:c>
      <x:c r="E219" s="26" t="str">
        <x:v>OBSERVATION_DATA_OR_CALCULATION</x:v>
      </x:c>
      <x:c r="F219" s="26" t="str">
        <x:v>Объяснить базовую модель, выполнить допустимую для класса риска проверку и документировать пределы по теме «Экономика ремонта, замены и стандартизации».</x:v>
      </x:c>
      <x:c r="G219" s="26" t="str">
        <x:v>SCI-OPS-10|SCI-METH-13|право остановить опыт|инструкция оборудования</x:v>
      </x:c>
      <x:c r="H219" s="26" t="str">
        <x:v>TBD_NON_EXECUTABLE: точные item/model/material/range/PPE для остаток/время/дефект должны быть утверждены до начала</x:v>
      </x:c>
      <x:c r="I219" s="26" t="str">
        <x:v>Сформулировать вопрос; записать метод и единицы; выполнить полная стоимость жизненного цикла с чувствительностью; сохранить сырые данные; повторить; оценить неопределённость; сделать ограниченный вывод.</x:v>
      </x:c>
      <x:c r="J219" s="26" t="str">
        <x:v>полная стоимость жизненного цикла с чувствительностью</x:v>
      </x:c>
      <x:c r="K219" s="26" t="str">
        <x:v>SI или явно названный стандарт</x:v>
      </x:c>
      <x:c r="L219" s="26" t="str">
        <x:v>TBD_BEFORE_EXECUTION_FROM_EXACT_METHOD: диапазон/критерий фиксируется до результата; post-hoc подгонка запрещена.</x:v>
      </x:c>
      <x:c r="M219" s="26" t="str">
        <x:v>сырые данные + фото/скриншот при допустимости + расчёт + uncertainty + подпись reviewer + hash пакета</x:v>
      </x:c>
      <x:c r="N219" s="26" t="n">
        <x:v>2</x:v>
      </x:c>
      <x:c r="O219" s="26" t="str">
        <x:v>TBD_METHOD_SPECIFIC: range/resolution/bias/repeat spread/operator effects утверждаются до execution</x:v>
      </x:c>
      <x:c r="P21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19" s="26" t="str">
        <x:v>STOP при неясных правах, происхождении данных, этическом конфликте или невозможности сохранить исходные данные.</x:v>
      </x:c>
      <x:c r="R219" s="26" t="str">
        <x:v>TBD_ITEM_SPECIFIC_AND_LOCAL: пока маршрут отходов не утверждён, физическое выполнение блокировано.</x:v>
      </x:c>
      <x:c r="S219" s="26" t="str">
        <x:v>S0_OBSERVE_READ</x:v>
      </x:c>
      <x:c r="T219" s="26" t="str">
        <x:v>Самостоятельно после проверки источника; опасное действие из текста не выполняется.</x:v>
      </x:c>
      <x:c r="U219" s="26" t="n">
        <x:v>3</x:v>
      </x:c>
      <x:c r="V219" s="26" t="str">
        <x:v>ANY_SAFE_PERIOD</x:v>
      </x:c>
      <x:c r="W219" s="26" t="str">
        <x:v>records/science/SCI-OPS-11/YYYY-MM-DD/</x:v>
      </x:c>
      <x:c r="X219" s="26" t="str">
        <x:v>PSP-007|PSP-023</x:v>
      </x:c>
      <x:c r="Y219" s="26" t="str">
        <x:v>PROVISIONAL_TOPIC_CANDIDATES_NOT_METHOD_REVIEWED</x:v>
      </x:c>
      <x:c r="Z219" s="26" t="str">
        <x:v>BLOCKED_UNTIL_EXACT_METHOD_SOURCE_SAFETY_AND_LOCAL_REVIEW</x:v>
      </x:c>
      <x:c r="AA219" s="26" t="str">
        <x:v>DESIGN_ONLY_NOT_EXECUTED</x:v>
      </x:c>
      <x:c r="AB21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19" s="26" t="str">
        <x:v>0.4</x:v>
      </x:c>
    </x:row>
    <x:row r="220">
      <x:c r="A220" s="53" t="str">
        <x:v>PRJ-217</x:v>
      </x:c>
      <x:c r="B220" s="53" t="str">
        <x:v>SCI-OPS-12</x:v>
      </x:c>
      <x:c r="C220" s="53" t="str">
        <x:v>OPS</x:v>
      </x:c>
      <x:c r="D220" s="53" t="str">
        <x:v>Практическая проверка: Кооперация, взаимопомощь и внешняя сеть</x:v>
      </x:c>
      <x:c r="E220" s="53" t="str">
        <x:v>OBSERVATION_DATA_OR_CALCULATION</x:v>
      </x:c>
      <x:c r="F220" s="53" t="str">
        <x:v>Объяснить базовую модель, выполнить допустимую для класса риска проверку и документировать пределы по теме «Кооперация, взаимопомощь и внешняя сеть».</x:v>
      </x:c>
      <x:c r="G220" s="53" t="str">
        <x:v>SCI-OPS-11|SCI-METH-13|право остановить опыт|инструкция оборудования</x:v>
      </x:c>
      <x:c r="H220" s="53" t="str">
        <x:v>TBD_NON_EXECUTABLE: точные item/model/material/range/PPE для остаток/время/дефект должны быть утверждены до начала</x:v>
      </x:c>
      <x:c r="I220" s="53" t="str">
        <x:v>Сформулировать вопрос; записать метод и единицы; выполнить соглашение о роли, границе и прекращении; сохранить сырые данные; повторить; оценить неопределённость; сделать ограниченный вывод.</x:v>
      </x:c>
      <x:c r="J220" s="53" t="str">
        <x:v>соглашение о роли, границе и прекращении</x:v>
      </x:c>
      <x:c r="K220" s="53" t="str">
        <x:v>SI или явно названный стандарт</x:v>
      </x:c>
      <x:c r="L220" s="53" t="str">
        <x:v>TBD_BEFORE_EXECUTION_FROM_EXACT_METHOD: диапазон/критерий фиксируется до результата; post-hoc подгонка запрещена.</x:v>
      </x:c>
      <x:c r="M220" s="53" t="str">
        <x:v>сырые данные + фото/скриншот при допустимости + расчёт + uncertainty + подпись reviewer + hash пакета</x:v>
      </x:c>
      <x:c r="N220" s="53" t="n">
        <x:v>2</x:v>
      </x:c>
      <x:c r="O220" s="53" t="str">
        <x:v>TBD_METHOD_SPECIFIC: range/resolution/bias/repeat spread/operator effects утверждаются до execution</x:v>
      </x:c>
      <x:c r="P22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0" s="53" t="str">
        <x:v>STOP при неясных правах, происхождении данных, этическом конфликте или невозможности сохранить исходные данные.</x:v>
      </x:c>
      <x:c r="R220" s="53" t="str">
        <x:v>TBD_ITEM_SPECIFIC_AND_LOCAL: пока маршрут отходов не утверждён, физическое выполнение блокировано.</x:v>
      </x:c>
      <x:c r="S220" s="53" t="str">
        <x:v>S0_OBSERVE_READ</x:v>
      </x:c>
      <x:c r="T220" s="53" t="str">
        <x:v>Самостоятельно после проверки источника; опасное действие из текста не выполняется.</x:v>
      </x:c>
      <x:c r="U220" s="53" t="n">
        <x:v>3</x:v>
      </x:c>
      <x:c r="V220" s="53" t="str">
        <x:v>ANY_SAFE_PERIOD</x:v>
      </x:c>
      <x:c r="W220" s="53" t="str">
        <x:v>records/science/SCI-OPS-12/YYYY-MM-DD/</x:v>
      </x:c>
      <x:c r="X220" s="53" t="str">
        <x:v>PSP-119|PSP-007</x:v>
      </x:c>
      <x:c r="Y220" s="53" t="str">
        <x:v>PROVISIONAL_TOPIC_CANDIDATES_NOT_METHOD_REVIEWED</x:v>
      </x:c>
      <x:c r="Z220" s="53" t="str">
        <x:v>BLOCKED_UNTIL_EXACT_METHOD_SOURCE_SAFETY_AND_LOCAL_REVIEW</x:v>
      </x:c>
      <x:c r="AA220" s="53" t="str">
        <x:v>DESIGN_ONLY_NOT_EXECUTED</x:v>
      </x:c>
      <x:c r="AB22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0" s="53" t="str">
        <x:v>0.4</x:v>
      </x:c>
    </x:row>
    <x:row r="221">
      <x:c r="A221" s="26" t="str">
        <x:v>PRJ-218</x:v>
      </x:c>
      <x:c r="B221" s="26" t="str">
        <x:v>SCI-ARCH-01</x:v>
      </x:c>
      <x:c r="C221" s="26" t="str">
        <x:v>ARCH</x:v>
      </x:c>
      <x:c r="D221" s="26" t="str">
        <x:v>Практическая проверка: Модель цифрового сохранения и информационный пакет</x:v>
      </x:c>
      <x:c r="E221" s="26" t="str">
        <x:v>OBSERVATION_DATA_OR_CALCULATION</x:v>
      </x:c>
      <x:c r="F221" s="26" t="str">
        <x:v>Объяснить базовую модель, выполнить допустимую для класса риска проверку и документировать пределы по теме «Модель цифрового сохранения и информационный пакет».</x:v>
      </x:c>
      <x:c r="G221" s="26" t="str">
        <x:v>SCI-METH-01|SCI-METH-07|SCI-METH-14|право остановить опыт|инструкция оборудования</x:v>
      </x:c>
      <x:c r="H221" s="26" t="str">
        <x:v>TBD_NON_EXECUTABLE: точные item/model/material/range/PPE для hash/restore/поиск должны быть утверждены до начала</x:v>
      </x:c>
      <x:c r="I221" s="26" t="str">
        <x:v>Сформулировать вопрос; записать метод и единицы; выполнить объект + metadata + права + fixity + reader; сохранить сырые данные; повторить; оценить неопределённость; сделать ограниченный вывод.</x:v>
      </x:c>
      <x:c r="J221" s="26" t="str">
        <x:v>объект + metadata + права + fixity + reader</x:v>
      </x:c>
      <x:c r="K221" s="26" t="str">
        <x:v>SI или явно названный стандарт</x:v>
      </x:c>
      <x:c r="L221" s="26" t="str">
        <x:v>TBD_BEFORE_EXECUTION_FROM_EXACT_METHOD: диапазон/критерий фиксируется до результата; post-hoc подгонка запрещена.</x:v>
      </x:c>
      <x:c r="M221" s="26" t="str">
        <x:v>сырые данные + фото/скриншот при допустимости + расчёт + uncertainty + подпись reviewer + hash пакета</x:v>
      </x:c>
      <x:c r="N221" s="26" t="n">
        <x:v>2</x:v>
      </x:c>
      <x:c r="O221" s="26" t="str">
        <x:v>TBD_METHOD_SPECIFIC: range/resolution/bias/repeat spread/operator effects утверждаются до execution</x:v>
      </x:c>
      <x:c r="P22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1" s="26" t="str">
        <x:v>STOP при неясных правах, происхождении данных, этическом конфликте или невозможности сохранить исходные данные.</x:v>
      </x:c>
      <x:c r="R221" s="26" t="str">
        <x:v>TBD_ITEM_SPECIFIC_AND_LOCAL: пока маршрут отходов не утверждён, физическое выполнение блокировано.</x:v>
      </x:c>
      <x:c r="S221" s="26" t="str">
        <x:v>S0_OBSERVE_READ</x:v>
      </x:c>
      <x:c r="T221" s="26" t="str">
        <x:v>Самостоятельно после проверки источника; опасное действие из текста не выполняется.</x:v>
      </x:c>
      <x:c r="U221" s="26" t="n">
        <x:v>3</x:v>
      </x:c>
      <x:c r="V221" s="26" t="str">
        <x:v>ANY_SAFE_PERIOD</x:v>
      </x:c>
      <x:c r="W221" s="26" t="str">
        <x:v>records/science/SCI-ARCH-01/YYYY-MM-DD/</x:v>
      </x:c>
      <x:c r="X221" s="26" t="str">
        <x:v>PSP-111|PSP-112</x:v>
      </x:c>
      <x:c r="Y221" s="26" t="str">
        <x:v>PROVISIONAL_TOPIC_CANDIDATES_NOT_METHOD_REVIEWED</x:v>
      </x:c>
      <x:c r="Z221" s="26" t="str">
        <x:v>BLOCKED_UNTIL_EXACT_METHOD_SOURCE_SAFETY_AND_LOCAL_REVIEW</x:v>
      </x:c>
      <x:c r="AA221" s="26" t="str">
        <x:v>DESIGN_ONLY_NOT_EXECUTED</x:v>
      </x:c>
      <x:c r="AB22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1" s="26" t="str">
        <x:v>0.4</x:v>
      </x:c>
    </x:row>
    <x:row r="222">
      <x:c r="A222" s="53" t="str">
        <x:v>PRJ-219</x:v>
      </x:c>
      <x:c r="B222" s="53" t="str">
        <x:v>SCI-ARCH-02</x:v>
      </x:c>
      <x:c r="C222" s="53" t="str">
        <x:v>ARCH</x:v>
      </x:c>
      <x:c r="D222" s="53" t="str">
        <x:v>Практическая проверка: SHA-256, fixity и регулярная проверка</x:v>
      </x:c>
      <x:c r="E222" s="53" t="str">
        <x:v>OBSERVATION_DATA_OR_CALCULATION</x:v>
      </x:c>
      <x:c r="F222" s="53" t="str">
        <x:v>Объяснить базовую модель, выполнить допустимую для класса риска проверку и документировать пределы по теме «SHA-256, fixity и регулярная проверка».</x:v>
      </x:c>
      <x:c r="G222" s="53" t="str">
        <x:v>SCI-ARCH-01|SCI-METH-13|право остановить опыт|инструкция оборудования</x:v>
      </x:c>
      <x:c r="H222" s="53" t="str">
        <x:v>TBD_NON_EXECUTABLE: точные item/model/material/range/PPE для hash/restore/поиск должны быть утверждены до начала</x:v>
      </x:c>
      <x:c r="I222" s="53" t="str">
        <x:v>Сформулировать вопрос; записать метод и единицы; выполнить повторная проверка и журнал неизменности; сохранить сырые данные; повторить; оценить неопределённость; сделать ограниченный вывод.</x:v>
      </x:c>
      <x:c r="J222" s="53" t="str">
        <x:v>повторная проверка и журнал неизменности</x:v>
      </x:c>
      <x:c r="K222" s="53" t="str">
        <x:v>SI или явно названный стандарт</x:v>
      </x:c>
      <x:c r="L222" s="53" t="str">
        <x:v>TBD_BEFORE_EXECUTION_FROM_EXACT_METHOD: диапазон/критерий фиксируется до результата; post-hoc подгонка запрещена.</x:v>
      </x:c>
      <x:c r="M222" s="53" t="str">
        <x:v>сырые данные + фото/скриншот при допустимости + расчёт + uncertainty + подпись reviewer + hash пакета</x:v>
      </x:c>
      <x:c r="N222" s="53" t="n">
        <x:v>2</x:v>
      </x:c>
      <x:c r="O222" s="53" t="str">
        <x:v>TBD_METHOD_SPECIFIC: range/resolution/bias/repeat spread/operator effects утверждаются до execution</x:v>
      </x:c>
      <x:c r="P22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2" s="53" t="str">
        <x:v>STOP при неясных правах, происхождении данных, этическом конфликте или невозможности сохранить исходные данные.</x:v>
      </x:c>
      <x:c r="R222" s="53" t="str">
        <x:v>TBD_ITEM_SPECIFIC_AND_LOCAL: пока маршрут отходов не утверждён, физическое выполнение блокировано.</x:v>
      </x:c>
      <x:c r="S222" s="53" t="str">
        <x:v>S0_OBSERVE_READ</x:v>
      </x:c>
      <x:c r="T222" s="53" t="str">
        <x:v>Самостоятельно после проверки источника; опасное действие из текста не выполняется.</x:v>
      </x:c>
      <x:c r="U222" s="53" t="n">
        <x:v>3</x:v>
      </x:c>
      <x:c r="V222" s="53" t="str">
        <x:v>ANY_SAFE_PERIOD</x:v>
      </x:c>
      <x:c r="W222" s="53" t="str">
        <x:v>records/science/SCI-ARCH-02/YYYY-MM-DD/</x:v>
      </x:c>
      <x:c r="X222" s="53" t="str">
        <x:v>PSP-120|PSP-009</x:v>
      </x:c>
      <x:c r="Y222" s="53" t="str">
        <x:v>PROVISIONAL_TOPIC_CANDIDATES_NOT_METHOD_REVIEWED</x:v>
      </x:c>
      <x:c r="Z222" s="53" t="str">
        <x:v>BLOCKED_UNTIL_EXACT_METHOD_SOURCE_SAFETY_AND_LOCAL_REVIEW</x:v>
      </x:c>
      <x:c r="AA222" s="53" t="str">
        <x:v>DESIGN_ONLY_NOT_EXECUTED</x:v>
      </x:c>
      <x:c r="AB22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2" s="53" t="str">
        <x:v>0.4</x:v>
      </x:c>
    </x:row>
    <x:row r="223">
      <x:c r="A223" s="26" t="str">
        <x:v>PRJ-220</x:v>
      </x:c>
      <x:c r="B223" s="26" t="str">
        <x:v>SCI-ARCH-03</x:v>
      </x:c>
      <x:c r="C223" s="26" t="str">
        <x:v>ARCH</x:v>
      </x:c>
      <x:c r="D223" s="26" t="str">
        <x:v>Практическая проверка: BagIt/пакетирование и перенос между носителями</x:v>
      </x:c>
      <x:c r="E223" s="26" t="str">
        <x:v>OBSERVATION_DATA_OR_CALCULATION</x:v>
      </x:c>
      <x:c r="F223" s="26" t="str">
        <x:v>Объяснить базовую модель, выполнить допустимую для класса риска проверку и документировать пределы по теме «BagIt/пакетирование и перенос между носителями».</x:v>
      </x:c>
      <x:c r="G223" s="26" t="str">
        <x:v>SCI-ARCH-02|SCI-METH-13|право остановить опыт|инструкция оборудования</x:v>
      </x:c>
      <x:c r="H223" s="26" t="str">
        <x:v>TBD_NON_EXECUTABLE: точные item/model/material/range/PPE для hash/restore/поиск должны быть утверждены до начала</x:v>
      </x:c>
      <x:c r="I223" s="26" t="str">
        <x:v>Сформулировать вопрос; записать метод и единицы; выполнить валидный пакет с манифестом; сохранить сырые данные; повторить; оценить неопределённость; сделать ограниченный вывод.</x:v>
      </x:c>
      <x:c r="J223" s="26" t="str">
        <x:v>валидный пакет с манифестом</x:v>
      </x:c>
      <x:c r="K223" s="26" t="str">
        <x:v>SI или явно названный стандарт</x:v>
      </x:c>
      <x:c r="L223" s="26" t="str">
        <x:v>TBD_BEFORE_EXECUTION_FROM_EXACT_METHOD: диапазон/критерий фиксируется до результата; post-hoc подгонка запрещена.</x:v>
      </x:c>
      <x:c r="M223" s="26" t="str">
        <x:v>сырые данные + фото/скриншот при допустимости + расчёт + uncertainty + подпись reviewer + hash пакета</x:v>
      </x:c>
      <x:c r="N223" s="26" t="n">
        <x:v>2</x:v>
      </x:c>
      <x:c r="O223" s="26" t="str">
        <x:v>TBD_METHOD_SPECIFIC: range/resolution/bias/repeat spread/operator effects утверждаются до execution</x:v>
      </x:c>
      <x:c r="P22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3" s="26" t="str">
        <x:v>STOP при неясных правах, происхождении данных, этическом конфликте или невозможности сохранить исходные данные.</x:v>
      </x:c>
      <x:c r="R223" s="26" t="str">
        <x:v>TBD_ITEM_SPECIFIC_AND_LOCAL: пока маршрут отходов не утверждён, физическое выполнение блокировано.</x:v>
      </x:c>
      <x:c r="S223" s="26" t="str">
        <x:v>S0_OBSERVE_READ</x:v>
      </x:c>
      <x:c r="T223" s="26" t="str">
        <x:v>Самостоятельно после проверки источника; опасное действие из текста не выполняется.</x:v>
      </x:c>
      <x:c r="U223" s="26" t="n">
        <x:v>3</x:v>
      </x:c>
      <x:c r="V223" s="26" t="str">
        <x:v>ANY_SAFE_PERIOD</x:v>
      </x:c>
      <x:c r="W223" s="26" t="str">
        <x:v>records/science/SCI-ARCH-03/YYYY-MM-DD/</x:v>
      </x:c>
      <x:c r="X223" s="26" t="str">
        <x:v>PSP-009</x:v>
      </x:c>
      <x:c r="Y223" s="26" t="str">
        <x:v>PROVISIONAL_TOPIC_CANDIDATES_NOT_METHOD_REVIEWED</x:v>
      </x:c>
      <x:c r="Z223" s="26" t="str">
        <x:v>BLOCKED_UNTIL_EXACT_METHOD_SOURCE_SAFETY_AND_LOCAL_REVIEW</x:v>
      </x:c>
      <x:c r="AA223" s="26" t="str">
        <x:v>DESIGN_ONLY_NOT_EXECUTED</x:v>
      </x:c>
      <x:c r="AB22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3" s="26" t="str">
        <x:v>0.4</x:v>
      </x:c>
    </x:row>
    <x:row r="224">
      <x:c r="A224" s="53" t="str">
        <x:v>PRJ-221</x:v>
      </x:c>
      <x:c r="B224" s="53" t="str">
        <x:v>SCI-ARCH-04</x:v>
      </x:c>
      <x:c r="C224" s="53" t="str">
        <x:v>ARCH</x:v>
      </x:c>
      <x:c r="D224" s="53" t="str">
        <x:v>Практическая проверка: Устойчивые форматы и PRONOM-идентификация</x:v>
      </x:c>
      <x:c r="E224" s="53" t="str">
        <x:v>OBSERVATION_DATA_OR_CALCULATION</x:v>
      </x:c>
      <x:c r="F224" s="53" t="str">
        <x:v>Объяснить базовую модель, выполнить допустимую для класса риска проверку и документировать пределы по теме «Устойчивые форматы и PRONOM-идентификация».</x:v>
      </x:c>
      <x:c r="G224" s="53" t="str">
        <x:v>SCI-ARCH-03|SCI-METH-13|право остановить опыт|инструкция оборудования</x:v>
      </x:c>
      <x:c r="H224" s="53" t="str">
        <x:v>TBD_NON_EXECUTABLE: точные item/model/material/range/PPE для hash/restore/поиск должны быть утверждены до начала</x:v>
      </x:c>
      <x:c r="I224" s="53" t="str">
        <x:v>Сформулировать вопрос; записать метод и единицы; выполнить идентификация формата и reader path; сохранить сырые данные; повторить; оценить неопределённость; сделать ограниченный вывод.</x:v>
      </x:c>
      <x:c r="J224" s="53" t="str">
        <x:v>идентификация формата и reader path</x:v>
      </x:c>
      <x:c r="K224" s="53" t="str">
        <x:v>SI или явно названный стандарт</x:v>
      </x:c>
      <x:c r="L224" s="53" t="str">
        <x:v>TBD_BEFORE_EXECUTION_FROM_EXACT_METHOD: диапазон/критерий фиксируется до результата; post-hoc подгонка запрещена.</x:v>
      </x:c>
      <x:c r="M224" s="53" t="str">
        <x:v>сырые данные + фото/скриншот при допустимости + расчёт + uncertainty + подпись reviewer + hash пакета</x:v>
      </x:c>
      <x:c r="N224" s="53" t="n">
        <x:v>2</x:v>
      </x:c>
      <x:c r="O224" s="53" t="str">
        <x:v>TBD_METHOD_SPECIFIC: range/resolution/bias/repeat spread/operator effects утверждаются до execution</x:v>
      </x:c>
      <x:c r="P22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4" s="53" t="str">
        <x:v>STOP при неясных правах, происхождении данных, этическом конфликте или невозможности сохранить исходные данные.</x:v>
      </x:c>
      <x:c r="R224" s="53" t="str">
        <x:v>TBD_ITEM_SPECIFIC_AND_LOCAL: пока маршрут отходов не утверждён, физическое выполнение блокировано.</x:v>
      </x:c>
      <x:c r="S224" s="53" t="str">
        <x:v>S0_OBSERVE_READ</x:v>
      </x:c>
      <x:c r="T224" s="53" t="str">
        <x:v>Самостоятельно после проверки источника; опасное действие из текста не выполняется.</x:v>
      </x:c>
      <x:c r="U224" s="53" t="n">
        <x:v>3</x:v>
      </x:c>
      <x:c r="V224" s="53" t="str">
        <x:v>ANY_SAFE_PERIOD</x:v>
      </x:c>
      <x:c r="W224" s="53" t="str">
        <x:v>records/science/SCI-ARCH-04/YYYY-MM-DD/</x:v>
      </x:c>
      <x:c r="X224" s="53" t="str">
        <x:v>PSP-010|PSP-115</x:v>
      </x:c>
      <x:c r="Y224" s="53" t="str">
        <x:v>PROVISIONAL_TOPIC_CANDIDATES_NOT_METHOD_REVIEWED</x:v>
      </x:c>
      <x:c r="Z224" s="53" t="str">
        <x:v>BLOCKED_UNTIL_EXACT_METHOD_SOURCE_SAFETY_AND_LOCAL_REVIEW</x:v>
      </x:c>
      <x:c r="AA224" s="53" t="str">
        <x:v>DESIGN_ONLY_NOT_EXECUTED</x:v>
      </x:c>
      <x:c r="AB22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4" s="53" t="str">
        <x:v>0.4</x:v>
      </x:c>
    </x:row>
    <x:row r="225">
      <x:c r="A225" s="26" t="str">
        <x:v>PRJ-222</x:v>
      </x:c>
      <x:c r="B225" s="26" t="str">
        <x:v>SCI-ARCH-05</x:v>
      </x:c>
      <x:c r="C225" s="26" t="str">
        <x:v>ARCH</x:v>
      </x:c>
      <x:c r="D225" s="26" t="str">
        <x:v>Практическая проверка: Миграция формата и сохранение оригинала</x:v>
      </x:c>
      <x:c r="E225" s="26" t="str">
        <x:v>OBSERVATION_DATA_OR_CALCULATION</x:v>
      </x:c>
      <x:c r="F225" s="26" t="str">
        <x:v>Объяснить базовую модель, выполнить допустимую для класса риска проверку и документировать пределы по теме «Миграция формата и сохранение оригинала».</x:v>
      </x:c>
      <x:c r="G225" s="26" t="str">
        <x:v>SCI-ARCH-04|SCI-METH-13|право остановить опыт|инструкция оборудования</x:v>
      </x:c>
      <x:c r="H225" s="26" t="str">
        <x:v>TBD_NON_EXECUTABLE: точные item/model/material/range/PPE для hash/restore/поиск должны быть утверждены до начала</x:v>
      </x:c>
      <x:c r="I225" s="26" t="str">
        <x:v>Сформулировать вопрос; записать метод и единицы; выполнить original + migrated + сравнение содержания; сохранить сырые данные; повторить; оценить неопределённость; сделать ограниченный вывод.</x:v>
      </x:c>
      <x:c r="J225" s="26" t="str">
        <x:v>original + migrated + сравнение содержания</x:v>
      </x:c>
      <x:c r="K225" s="26" t="str">
        <x:v>SI или явно названный стандарт</x:v>
      </x:c>
      <x:c r="L225" s="26" t="str">
        <x:v>TBD_BEFORE_EXECUTION_FROM_EXACT_METHOD: диапазон/критерий фиксируется до результата; post-hoc подгонка запрещена.</x:v>
      </x:c>
      <x:c r="M225" s="26" t="str">
        <x:v>сырые данные + фото/скриншот при допустимости + расчёт + uncertainty + подпись reviewer + hash пакета</x:v>
      </x:c>
      <x:c r="N225" s="26" t="n">
        <x:v>2</x:v>
      </x:c>
      <x:c r="O225" s="26" t="str">
        <x:v>TBD_METHOD_SPECIFIC: range/resolution/bias/repeat spread/operator effects утверждаются до execution</x:v>
      </x:c>
      <x:c r="P22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5" s="26" t="str">
        <x:v>STOP при неясных правах, происхождении данных, этическом конфликте или невозможности сохранить исходные данные.</x:v>
      </x:c>
      <x:c r="R225" s="26" t="str">
        <x:v>TBD_ITEM_SPECIFIC_AND_LOCAL: пока маршрут отходов не утверждён, физическое выполнение блокировано.</x:v>
      </x:c>
      <x:c r="S225" s="26" t="str">
        <x:v>S0_OBSERVE_READ</x:v>
      </x:c>
      <x:c r="T225" s="26" t="str">
        <x:v>Самостоятельно после проверки источника; опасное действие из текста не выполняется.</x:v>
      </x:c>
      <x:c r="U225" s="26" t="n">
        <x:v>3</x:v>
      </x:c>
      <x:c r="V225" s="26" t="str">
        <x:v>ANY_SAFE_PERIOD</x:v>
      </x:c>
      <x:c r="W225" s="26" t="str">
        <x:v>records/science/SCI-ARCH-05/YYYY-MM-DD/</x:v>
      </x:c>
      <x:c r="X225" s="26" t="str">
        <x:v>PSP-010|PSP-115</x:v>
      </x:c>
      <x:c r="Y225" s="26" t="str">
        <x:v>PROVISIONAL_TOPIC_CANDIDATES_NOT_METHOD_REVIEWED</x:v>
      </x:c>
      <x:c r="Z225" s="26" t="str">
        <x:v>BLOCKED_UNTIL_EXACT_METHOD_SOURCE_SAFETY_AND_LOCAL_REVIEW</x:v>
      </x:c>
      <x:c r="AA225" s="26" t="str">
        <x:v>DESIGN_ONLY_NOT_EXECUTED</x:v>
      </x:c>
      <x:c r="AB22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5" s="26" t="str">
        <x:v>0.4</x:v>
      </x:c>
    </x:row>
    <x:row r="226">
      <x:c r="A226" s="53" t="str">
        <x:v>PRJ-223</x:v>
      </x:c>
      <x:c r="B226" s="53" t="str">
        <x:v>SCI-ARCH-06</x:v>
      </x:c>
      <x:c r="C226" s="53" t="str">
        <x:v>ARCH</x:v>
      </x:c>
      <x:c r="D226" s="53" t="str">
        <x:v>Практическая проверка: Описательные, технические и административные metadata</x:v>
      </x:c>
      <x:c r="E226" s="53" t="str">
        <x:v>OBSERVATION_DATA_OR_CALCULATION</x:v>
      </x:c>
      <x:c r="F226" s="53" t="str">
        <x:v>Объяснить базовую модель, выполнить допустимую для класса риска проверку и документировать пределы по теме «Описательные, технические и административные metadata».</x:v>
      </x:c>
      <x:c r="G226" s="53" t="str">
        <x:v>SCI-ARCH-05|SCI-METH-13|право остановить опыт|инструкция оборудования</x:v>
      </x:c>
      <x:c r="H226" s="53" t="str">
        <x:v>TBD_NON_EXECUTABLE: точные item/model/material/range/PPE для hash/restore/поиск должны быть утверждены до начала</x:v>
      </x:c>
      <x:c r="I226" s="53" t="str">
        <x:v>Сформулировать вопрос; записать метод и единицы; выполнить заполненный минимальный профиль; сохранить сырые данные; повторить; оценить неопределённость; сделать ограниченный вывод.</x:v>
      </x:c>
      <x:c r="J226" s="53" t="str">
        <x:v>заполненный минимальный профиль</x:v>
      </x:c>
      <x:c r="K226" s="53" t="str">
        <x:v>SI или явно названный стандарт</x:v>
      </x:c>
      <x:c r="L226" s="53" t="str">
        <x:v>TBD_BEFORE_EXECUTION_FROM_EXACT_METHOD: диапазон/критерий фиксируется до результата; post-hoc подгонка запрещена.</x:v>
      </x:c>
      <x:c r="M226" s="53" t="str">
        <x:v>сырые данные + фото/скриншот при допустимости + расчёт + uncertainty + подпись reviewer + hash пакета</x:v>
      </x:c>
      <x:c r="N226" s="53" t="n">
        <x:v>2</x:v>
      </x:c>
      <x:c r="O226" s="53" t="str">
        <x:v>TBD_METHOD_SPECIFIC: range/resolution/bias/repeat spread/operator effects утверждаются до execution</x:v>
      </x:c>
      <x:c r="P22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6" s="53" t="str">
        <x:v>STOP при неясных правах, происхождении данных, этическом конфликте или невозможности сохранить исходные данные.</x:v>
      </x:c>
      <x:c r="R226" s="53" t="str">
        <x:v>TBD_ITEM_SPECIFIC_AND_LOCAL: пока маршрут отходов не утверждён, физическое выполнение блокировано.</x:v>
      </x:c>
      <x:c r="S226" s="53" t="str">
        <x:v>S0_OBSERVE_READ</x:v>
      </x:c>
      <x:c r="T226" s="53" t="str">
        <x:v>Самостоятельно после проверки источника; опасное действие из текста не выполняется.</x:v>
      </x:c>
      <x:c r="U226" s="53" t="n">
        <x:v>3</x:v>
      </x:c>
      <x:c r="V226" s="53" t="str">
        <x:v>ANY_SAFE_PERIOD</x:v>
      </x:c>
      <x:c r="W226" s="53" t="str">
        <x:v>records/science/SCI-ARCH-06/YYYY-MM-DD/</x:v>
      </x:c>
      <x:c r="X226" s="53" t="str">
        <x:v>PSP-111|PSP-115</x:v>
      </x:c>
      <x:c r="Y226" s="53" t="str">
        <x:v>PROVISIONAL_TOPIC_CANDIDATES_NOT_METHOD_REVIEWED</x:v>
      </x:c>
      <x:c r="Z226" s="53" t="str">
        <x:v>BLOCKED_UNTIL_EXACT_METHOD_SOURCE_SAFETY_AND_LOCAL_REVIEW</x:v>
      </x:c>
      <x:c r="AA226" s="53" t="str">
        <x:v>DESIGN_ONLY_NOT_EXECUTED</x:v>
      </x:c>
      <x:c r="AB22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6" s="53" t="str">
        <x:v>0.4</x:v>
      </x:c>
    </x:row>
    <x:row r="227">
      <x:c r="A227" s="26" t="str">
        <x:v>PRJ-224</x:v>
      </x:c>
      <x:c r="B227" s="26" t="str">
        <x:v>SCI-ARCH-07</x:v>
      </x:c>
      <x:c r="C227" s="26" t="str">
        <x:v>ARCH</x:v>
      </x:c>
      <x:c r="D227" s="26" t="str">
        <x:v>Практическая проверка: OCR, качество текста и сохранение изображения</x:v>
      </x:c>
      <x:c r="E227" s="26" t="str">
        <x:v>OBSERVATION_DATA_OR_CALCULATION</x:v>
      </x:c>
      <x:c r="F227" s="26" t="str">
        <x:v>Объяснить базовую модель, выполнить допустимую для класса риска проверку и документировать пределы по теме «OCR, качество текста и сохранение изображения».</x:v>
      </x:c>
      <x:c r="G227" s="26" t="str">
        <x:v>SCI-ARCH-06|SCI-METH-13|право остановить опыт|инструкция оборудования</x:v>
      </x:c>
      <x:c r="H227" s="26" t="str">
        <x:v>TBD_NON_EXECUTABLE: точные item/model/material/range/PPE для hash/restore/поиск должны быть утверждены до начала</x:v>
      </x:c>
      <x:c r="I227" s="26" t="str">
        <x:v>Сформулировать вопрос; записать метод и единицы; выполнить выборочная сверка OCR с оригиналом; сохранить сырые данные; повторить; оценить неопределённость; сделать ограниченный вывод.</x:v>
      </x:c>
      <x:c r="J227" s="26" t="str">
        <x:v>выборочная сверка OCR с оригиналом</x:v>
      </x:c>
      <x:c r="K227" s="26" t="str">
        <x:v>SI или явно названный стандарт</x:v>
      </x:c>
      <x:c r="L227" s="26" t="str">
        <x:v>TBD_BEFORE_EXECUTION_FROM_EXACT_METHOD: диапазон/критерий фиксируется до результата; post-hoc подгонка запрещена.</x:v>
      </x:c>
      <x:c r="M227" s="26" t="str">
        <x:v>сырые данные + фото/скриншот при допустимости + расчёт + uncertainty + подпись reviewer + hash пакета</x:v>
      </x:c>
      <x:c r="N227" s="26" t="n">
        <x:v>2</x:v>
      </x:c>
      <x:c r="O227" s="26" t="str">
        <x:v>TBD_METHOD_SPECIFIC: range/resolution/bias/repeat spread/operator effects утверждаются до execution</x:v>
      </x:c>
      <x:c r="P22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7" s="26" t="str">
        <x:v>STOP при неясных правах, происхождении данных, этическом конфликте или невозможности сохранить исходные данные.</x:v>
      </x:c>
      <x:c r="R227" s="26" t="str">
        <x:v>TBD_ITEM_SPECIFIC_AND_LOCAL: пока маршрут отходов не утверждён, физическое выполнение блокировано.</x:v>
      </x:c>
      <x:c r="S227" s="26" t="str">
        <x:v>S0_OBSERVE_READ</x:v>
      </x:c>
      <x:c r="T227" s="26" t="str">
        <x:v>Самостоятельно после проверки источника; опасное действие из текста не выполняется.</x:v>
      </x:c>
      <x:c r="U227" s="26" t="n">
        <x:v>3</x:v>
      </x:c>
      <x:c r="V227" s="26" t="str">
        <x:v>ANY_SAFE_PERIOD</x:v>
      </x:c>
      <x:c r="W227" s="26" t="str">
        <x:v>records/science/SCI-ARCH-07/YYYY-MM-DD/</x:v>
      </x:c>
      <x:c r="X227" s="26" t="str">
        <x:v>PSP-111|PSP-114</x:v>
      </x:c>
      <x:c r="Y227" s="26" t="str">
        <x:v>PROVISIONAL_TOPIC_CANDIDATES_NOT_METHOD_REVIEWED</x:v>
      </x:c>
      <x:c r="Z227" s="26" t="str">
        <x:v>BLOCKED_UNTIL_EXACT_METHOD_SOURCE_SAFETY_AND_LOCAL_REVIEW</x:v>
      </x:c>
      <x:c r="AA227" s="26" t="str">
        <x:v>DESIGN_ONLY_NOT_EXECUTED</x:v>
      </x:c>
      <x:c r="AB22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7" s="26" t="str">
        <x:v>0.4</x:v>
      </x:c>
    </x:row>
    <x:row r="228">
      <x:c r="A228" s="53" t="str">
        <x:v>PRJ-225</x:v>
      </x:c>
      <x:c r="B228" s="53" t="str">
        <x:v>SCI-ARCH-08</x:v>
      </x:c>
      <x:c r="C228" s="53" t="str">
        <x:v>ARCH</x:v>
      </x:c>
      <x:c r="D228" s="53" t="str">
        <x:v>Практическая проверка: Офлайн-индекс, поиск и controlled vocabulary</x:v>
      </x:c>
      <x:c r="E228" s="53" t="str">
        <x:v>OBSERVATION_DATA_OR_CALCULATION</x:v>
      </x:c>
      <x:c r="F228" s="53" t="str">
        <x:v>Объяснить базовую модель, выполнить допустимую для класса риска проверку и документировать пределы по теме «Офлайн-индекс, поиск и controlled vocabulary».</x:v>
      </x:c>
      <x:c r="G228" s="53" t="str">
        <x:v>SCI-ARCH-07|SCI-METH-13|право остановить опыт|инструкция оборудования</x:v>
      </x:c>
      <x:c r="H228" s="53" t="str">
        <x:v>TBD_NON_EXECUTABLE: точные item/model/material/range/PPE для hash/restore/поиск должны быть утверждены до начала</x:v>
      </x:c>
      <x:c r="I228" s="53" t="str">
        <x:v>Сформулировать вопрос; записать метод и единицы; выполнить поиск по термину, синониму и идентификатору; сохранить сырые данные; повторить; оценить неопределённость; сделать ограниченный вывод.</x:v>
      </x:c>
      <x:c r="J228" s="53" t="str">
        <x:v>поиск по термину, синониму и идентификатору</x:v>
      </x:c>
      <x:c r="K228" s="53" t="str">
        <x:v>SI или явно названный стандарт</x:v>
      </x:c>
      <x:c r="L228" s="53" t="str">
        <x:v>TBD_BEFORE_EXECUTION_FROM_EXACT_METHOD: диапазон/критерий фиксируется до результата; post-hoc подгонка запрещена.</x:v>
      </x:c>
      <x:c r="M228" s="53" t="str">
        <x:v>сырые данные + фото/скриншот при допустимости + расчёт + uncertainty + подпись reviewer + hash пакета</x:v>
      </x:c>
      <x:c r="N228" s="53" t="n">
        <x:v>2</x:v>
      </x:c>
      <x:c r="O228" s="53" t="str">
        <x:v>TBD_METHOD_SPECIFIC: range/resolution/bias/repeat spread/operator effects утверждаются до execution</x:v>
      </x:c>
      <x:c r="P228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8" s="53" t="str">
        <x:v>STOP при неясных правах, происхождении данных, этическом конфликте или невозможности сохранить исходные данные.</x:v>
      </x:c>
      <x:c r="R228" s="53" t="str">
        <x:v>TBD_ITEM_SPECIFIC_AND_LOCAL: пока маршрут отходов не утверждён, физическое выполнение блокировано.</x:v>
      </x:c>
      <x:c r="S228" s="53" t="str">
        <x:v>S0_OBSERVE_READ</x:v>
      </x:c>
      <x:c r="T228" s="53" t="str">
        <x:v>Самостоятельно после проверки источника; опасное действие из текста не выполняется.</x:v>
      </x:c>
      <x:c r="U228" s="53" t="n">
        <x:v>3</x:v>
      </x:c>
      <x:c r="V228" s="53" t="str">
        <x:v>ANY_SAFE_PERIOD</x:v>
      </x:c>
      <x:c r="W228" s="53" t="str">
        <x:v>records/science/SCI-ARCH-08/YYYY-MM-DD/</x:v>
      </x:c>
      <x:c r="X228" s="53" t="str">
        <x:v>PSP-113|PSP-120</x:v>
      </x:c>
      <x:c r="Y228" s="53" t="str">
        <x:v>PROVISIONAL_TOPIC_CANDIDATES_NOT_METHOD_REVIEWED</x:v>
      </x:c>
      <x:c r="Z228" s="53" t="str">
        <x:v>BLOCKED_UNTIL_EXACT_METHOD_SOURCE_SAFETY_AND_LOCAL_REVIEW</x:v>
      </x:c>
      <x:c r="AA228" s="53" t="str">
        <x:v>DESIGN_ONLY_NOT_EXECUTED</x:v>
      </x:c>
      <x:c r="AB22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8" s="53" t="str">
        <x:v>0.4</x:v>
      </x:c>
    </x:row>
    <x:row r="229">
      <x:c r="A229" s="26" t="str">
        <x:v>PRJ-226</x:v>
      </x:c>
      <x:c r="B229" s="26" t="str">
        <x:v>SCI-ARCH-09</x:v>
      </x:c>
      <x:c r="C229" s="26" t="str">
        <x:v>ARCH</x:v>
      </x:c>
      <x:c r="D229" s="26" t="str">
        <x:v>Практическая проверка: Печатное ядро, легенда и ручной каталог</x:v>
      </x:c>
      <x:c r="E229" s="26" t="str">
        <x:v>OBSERVATION_DATA_OR_CALCULATION</x:v>
      </x:c>
      <x:c r="F229" s="26" t="str">
        <x:v>Объяснить базовую модель, выполнить допустимую для класса риска проверку и документировать пределы по теме «Печатное ядро, легенда и ручной каталог».</x:v>
      </x:c>
      <x:c r="G229" s="26" t="str">
        <x:v>SCI-ARCH-08|SCI-METH-13|право остановить опыт|инструкция оборудования</x:v>
      </x:c>
      <x:c r="H229" s="26" t="str">
        <x:v>TBD_NON_EXECUTABLE: точные item/model/material/range/PPE для hash/restore/поиск должны быть утверждены до начала</x:v>
      </x:c>
      <x:c r="I229" s="26" t="str">
        <x:v>Сформулировать вопрос; записать метод и единицы; выполнить поиск критической страницы без электричества; сохранить сырые данные; повторить; оценить неопределённость; сделать ограниченный вывод.</x:v>
      </x:c>
      <x:c r="J229" s="26" t="str">
        <x:v>поиск критической страницы без электричества</x:v>
      </x:c>
      <x:c r="K229" s="26" t="str">
        <x:v>SI или явно названный стандарт</x:v>
      </x:c>
      <x:c r="L229" s="26" t="str">
        <x:v>TBD_BEFORE_EXECUTION_FROM_EXACT_METHOD: диапазон/критерий фиксируется до результата; post-hoc подгонка запрещена.</x:v>
      </x:c>
      <x:c r="M229" s="26" t="str">
        <x:v>сырые данные + фото/скриншот при допустимости + расчёт + uncertainty + подпись reviewer + hash пакета</x:v>
      </x:c>
      <x:c r="N229" s="26" t="n">
        <x:v>2</x:v>
      </x:c>
      <x:c r="O229" s="26" t="str">
        <x:v>TBD_METHOD_SPECIFIC: range/resolution/bias/repeat spread/operator effects утверждаются до execution</x:v>
      </x:c>
      <x:c r="P229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29" s="26" t="str">
        <x:v>STOP при неясных правах, происхождении данных, этическом конфликте или невозможности сохранить исходные данные.</x:v>
      </x:c>
      <x:c r="R229" s="26" t="str">
        <x:v>TBD_ITEM_SPECIFIC_AND_LOCAL: пока маршрут отходов не утверждён, физическое выполнение блокировано.</x:v>
      </x:c>
      <x:c r="S229" s="26" t="str">
        <x:v>S0_OBSERVE_READ</x:v>
      </x:c>
      <x:c r="T229" s="26" t="str">
        <x:v>Самостоятельно после проверки источника; опасное действие из текста не выполняется.</x:v>
      </x:c>
      <x:c r="U229" s="26" t="n">
        <x:v>3</x:v>
      </x:c>
      <x:c r="V229" s="26" t="str">
        <x:v>ANY_SAFE_PERIOD</x:v>
      </x:c>
      <x:c r="W229" s="26" t="str">
        <x:v>records/science/SCI-ARCH-09/YYYY-MM-DD/</x:v>
      </x:c>
      <x:c r="X229" s="26" t="str">
        <x:v>PSP-111|PSP-120</x:v>
      </x:c>
      <x:c r="Y229" s="26" t="str">
        <x:v>PROVISIONAL_TOPIC_CANDIDATES_NOT_METHOD_REVIEWED</x:v>
      </x:c>
      <x:c r="Z229" s="26" t="str">
        <x:v>BLOCKED_UNTIL_EXACT_METHOD_SOURCE_SAFETY_AND_LOCAL_REVIEW</x:v>
      </x:c>
      <x:c r="AA229" s="26" t="str">
        <x:v>DESIGN_ONLY_NOT_EXECUTED</x:v>
      </x:c>
      <x:c r="AB22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29" s="26" t="str">
        <x:v>0.4</x:v>
      </x:c>
    </x:row>
    <x:row r="230">
      <x:c r="A230" s="53" t="str">
        <x:v>PRJ-227</x:v>
      </x:c>
      <x:c r="B230" s="53" t="str">
        <x:v>SCI-ARCH-10</x:v>
      </x:c>
      <x:c r="C230" s="53" t="str">
        <x:v>ARCH</x:v>
      </x:c>
      <x:c r="D230" s="53" t="str">
        <x:v>Практическая проверка: Refresh носителя, независимые копии и restore-test</x:v>
      </x:c>
      <x:c r="E230" s="53" t="str">
        <x:v>OBSERVATION_DATA_OR_CALCULATION</x:v>
      </x:c>
      <x:c r="F230" s="53" t="str">
        <x:v>Объяснить базовую модель, выполнить допустимую для класса риска проверку и документировать пределы по теме «Refresh носителя, независимые копии и restore-test».</x:v>
      </x:c>
      <x:c r="G230" s="53" t="str">
        <x:v>SCI-ARCH-09|SCI-METH-13|право остановить опыт|инструкция оборудования</x:v>
      </x:c>
      <x:c r="H230" s="53" t="str">
        <x:v>TBD_NON_EXECUTABLE: точные item/model/material/range/PPE для hash/restore/поиск должны быть утверждены до начала</x:v>
      </x:c>
      <x:c r="I230" s="53" t="str">
        <x:v>Сформулировать вопрос; записать метод и единицы; выполнить восстановление на чистое устройство; сохранить сырые данные; повторить; оценить неопределённость; сделать ограниченный вывод.</x:v>
      </x:c>
      <x:c r="J230" s="53" t="str">
        <x:v>восстановление на чистое устройство</x:v>
      </x:c>
      <x:c r="K230" s="53" t="str">
        <x:v>SI или явно названный стандарт</x:v>
      </x:c>
      <x:c r="L230" s="53" t="str">
        <x:v>TBD_BEFORE_EXECUTION_FROM_EXACT_METHOD: диапазон/критерий фиксируется до результата; post-hoc подгонка запрещена.</x:v>
      </x:c>
      <x:c r="M230" s="53" t="str">
        <x:v>сырые данные + фото/скриншот при допустимости + расчёт + uncertainty + подпись reviewer + hash пакета</x:v>
      </x:c>
      <x:c r="N230" s="53" t="n">
        <x:v>2</x:v>
      </x:c>
      <x:c r="O230" s="53" t="str">
        <x:v>TBD_METHOD_SPECIFIC: range/resolution/bias/repeat spread/operator effects утверждаются до execution</x:v>
      </x:c>
      <x:c r="P230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0" s="53" t="str">
        <x:v>STOP при неясных правах, происхождении данных, этическом конфликте или невозможности сохранить исходные данные.</x:v>
      </x:c>
      <x:c r="R230" s="53" t="str">
        <x:v>TBD_ITEM_SPECIFIC_AND_LOCAL: пока маршрут отходов не утверждён, физическое выполнение блокировано.</x:v>
      </x:c>
      <x:c r="S230" s="53" t="str">
        <x:v>S0_OBSERVE_READ</x:v>
      </x:c>
      <x:c r="T230" s="53" t="str">
        <x:v>Самостоятельно после проверки источника; опасное действие из текста не выполняется.</x:v>
      </x:c>
      <x:c r="U230" s="53" t="n">
        <x:v>3</x:v>
      </x:c>
      <x:c r="V230" s="53" t="str">
        <x:v>ANY_SAFE_PERIOD</x:v>
      </x:c>
      <x:c r="W230" s="53" t="str">
        <x:v>records/science/SCI-ARCH-10/YYYY-MM-DD/</x:v>
      </x:c>
      <x:c r="X230" s="53" t="str">
        <x:v>PSP-112|PSP-120</x:v>
      </x:c>
      <x:c r="Y230" s="53" t="str">
        <x:v>PROVISIONAL_TOPIC_CANDIDATES_NOT_METHOD_REVIEWED</x:v>
      </x:c>
      <x:c r="Z230" s="53" t="str">
        <x:v>BLOCKED_UNTIL_EXACT_METHOD_SOURCE_SAFETY_AND_LOCAL_REVIEW</x:v>
      </x:c>
      <x:c r="AA230" s="53" t="str">
        <x:v>DESIGN_ONLY_NOT_EXECUTED</x:v>
      </x:c>
      <x:c r="AB23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0" s="53" t="str">
        <x:v>0.4</x:v>
      </x:c>
    </x:row>
    <x:row r="231">
      <x:c r="A231" s="26" t="str">
        <x:v>PRJ-228</x:v>
      </x:c>
      <x:c r="B231" s="26" t="str">
        <x:v>SCI-ARCH-11</x:v>
      </x:c>
      <x:c r="C231" s="26" t="str">
        <x:v>ARCH</x:v>
      </x:c>
      <x:c r="D231" s="26" t="str">
        <x:v>Практическая проверка: Контроль доступа, приватность и раздельное хранение</x:v>
      </x:c>
      <x:c r="E231" s="26" t="str">
        <x:v>OBSERVATION_DATA_OR_CALCULATION</x:v>
      </x:c>
      <x:c r="F231" s="26" t="str">
        <x:v>Объяснить базовую модель, выполнить допустимую для класса риска проверку и документировать пределы по теме «Контроль доступа, приватность и раздельное хранение».</x:v>
      </x:c>
      <x:c r="G231" s="26" t="str">
        <x:v>SCI-ARCH-10|SCI-METH-13|право остановить опыт|инструкция оборудования</x:v>
      </x:c>
      <x:c r="H231" s="26" t="str">
        <x:v>TBD_NON_EXECUTABLE: точные item/model/material/range/PPE для hash/restore/поиск должны быть утверждены до начала</x:v>
      </x:c>
      <x:c r="I231" s="26" t="str">
        <x:v>Сформулировать вопрос; записать метод и единицы; выполнить public/restricted/secret gate; сохранить сырые данные; повторить; оценить неопределённость; сделать ограниченный вывод.</x:v>
      </x:c>
      <x:c r="J231" s="26" t="str">
        <x:v>public/restricted/secret gate</x:v>
      </x:c>
      <x:c r="K231" s="26" t="str">
        <x:v>SI или явно названный стандарт</x:v>
      </x:c>
      <x:c r="L231" s="26" t="str">
        <x:v>TBD_BEFORE_EXECUTION_FROM_EXACT_METHOD: диапазон/критерий фиксируется до результата; post-hoc подгонка запрещена.</x:v>
      </x:c>
      <x:c r="M231" s="26" t="str">
        <x:v>сырые данные + фото/скриншот при допустимости + расчёт + uncertainty + подпись reviewer + hash пакета</x:v>
      </x:c>
      <x:c r="N231" s="26" t="n">
        <x:v>2</x:v>
      </x:c>
      <x:c r="O231" s="26" t="str">
        <x:v>TBD_METHOD_SPECIFIC: range/resolution/bias/repeat spread/operator effects утверждаются до execution</x:v>
      </x:c>
      <x:c r="P23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1" s="26" t="str">
        <x:v>STOP при неясных правах, происхождении данных, этическом конфликте или невозможности сохранить исходные данные.</x:v>
      </x:c>
      <x:c r="R231" s="26" t="str">
        <x:v>TBD_ITEM_SPECIFIC_AND_LOCAL: пока маршрут отходов не утверждён, физическое выполнение блокировано.</x:v>
      </x:c>
      <x:c r="S231" s="26" t="str">
        <x:v>S0_OBSERVE_READ</x:v>
      </x:c>
      <x:c r="T231" s="26" t="str">
        <x:v>Самостоятельно после проверки источника; опасное действие из текста не выполняется.</x:v>
      </x:c>
      <x:c r="U231" s="26" t="n">
        <x:v>3</x:v>
      </x:c>
      <x:c r="V231" s="26" t="str">
        <x:v>ANY_SAFE_PERIOD</x:v>
      </x:c>
      <x:c r="W231" s="26" t="str">
        <x:v>records/science/SCI-ARCH-11/YYYY-MM-DD/</x:v>
      </x:c>
      <x:c r="X231" s="26" t="str">
        <x:v>PSP-120</x:v>
      </x:c>
      <x:c r="Y231" s="26" t="str">
        <x:v>PROVISIONAL_TOPIC_CANDIDATES_NOT_METHOD_REVIEWED</x:v>
      </x:c>
      <x:c r="Z231" s="26" t="str">
        <x:v>BLOCKED_UNTIL_EXACT_METHOD_SOURCE_SAFETY_AND_LOCAL_REVIEW</x:v>
      </x:c>
      <x:c r="AA231" s="26" t="str">
        <x:v>DESIGN_ONLY_NOT_EXECUTED</x:v>
      </x:c>
      <x:c r="AB23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1" s="26" t="str">
        <x:v>0.4</x:v>
      </x:c>
    </x:row>
    <x:row r="232">
      <x:c r="A232" s="53" t="str">
        <x:v>PRJ-229</x:v>
      </x:c>
      <x:c r="B232" s="53" t="str">
        <x:v>SCI-ARCH-12</x:v>
      </x:c>
      <x:c r="C232" s="53" t="str">
        <x:v>ARCH</x:v>
      </x:c>
      <x:c r="D232" s="53" t="str">
        <x:v>Практическая проверка: Хранитель, succession и передача следующему</x:v>
      </x:c>
      <x:c r="E232" s="53" t="str">
        <x:v>OBSERVATION_DATA_OR_CALCULATION</x:v>
      </x:c>
      <x:c r="F232" s="53" t="str">
        <x:v>Объяснить базовую модель, выполнить допустимую для класса риска проверку и документировать пределы по теме «Хранитель, succession и передача следующему».</x:v>
      </x:c>
      <x:c r="G232" s="53" t="str">
        <x:v>SCI-ARCH-11|SCI-METH-13|право остановить опыт|инструкция оборудования</x:v>
      </x:c>
      <x:c r="H232" s="53" t="str">
        <x:v>TBD_NON_EXECUTABLE: точные item/model/material/range/PPE для hash/restore/поиск должны быть утверждены до начала</x:v>
      </x:c>
      <x:c r="I232" s="53" t="str">
        <x:v>Сформулировать вопрос; записать метод и единицы; выполнить новый custodian проверяет каталог и восстановление; сохранить сырые данные; повторить; оценить неопределённость; сделать ограниченный вывод.</x:v>
      </x:c>
      <x:c r="J232" s="53" t="str">
        <x:v>новый custodian проверяет каталог и восстановление</x:v>
      </x:c>
      <x:c r="K232" s="53" t="str">
        <x:v>SI или явно названный стандарт</x:v>
      </x:c>
      <x:c r="L232" s="53" t="str">
        <x:v>TBD_BEFORE_EXECUTION_FROM_EXACT_METHOD: диапазон/критерий фиксируется до результата; post-hoc подгонка запрещена.</x:v>
      </x:c>
      <x:c r="M232" s="53" t="str">
        <x:v>сырые данные + фото/скриншот при допустимости + расчёт + uncertainty + подпись reviewer + hash пакета</x:v>
      </x:c>
      <x:c r="N232" s="53" t="n">
        <x:v>2</x:v>
      </x:c>
      <x:c r="O232" s="53" t="str">
        <x:v>TBD_METHOD_SPECIFIC: range/resolution/bias/repeat spread/operator effects утверждаются до execution</x:v>
      </x:c>
      <x:c r="P23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2" s="53" t="str">
        <x:v>STOP при неясных правах, происхождении данных, этическом конфликте или невозможности сохранить исходные данные.</x:v>
      </x:c>
      <x:c r="R232" s="53" t="str">
        <x:v>TBD_ITEM_SPECIFIC_AND_LOCAL: пока маршрут отходов не утверждён, физическое выполнение блокировано.</x:v>
      </x:c>
      <x:c r="S232" s="53" t="str">
        <x:v>S0_OBSERVE_READ</x:v>
      </x:c>
      <x:c r="T232" s="53" t="str">
        <x:v>Самостоятельно после проверки источника; опасное действие из текста не выполняется.</x:v>
      </x:c>
      <x:c r="U232" s="53" t="n">
        <x:v>3</x:v>
      </x:c>
      <x:c r="V232" s="53" t="str">
        <x:v>ANY_SAFE_PERIOD</x:v>
      </x:c>
      <x:c r="W232" s="53" t="str">
        <x:v>records/science/SCI-ARCH-12/YYYY-MM-DD/</x:v>
      </x:c>
      <x:c r="X232" s="53" t="str">
        <x:v>PSP-119|PSP-120</x:v>
      </x:c>
      <x:c r="Y232" s="53" t="str">
        <x:v>PROVISIONAL_TOPIC_CANDIDATES_NOT_METHOD_REVIEWED</x:v>
      </x:c>
      <x:c r="Z232" s="53" t="str">
        <x:v>BLOCKED_UNTIL_EXACT_METHOD_SOURCE_SAFETY_AND_LOCAL_REVIEW</x:v>
      </x:c>
      <x:c r="AA232" s="53" t="str">
        <x:v>DESIGN_ONLY_NOT_EXECUTED</x:v>
      </x:c>
      <x:c r="AB23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2" s="53" t="str">
        <x:v>0.4</x:v>
      </x:c>
    </x:row>
    <x:row r="233">
      <x:c r="A233" s="26" t="str">
        <x:v>PRJ-230</x:v>
      </x:c>
      <x:c r="B233" s="26" t="str">
        <x:v>SCI-PORT-01</x:v>
      </x:c>
      <x:c r="C233" s="26" t="str">
        <x:v>PORT</x:v>
      </x:c>
      <x:c r="D233" s="26" t="str">
        <x:v>Практическая проверка: 112, ANEPC, муниципальные планы и официальные предупреждения</x:v>
      </x:c>
      <x:c r="E233" s="26" t="str">
        <x:v>OBSERVATION_DATA_OR_CALCULATION</x:v>
      </x:c>
      <x:c r="F233" s="26" t="str">
        <x:v>Объяснить базовую модель, выполнить допустимую для класса риска проверку и документировать пределы по теме «112, ANEPC, муниципальные планы и официальные предупреждения».</x:v>
      </x:c>
      <x:c r="G233" s="26" t="str">
        <x:v>SCI-METH-01|SCI-METH-07|SCI-METH-14|право остановить опыт|инструкция оборудования</x:v>
      </x:c>
      <x:c r="H233" s="26" t="str">
        <x:v>TBD_NON_EXECUTABLE: точные item/model/material/range/PPE для official source/version/coverage должны быть утверждены до начала</x:v>
      </x:c>
      <x:c r="I233" s="26" t="str">
        <x:v>Сформулировать вопрос; записать метод и единицы; выполнить поиск актуального authority path и его офлайн-снимка; сохранить сырые данные; повторить; оценить неопределённость; сделать ограниченный вывод.</x:v>
      </x:c>
      <x:c r="J233" s="26" t="str">
        <x:v>поиск актуального authority path и его офлайн-снимка</x:v>
      </x:c>
      <x:c r="K233" s="26" t="str">
        <x:v>official-version/coverage</x:v>
      </x:c>
      <x:c r="L233" s="26" t="str">
        <x:v>TBD_BEFORE_EXECUTION_FROM_EXACT_METHOD: диапазон/критерий фиксируется до результата; post-hoc подгонка запрещена.</x:v>
      </x:c>
      <x:c r="M233" s="26" t="str">
        <x:v>сырые данные + фото/скриншот при допустимости + расчёт + uncertainty + подпись reviewer + hash пакета</x:v>
      </x:c>
      <x:c r="N233" s="26" t="n">
        <x:v>2</x:v>
      </x:c>
      <x:c r="O233" s="26" t="str">
        <x:v>TBD_METHOD_SPECIFIC: range/resolution/bias/repeat spread/operator effects утверждаются до execution</x:v>
      </x:c>
      <x:c r="P233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3" s="26" t="str">
        <x:v>STOP при неясных правах, происхождении данных, этическом конфликте или невозможности сохранить исходные данные.</x:v>
      </x:c>
      <x:c r="R233" s="26" t="str">
        <x:v>TBD_ITEM_SPECIFIC_AND_LOCAL: пока маршрут отходов не утверждён, физическое выполнение блокировано.</x:v>
      </x:c>
      <x:c r="S233" s="26" t="str">
        <x:v>S0_OBSERVE_READ</x:v>
      </x:c>
      <x:c r="T233" s="26" t="str">
        <x:v>Самостоятельно после проверки источника; опасное действие из текста не выполняется.</x:v>
      </x:c>
      <x:c r="U233" s="26" t="n">
        <x:v>3</x:v>
      </x:c>
      <x:c r="V233" s="26" t="str">
        <x:v>ANY_SAFE_PERIOD</x:v>
      </x:c>
      <x:c r="W233" s="26" t="str">
        <x:v>records/science/SCI-PORT-01/YYYY-MM-DD/</x:v>
      </x:c>
      <x:c r="X233" s="26" t="str">
        <x:v>PSP-094|PSP-097</x:v>
      </x:c>
      <x:c r="Y233" s="26" t="str">
        <x:v>PROVISIONAL_TOPIC_CANDIDATES_NOT_METHOD_REVIEWED</x:v>
      </x:c>
      <x:c r="Z233" s="26" t="str">
        <x:v>BLOCKED_UNTIL_EXACT_METHOD_SOURCE_SAFETY_AND_LOCAL_REVIEW</x:v>
      </x:c>
      <x:c r="AA233" s="26" t="str">
        <x:v>DESIGN_ONLY_NOT_EXECUTED</x:v>
      </x:c>
      <x:c r="AB233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3" s="26" t="str">
        <x:v>0.4</x:v>
      </x:c>
    </x:row>
    <x:row r="234">
      <x:c r="A234" s="53" t="str">
        <x:v>PRJ-231</x:v>
      </x:c>
      <x:c r="B234" s="53" t="str">
        <x:v>SCI-PORT-02</x:v>
      </x:c>
      <x:c r="C234" s="53" t="str">
        <x:v>PORT</x:v>
      </x:c>
      <x:c r="D234" s="53" t="str">
        <x:v>Практическая проверка: SNIG/DGT/CAOP и локальные координатные системы</x:v>
      </x:c>
      <x:c r="E234" s="53" t="str">
        <x:v>OBSERVATION_DATA_OR_CALCULATION</x:v>
      </x:c>
      <x:c r="F234" s="53" t="str">
        <x:v>Объяснить базовую модель, выполнить допустимую для класса риска проверку и документировать пределы по теме «SNIG/DGT/CAOP и локальные координатные системы».</x:v>
      </x:c>
      <x:c r="G234" s="53" t="str">
        <x:v>SCI-PORT-01|SCI-METH-13|право остановить опыт|инструкция оборудования</x:v>
      </x:c>
      <x:c r="H234" s="53" t="str">
        <x:v>TBD_NON_EXECUTABLE: точные item/model/material/range/PPE для official source/version/coverage должны быть утверждены до начала</x:v>
      </x:c>
      <x:c r="I234" s="53" t="str">
        <x:v>Сформулировать вопрос; записать метод и единицы; выполнить официальный слой, metadata, CRS и дата; сохранить сырые данные; повторить; оценить неопределённость; сделать ограниченный вывод.</x:v>
      </x:c>
      <x:c r="J234" s="53" t="str">
        <x:v>официальный слой, metadata, CRS и дата</x:v>
      </x:c>
      <x:c r="K234" s="53" t="str">
        <x:v>official-version/coverage</x:v>
      </x:c>
      <x:c r="L234" s="53" t="str">
        <x:v>TBD_BEFORE_EXECUTION_FROM_EXACT_METHOD: диапазон/критерий фиксируется до результата; post-hoc подгонка запрещена.</x:v>
      </x:c>
      <x:c r="M234" s="53" t="str">
        <x:v>сырые данные + фото/скриншот при допустимости + расчёт + uncertainty + подпись reviewer + hash пакета</x:v>
      </x:c>
      <x:c r="N234" s="53" t="n">
        <x:v>2</x:v>
      </x:c>
      <x:c r="O234" s="53" t="str">
        <x:v>TBD_METHOD_SPECIFIC: range/resolution/bias/repeat spread/operator effects утверждаются до execution</x:v>
      </x:c>
      <x:c r="P234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4" s="53" t="str">
        <x:v>STOP при неясных правах, происхождении данных, этическом конфликте или невозможности сохранить исходные данные.</x:v>
      </x:c>
      <x:c r="R234" s="53" t="str">
        <x:v>TBD_ITEM_SPECIFIC_AND_LOCAL: пока маршрут отходов не утверждён, физическое выполнение блокировано.</x:v>
      </x:c>
      <x:c r="S234" s="53" t="str">
        <x:v>S0_OBSERVE_READ</x:v>
      </x:c>
      <x:c r="T234" s="53" t="str">
        <x:v>Самостоятельно после проверки источника; опасное действие из текста не выполняется.</x:v>
      </x:c>
      <x:c r="U234" s="53" t="n">
        <x:v>3</x:v>
      </x:c>
      <x:c r="V234" s="53" t="str">
        <x:v>ANY_SAFE_PERIOD</x:v>
      </x:c>
      <x:c r="W234" s="53" t="str">
        <x:v>records/science/SCI-PORT-02/YYYY-MM-DD/</x:v>
      </x:c>
      <x:c r="X234" s="53" t="str">
        <x:v>PSP-086|PSP-087</x:v>
      </x:c>
      <x:c r="Y234" s="53" t="str">
        <x:v>PROVISIONAL_TOPIC_CANDIDATES_NOT_METHOD_REVIEWED</x:v>
      </x:c>
      <x:c r="Z234" s="53" t="str">
        <x:v>BLOCKED_UNTIL_EXACT_METHOD_SOURCE_SAFETY_AND_LOCAL_REVIEW</x:v>
      </x:c>
      <x:c r="AA234" s="53" t="str">
        <x:v>DESIGN_ONLY_NOT_EXECUTED</x:v>
      </x:c>
      <x:c r="AB234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4" s="53" t="str">
        <x:v>0.4</x:v>
      </x:c>
    </x:row>
    <x:row r="235">
      <x:c r="A235" s="26" t="str">
        <x:v>PRJ-232</x:v>
      </x:c>
      <x:c r="B235" s="26" t="str">
        <x:v>SCI-PORT-03</x:v>
      </x:c>
      <x:c r="C235" s="26" t="str">
        <x:v>PORT</x:v>
      </x:c>
      <x:c r="D235" s="26" t="str">
        <x:v>Практическая проверка: IPMA: погода, климат, землетрясения и море</x:v>
      </x:c>
      <x:c r="E235" s="26" t="str">
        <x:v>OBSERVATION_DATA_OR_CALCULATION</x:v>
      </x:c>
      <x:c r="F235" s="26" t="str">
        <x:v>Объяснить базовую модель, выполнить допустимую для класса риска проверку и документировать пределы по теме «IPMA: погода, климат, землетрясения и море».</x:v>
      </x:c>
      <x:c r="G235" s="26" t="str">
        <x:v>SCI-PORT-02|SCI-METH-13|право остановить опыт|инструкция оборудования</x:v>
      </x:c>
      <x:c r="H235" s="26" t="str">
        <x:v>TBD_NON_EXECUTABLE: точные item/model/material/range/PPE для official source/version/coverage должны быть утверждены до начала</x:v>
      </x:c>
      <x:c r="I235" s="26" t="str">
        <x:v>Сформулировать вопрос; записать метод и единицы; выполнить разделение текущего alert и исторического набора; сохранить сырые данные; повторить; оценить неопределённость; сделать ограниченный вывод.</x:v>
      </x:c>
      <x:c r="J235" s="26" t="str">
        <x:v>разделение текущего alert и исторического набора</x:v>
      </x:c>
      <x:c r="K235" s="26" t="str">
        <x:v>official-version/coverage</x:v>
      </x:c>
      <x:c r="L235" s="26" t="str">
        <x:v>TBD_BEFORE_EXECUTION_FROM_EXACT_METHOD: диапазон/критерий фиксируется до результата; post-hoc подгонка запрещена.</x:v>
      </x:c>
      <x:c r="M235" s="26" t="str">
        <x:v>сырые данные + фото/скриншот при допустимости + расчёт + uncertainty + подпись reviewer + hash пакета</x:v>
      </x:c>
      <x:c r="N235" s="26" t="n">
        <x:v>2</x:v>
      </x:c>
      <x:c r="O235" s="26" t="str">
        <x:v>TBD_METHOD_SPECIFIC: range/resolution/bias/repeat spread/operator effects утверждаются до execution</x:v>
      </x:c>
      <x:c r="P235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5" s="26" t="str">
        <x:v>STOP при неясных правах, происхождении данных, этическом конфликте или невозможности сохранить исходные данные.</x:v>
      </x:c>
      <x:c r="R235" s="26" t="str">
        <x:v>TBD_ITEM_SPECIFIC_AND_LOCAL: пока маршрут отходов не утверждён, физическое выполнение блокировано.</x:v>
      </x:c>
      <x:c r="S235" s="26" t="str">
        <x:v>S0_OBSERVE_READ</x:v>
      </x:c>
      <x:c r="T235" s="26" t="str">
        <x:v>Самостоятельно после проверки источника; опасное действие из текста не выполняется.</x:v>
      </x:c>
      <x:c r="U235" s="26" t="n">
        <x:v>3</x:v>
      </x:c>
      <x:c r="V235" s="26" t="str">
        <x:v>ANY_SAFE_PERIOD</x:v>
      </x:c>
      <x:c r="W235" s="26" t="str">
        <x:v>records/science/SCI-PORT-03/YYYY-MM-DD/</x:v>
      </x:c>
      <x:c r="X235" s="26" t="str">
        <x:v>PSP-090</x:v>
      </x:c>
      <x:c r="Y235" s="26" t="str">
        <x:v>PROVISIONAL_TOPIC_CANDIDATES_NOT_METHOD_REVIEWED</x:v>
      </x:c>
      <x:c r="Z235" s="26" t="str">
        <x:v>BLOCKED_UNTIL_EXACT_METHOD_SOURCE_SAFETY_AND_LOCAL_REVIEW</x:v>
      </x:c>
      <x:c r="AA235" s="26" t="str">
        <x:v>DESIGN_ONLY_NOT_EXECUTED</x:v>
      </x:c>
      <x:c r="AB235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5" s="26" t="str">
        <x:v>0.4</x:v>
      </x:c>
    </x:row>
    <x:row r="236">
      <x:c r="A236" s="53" t="str">
        <x:v>PRJ-233</x:v>
      </x:c>
      <x:c r="B236" s="53" t="str">
        <x:v>SCI-PORT-04</x:v>
      </x:c>
      <x:c r="C236" s="53" t="str">
        <x:v>PORT</x:v>
      </x:c>
      <x:c r="D236" s="53" t="str">
        <x:v>Практическая проверка: APA/LNEG: вода, наводнения, геология и среда</x:v>
      </x:c>
      <x:c r="E236" s="53" t="str">
        <x:v>OBSERVATION_DATA_OR_CALCULATION</x:v>
      </x:c>
      <x:c r="F236" s="53" t="str">
        <x:v>Объяснить базовую модель, выполнить допустимую для класса риска проверку и документировать пределы по теме «APA/LNEG: вода, наводнения, геология и среда».</x:v>
      </x:c>
      <x:c r="G236" s="53" t="str">
        <x:v>SCI-PORT-03|SCI-METH-13|право остановить опыт|инструкция оборудования</x:v>
      </x:c>
      <x:c r="H236" s="53" t="str">
        <x:v>TBD_NON_EXECUTABLE: точные item/model/material/range/PPE для official source/version/coverage должны быть утверждены до начала</x:v>
      </x:c>
      <x:c r="I236" s="53" t="str">
        <x:v>Сформулировать вопрос; записать метод и единицы; выполнить выбор официального слоя с ограничением покрытия; сохранить сырые данные; повторить; оценить неопределённость; сделать ограниченный вывод.</x:v>
      </x:c>
      <x:c r="J236" s="53" t="str">
        <x:v>выбор официального слоя с ограничением покрытия</x:v>
      </x:c>
      <x:c r="K236" s="53" t="str">
        <x:v>official-version/coverage</x:v>
      </x:c>
      <x:c r="L236" s="53" t="str">
        <x:v>TBD_BEFORE_EXECUTION_FROM_EXACT_METHOD: диапазон/критерий фиксируется до результата; post-hoc подгонка запрещена.</x:v>
      </x:c>
      <x:c r="M236" s="53" t="str">
        <x:v>сырые данные + фото/скриншот при допустимости + расчёт + uncertainty + подпись reviewer + hash пакета</x:v>
      </x:c>
      <x:c r="N236" s="53" t="n">
        <x:v>2</x:v>
      </x:c>
      <x:c r="O236" s="53" t="str">
        <x:v>TBD_METHOD_SPECIFIC: range/resolution/bias/repeat spread/operator effects утверждаются до execution</x:v>
      </x:c>
      <x:c r="P236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6" s="53" t="str">
        <x:v>STOP при неясных правах, происхождении данных, этическом конфликте или невозможности сохранить исходные данные.</x:v>
      </x:c>
      <x:c r="R236" s="53" t="str">
        <x:v>TBD_ITEM_SPECIFIC_AND_LOCAL: пока маршрут отходов не утверждён, физическое выполнение блокировано.</x:v>
      </x:c>
      <x:c r="S236" s="53" t="str">
        <x:v>S0_OBSERVE_READ</x:v>
      </x:c>
      <x:c r="T236" s="53" t="str">
        <x:v>Самостоятельно после проверки источника; опасное действие из текста не выполняется.</x:v>
      </x:c>
      <x:c r="U236" s="53" t="n">
        <x:v>3</x:v>
      </x:c>
      <x:c r="V236" s="53" t="str">
        <x:v>ANY_SAFE_PERIOD</x:v>
      </x:c>
      <x:c r="W236" s="53" t="str">
        <x:v>records/science/SCI-PORT-04/YYYY-MM-DD/</x:v>
      </x:c>
      <x:c r="X236" s="53" t="str">
        <x:v>PSP-088|PSP-089</x:v>
      </x:c>
      <x:c r="Y236" s="53" t="str">
        <x:v>PROVISIONAL_TOPIC_CANDIDATES_NOT_METHOD_REVIEWED</x:v>
      </x:c>
      <x:c r="Z236" s="53" t="str">
        <x:v>BLOCKED_UNTIL_EXACT_METHOD_SOURCE_SAFETY_AND_LOCAL_REVIEW</x:v>
      </x:c>
      <x:c r="AA236" s="53" t="str">
        <x:v>DESIGN_ONLY_NOT_EXECUTED</x:v>
      </x:c>
      <x:c r="AB236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6" s="53" t="str">
        <x:v>0.4</x:v>
      </x:c>
    </x:row>
    <x:row r="237">
      <x:c r="A237" s="26" t="str">
        <x:v>PRJ-234</x:v>
      </x:c>
      <x:c r="B237" s="26" t="str">
        <x:v>SCI-PORT-05</x:v>
      </x:c>
      <x:c r="C237" s="26" t="str">
        <x:v>PORT</x:v>
      </x:c>
      <x:c r="D237" s="26" t="str">
        <x:v>Практическая проверка: DGAV: здоровье растений, пища и animal welfare</x:v>
      </x:c>
      <x:c r="E237" s="26" t="str">
        <x:v>OBSERVATION_DATA_OR_CALCULATION</x:v>
      </x:c>
      <x:c r="F237" s="26" t="str">
        <x:v>Объяснить базовую модель, выполнить допустимую для класса риска проверку и документировать пределы по теме «DGAV: здоровье растений, пища и animal welfare».</x:v>
      </x:c>
      <x:c r="G237" s="26" t="str">
        <x:v>SCI-PORT-04|SCI-METH-13|право остановить опыт|инструкция оборудования</x:v>
      </x:c>
      <x:c r="H237" s="26" t="str">
        <x:v>TBD_NON_EXECUTABLE: точные item/model/material/range/PPE для official source/version/coverage должны быть утверждены до начала</x:v>
      </x:c>
      <x:c r="I237" s="26" t="str">
        <x:v>Сформулировать вопрос; записать метод и единицы; выполнить официальное руководство с датой и rights review; сохранить сырые данные; повторить; оценить неопределённость; сделать ограниченный вывод.</x:v>
      </x:c>
      <x:c r="J237" s="26" t="str">
        <x:v>официальное руководство с датой и rights review</x:v>
      </x:c>
      <x:c r="K237" s="26" t="str">
        <x:v>official-version/coverage</x:v>
      </x:c>
      <x:c r="L237" s="26" t="str">
        <x:v>TBD_BEFORE_EXECUTION_FROM_EXACT_METHOD: диапазон/критерий фиксируется до результата; post-hoc подгонка запрещена.</x:v>
      </x:c>
      <x:c r="M237" s="26" t="str">
        <x:v>сырые данные + фото/скриншот при допустимости + расчёт + uncertainty + подпись reviewer + hash пакета</x:v>
      </x:c>
      <x:c r="N237" s="26" t="n">
        <x:v>2</x:v>
      </x:c>
      <x:c r="O237" s="26" t="str">
        <x:v>TBD_METHOD_SPECIFIC: range/resolution/bias/repeat spread/operator effects утверждаются до execution</x:v>
      </x:c>
      <x:c r="P237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37" s="26" t="str">
        <x:v>STOP при неясных правах, происхождении данных, этическом конфликте или невозможности сохранить исходные данные.</x:v>
      </x:c>
      <x:c r="R237" s="26" t="str">
        <x:v>TBD_ITEM_SPECIFIC_AND_LOCAL: пока маршрут отходов не утверждён, физическое выполнение блокировано.</x:v>
      </x:c>
      <x:c r="S237" s="26" t="str">
        <x:v>S0_OBSERVE_READ</x:v>
      </x:c>
      <x:c r="T237" s="26" t="str">
        <x:v>Самостоятельно после проверки источника; опасное действие из текста не выполняется.</x:v>
      </x:c>
      <x:c r="U237" s="26" t="n">
        <x:v>3</x:v>
      </x:c>
      <x:c r="V237" s="26" t="str">
        <x:v>ANY_SAFE_PERIOD</x:v>
      </x:c>
      <x:c r="W237" s="26" t="str">
        <x:v>records/science/SCI-PORT-05/YYYY-MM-DD/</x:v>
      </x:c>
      <x:c r="X237" s="26" t="str">
        <x:v>PSP-091</x:v>
      </x:c>
      <x:c r="Y237" s="26" t="str">
        <x:v>PROVISIONAL_TOPIC_CANDIDATES_NOT_METHOD_REVIEWED</x:v>
      </x:c>
      <x:c r="Z237" s="26" t="str">
        <x:v>BLOCKED_UNTIL_EXACT_METHOD_SOURCE_SAFETY_AND_LOCAL_REVIEW</x:v>
      </x:c>
      <x:c r="AA237" s="26" t="str">
        <x:v>DESIGN_ONLY_NOT_EXECUTED</x:v>
      </x:c>
      <x:c r="AB237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7" s="26" t="str">
        <x:v>0.4</x:v>
      </x:c>
    </x:row>
    <x:row r="238">
      <x:c r="A238" s="53" t="str">
        <x:v>PRJ-235</x:v>
      </x:c>
      <x:c r="B238" s="53" t="str">
        <x:v>SCI-PORT-06</x:v>
      </x:c>
      <x:c r="C238" s="53" t="str">
        <x:v>PORT</x:v>
      </x:c>
      <x:c r="D238" s="53" t="str">
        <x:v>Практическая проверка: LNEC и национальная строительная практика</x:v>
      </x:c>
      <x:c r="E238" s="53" t="str">
        <x:v>DATASET_SIMULATION_OR_PRO_OBSERVATION_ONLY</x:v>
      </x:c>
      <x:c r="F238" s="53" t="str">
        <x:v>Объяснить базовую модель, выполнить допустимую для класса риска проверку и документировать пределы по теме «LNEC и национальная строительная практика».</x:v>
      </x:c>
      <x:c r="G238" s="53" t="str">
        <x:v>SCI-PORT-05|SCI-METH-13|право остановить опыт|инструкция оборудования</x:v>
      </x:c>
      <x:c r="H238" s="53" t="str">
        <x:v>TBD_NON_EXECUTABLE: точные item/model/material/range/PPE для official source/version/coverage должны быть утверждены до начала</x:v>
      </x:c>
      <x:c r="I238" s="53" t="str">
        <x:v>Не выполнять реальную работу. Разобрать утверждённый отчёт, схему, симуляцию или обезличенный набор данных по теме: поиск отчёта/нормы; проектное решение остаётся у специалиста. Зафиксировать, когда нужен лицензированный специалист.</x:v>
      </x:c>
      <x:c r="J238" s="53" t="str">
        <x:v>поиск отчёта/нормы; проектное решение остаётся у специалиста</x:v>
      </x:c>
      <x:c r="K238" s="53" t="str">
        <x:v>official-version/coverage</x:v>
      </x:c>
      <x:c r="L238" s="53" t="str">
        <x:v>TBD_BEFORE_EXECUTION_FROM_EXACT_METHOD: диапазон/критерий фиксируется до результата; post-hoc подгонка запрещена.</x:v>
      </x:c>
      <x:c r="M238" s="53" t="str">
        <x:v>сырые данные + фото/скриншот при допустимости + расчёт + uncertainty + подпись reviewer + hash пакета</x:v>
      </x:c>
      <x:c r="N238" s="53" t="n">
        <x:v>1</x:v>
      </x:c>
      <x:c r="O238" s="53" t="str">
        <x:v>TBD_METHOD_SPECIFIC: range/resolution/bias/repeat spread/operator effects утверждаются до execution</x:v>
      </x:c>
      <x:c r="P238" s="53" t="str">
        <x:v>Самовольная работа может привести к пожару, поражению током, обрушению, утечке, травме или нарушению закона.</x:v>
      </x:c>
      <x:c r="Q238" s="53" t="str">
        <x:v>STOP до любого физического вмешательства; только лицензированный специалист с действующим scope и площадкой.</x:v>
      </x:c>
      <x:c r="R238" s="53" t="str">
        <x:v>TBD_ITEM_SPECIFIC_AND_LOCAL: пока маршрут отходов не утверждён, физическое выполнение блокировано.</x:v>
      </x:c>
      <x:c r="S238" s="53" t="str">
        <x:v>S3_LICENSED_PROFESSIONAL</x:v>
      </x:c>
      <x:c r="T238" s="53" t="str">
        <x:v>Лицензированный специалист для любой реальной работы; учебный анализ может быть самостоятельным.</x:v>
      </x:c>
      <x:c r="U238" s="53" t="n">
        <x:v>2</x:v>
      </x:c>
      <x:c r="V238" s="53" t="str">
        <x:v>ANY_SAFE_PERIOD</x:v>
      </x:c>
      <x:c r="W238" s="53" t="str">
        <x:v>records/science/SCI-PORT-06/YYYY-MM-DD/</x:v>
      </x:c>
      <x:c r="X238" s="53" t="str">
        <x:v>PSP-092|PSP-118</x:v>
      </x:c>
      <x:c r="Y238" s="53" t="str">
        <x:v>PROVISIONAL_TOPIC_CANDIDATES_NOT_METHOD_REVIEWED</x:v>
      </x:c>
      <x:c r="Z238" s="53" t="str">
        <x:v>BLOCKED_UNTIL_EXACT_METHOD_SOURCE_SAFETY_AND_LOCAL_REVIEW</x:v>
      </x:c>
      <x:c r="AA238" s="53" t="str">
        <x:v>DESIGN_ONLY_NOT_EXECUTED</x:v>
      </x:c>
      <x:c r="AB238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8" s="53" t="str">
        <x:v>0.4</x:v>
      </x:c>
    </x:row>
    <x:row r="239">
      <x:c r="A239" s="26" t="str">
        <x:v>PRJ-236</x:v>
      </x:c>
      <x:c r="B239" s="26" t="str">
        <x:v>SCI-PORT-07</x:v>
      </x:c>
      <x:c r="C239" s="26" t="str">
        <x:v>PORT</x:v>
      </x:c>
      <x:c r="D239" s="26" t="str">
        <x:v>Практическая проверка: DGEG/ERSE и безопасность энергетики</x:v>
      </x:c>
      <x:c r="E239" s="26" t="str">
        <x:v>DATASET_SIMULATION_OR_PRO_OBSERVATION_ONLY</x:v>
      </x:c>
      <x:c r="F239" s="26" t="str">
        <x:v>Объяснить базовую модель, выполнить допустимую для класса риска проверку и документировать пределы по теме «DGEG/ERSE и безопасность энергетики».</x:v>
      </x:c>
      <x:c r="G239" s="26" t="str">
        <x:v>SCI-PORT-06|SCI-METH-13|право остановить опыт|инструкция оборудования</x:v>
      </x:c>
      <x:c r="H239" s="26" t="str">
        <x:v>TBD_NON_EXECUTABLE: точные item/model/material/range/PPE для official source/version/coverage должны быть утверждены до начала</x:v>
      </x:c>
      <x:c r="I239" s="26" t="str">
        <x:v>Не выполнять реальную работу. Разобрать утверждённый отчёт, схему, симуляцию или обезличенный набор данных по теме: текущий регуляторный путь; монтаж остаётся профессиональным. Зафиксировать, когда нужен лицензированный специалист.</x:v>
      </x:c>
      <x:c r="J239" s="26" t="str">
        <x:v>текущий регуляторный путь; монтаж остаётся профессиональным</x:v>
      </x:c>
      <x:c r="K239" s="26" t="str">
        <x:v>official-version/coverage</x:v>
      </x:c>
      <x:c r="L239" s="26" t="str">
        <x:v>TBD_BEFORE_EXECUTION_FROM_EXACT_METHOD: диапазон/критерий фиксируется до результата; post-hoc подгонка запрещена.</x:v>
      </x:c>
      <x:c r="M239" s="26" t="str">
        <x:v>сырые данные + фото/скриншот при допустимости + расчёт + uncertainty + подпись reviewer + hash пакета</x:v>
      </x:c>
      <x:c r="N239" s="26" t="n">
        <x:v>1</x:v>
      </x:c>
      <x:c r="O239" s="26" t="str">
        <x:v>TBD_METHOD_SPECIFIC: range/resolution/bias/repeat spread/operator effects утверждаются до execution</x:v>
      </x:c>
      <x:c r="P239" s="26" t="str">
        <x:v>Самовольная работа может привести к пожару, поражению током, обрушению, утечке, травме или нарушению закона.</x:v>
      </x:c>
      <x:c r="Q239" s="26" t="str">
        <x:v>STOP до любого физического вмешательства; только лицензированный специалист с действующим scope и площадкой.</x:v>
      </x:c>
      <x:c r="R239" s="26" t="str">
        <x:v>TBD_ITEM_SPECIFIC_AND_LOCAL: пока маршрут отходов не утверждён, физическое выполнение блокировано.</x:v>
      </x:c>
      <x:c r="S239" s="26" t="str">
        <x:v>S3_LICENSED_PROFESSIONAL</x:v>
      </x:c>
      <x:c r="T239" s="26" t="str">
        <x:v>Лицензированный специалист для любой реальной работы; учебный анализ может быть самостоятельным.</x:v>
      </x:c>
      <x:c r="U239" s="26" t="n">
        <x:v>2</x:v>
      </x:c>
      <x:c r="V239" s="26" t="str">
        <x:v>ANY_SAFE_PERIOD</x:v>
      </x:c>
      <x:c r="W239" s="26" t="str">
        <x:v>records/science/SCI-PORT-07/YYYY-MM-DD/</x:v>
      </x:c>
      <x:c r="X239" s="26" t="str">
        <x:v>PSP-093|PSP-118</x:v>
      </x:c>
      <x:c r="Y239" s="26" t="str">
        <x:v>PROVISIONAL_TOPIC_CANDIDATES_NOT_METHOD_REVIEWED</x:v>
      </x:c>
      <x:c r="Z239" s="26" t="str">
        <x:v>BLOCKED_UNTIL_EXACT_METHOD_SOURCE_SAFETY_AND_LOCAL_REVIEW</x:v>
      </x:c>
      <x:c r="AA239" s="26" t="str">
        <x:v>DESIGN_ONLY_NOT_EXECUTED</x:v>
      </x:c>
      <x:c r="AB239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39" s="26" t="str">
        <x:v>0.4</x:v>
      </x:c>
    </x:row>
    <x:row r="240">
      <x:c r="A240" s="53" t="str">
        <x:v>PRJ-237</x:v>
      </x:c>
      <x:c r="B240" s="53" t="str">
        <x:v>SCI-PORT-08</x:v>
      </x:c>
      <x:c r="C240" s="53" t="str">
        <x:v>PORT</x:v>
      </x:c>
      <x:c r="D240" s="53" t="str">
        <x:v>Практическая проверка: DGS/INFARMED и права на локальную медицинскую копию</x:v>
      </x:c>
      <x:c r="E240" s="53" t="str">
        <x:v>SUPERVISED_DEMONSTRATION_ONLY</x:v>
      </x:c>
      <x:c r="F240" s="53" t="str">
        <x:v>Объяснить базовую модель, выполнить допустимую для класса риска проверку и документировать пределы по теме «DGS/INFARMED и права на локальную медицинскую копию».</x:v>
      </x:c>
      <x:c r="G240" s="53" t="str">
        <x:v>SCI-PORT-07|SCI-METH-13|право остановить опыт|инструкция оборудования</x:v>
      </x:c>
      <x:c r="H240" s="53" t="str">
        <x:v>TBD_NON_EXECUTABLE: точные item/model/material/range/PPE для official source/version/coverage должны быть утверждены до начала</x:v>
      </x:c>
      <x:c r="I240" s="53" t="str">
        <x:v>До допуска: обучение и checklist. Затем только под компетентным надзором выполнить безопасную часть: metadata/link until reproduction rights and edition are cleared. Результат и отклонения подписывает supervisor.</x:v>
      </x:c>
      <x:c r="J240" s="53" t="str">
        <x:v>metadata/link until reproduction rights and edition are cleared</x:v>
      </x:c>
      <x:c r="K240" s="53" t="str">
        <x:v>official-version/coverage</x:v>
      </x:c>
      <x:c r="L240" s="53" t="str">
        <x:v>TBD_BEFORE_EXECUTION_FROM_EXACT_METHOD: диапазон/критерий фиксируется до результата; post-hoc подгонка запрещена.</x:v>
      </x:c>
      <x:c r="M240" s="53" t="str">
        <x:v>сырые данные + фото/скриншот при допустимости + расчёт + uncertainty + подпись reviewer + hash пакета</x:v>
      </x:c>
      <x:c r="N240" s="53" t="n">
        <x:v>1</x:v>
      </x:c>
      <x:c r="O240" s="53" t="str">
        <x:v>TBD_METHOD_SPECIFIC: range/resolution/bias/repeat spread/operator effects утверждаются до execution</x:v>
      </x:c>
      <x:c r="P240" s="53" t="str">
        <x:v>DESIGN_PLACEHOLDER_NOT_EXECUTABLE: item-specific hazard analysis, материалы, энергия, концентрация, СИЗ и отходы ещё не утверждены.</x:v>
      </x:c>
      <x:c r="Q240" s="53" t="str">
        <x:v>BLOCKED_BEFORE_START: до точного method/source review запрещено начинать; после review нужны наблюдаемые численные/событийные stop conditions.</x:v>
      </x:c>
      <x:c r="R240" s="53" t="str">
        <x:v>TBD_ITEM_SPECIFIC_AND_LOCAL: пока маршрут отходов не утверждён, физическое выполнение блокировано.</x:v>
      </x:c>
      <x:c r="S240" s="53" t="str">
        <x:v>S2_TRAINED_SUPERVISED</x:v>
      </x:c>
      <x:c r="T240" s="53" t="str">
        <x:v>Компетентный инструктор/ответственный специалист присутствует и может немедленно остановить работу.</x:v>
      </x:c>
      <x:c r="U240" s="53" t="n">
        <x:v>3</x:v>
      </x:c>
      <x:c r="V240" s="53" t="str">
        <x:v>ANY_SAFE_PERIOD</x:v>
      </x:c>
      <x:c r="W240" s="53" t="str">
        <x:v>records/science/SCI-PORT-08/YYYY-MM-DD/</x:v>
      </x:c>
      <x:c r="X240" s="53" t="str">
        <x:v>PSP-094|PSP-095</x:v>
      </x:c>
      <x:c r="Y240" s="53" t="str">
        <x:v>PROVISIONAL_TOPIC_CANDIDATES_NOT_METHOD_REVIEWED</x:v>
      </x:c>
      <x:c r="Z240" s="53" t="str">
        <x:v>BLOCKED_UNTIL_EXACT_METHOD_SOURCE_SAFETY_AND_LOCAL_REVIEW</x:v>
      </x:c>
      <x:c r="AA240" s="53" t="str">
        <x:v>DESIGN_ONLY_NOT_EXECUTED</x:v>
      </x:c>
      <x:c r="AB240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40" s="53" t="str">
        <x:v>0.4</x:v>
      </x:c>
    </x:row>
    <x:row r="241">
      <x:c r="A241" s="26" t="str">
        <x:v>PRJ-238</x:v>
      </x:c>
      <x:c r="B241" s="26" t="str">
        <x:v>SCI-PORT-09</x:v>
      </x:c>
      <x:c r="C241" s="26" t="str">
        <x:v>PORT</x:v>
      </x:c>
      <x:c r="D241" s="26" t="str">
        <x:v>Практическая проверка: EUR-Lex/Diário da República и актуальность права</x:v>
      </x:c>
      <x:c r="E241" s="26" t="str">
        <x:v>OBSERVATION_DATA_OR_CALCULATION</x:v>
      </x:c>
      <x:c r="F241" s="26" t="str">
        <x:v>Объяснить базовую модель, выполнить допустимую для класса риска проверку и документировать пределы по теме «EUR-Lex/Diário da República и актуальность права».</x:v>
      </x:c>
      <x:c r="G241" s="26" t="str">
        <x:v>SCI-PORT-08|SCI-METH-13|право остановить опыт|инструкция оборудования</x:v>
      </x:c>
      <x:c r="H241" s="26" t="str">
        <x:v>TBD_NON_EXECUTABLE: точные item/model/material/range/PPE для official source/version/coverage должны быть утверждены до начала</x:v>
      </x:c>
      <x:c r="I241" s="26" t="str">
        <x:v>Сформулировать вопрос; записать метод и единицы; выполнить официальный текст, consolidated status, valid_at и review_due; сохранить сырые данные; повторить; оценить неопределённость; сделать ограниченный вывод.</x:v>
      </x:c>
      <x:c r="J241" s="26" t="str">
        <x:v>официальный текст, consolidated status, valid_at и review_due</x:v>
      </x:c>
      <x:c r="K241" s="26" t="str">
        <x:v>official-version/coverage</x:v>
      </x:c>
      <x:c r="L241" s="26" t="str">
        <x:v>TBD_BEFORE_EXECUTION_FROM_EXACT_METHOD: диапазон/критерий фиксируется до результата; post-hoc подгонка запрещена.</x:v>
      </x:c>
      <x:c r="M241" s="26" t="str">
        <x:v>сырые данные + фото/скриншот при допустимости + расчёт + uncertainty + подпись reviewer + hash пакета</x:v>
      </x:c>
      <x:c r="N241" s="26" t="n">
        <x:v>2</x:v>
      </x:c>
      <x:c r="O241" s="26" t="str">
        <x:v>TBD_METHOD_SPECIFIC: range/resolution/bias/repeat spread/operator effects утверждаются до execution</x:v>
      </x:c>
      <x:c r="P241" s="26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41" s="26" t="str">
        <x:v>STOP при неясных правах, происхождении данных, этическом конфликте или невозможности сохранить исходные данные.</x:v>
      </x:c>
      <x:c r="R241" s="26" t="str">
        <x:v>TBD_ITEM_SPECIFIC_AND_LOCAL: пока маршрут отходов не утверждён, физическое выполнение блокировано.</x:v>
      </x:c>
      <x:c r="S241" s="26" t="str">
        <x:v>S0_OBSERVE_READ</x:v>
      </x:c>
      <x:c r="T241" s="26" t="str">
        <x:v>Самостоятельно после проверки источника; опасное действие из текста не выполняется.</x:v>
      </x:c>
      <x:c r="U241" s="26" t="n">
        <x:v>3</x:v>
      </x:c>
      <x:c r="V241" s="26" t="str">
        <x:v>ANY_SAFE_PERIOD</x:v>
      </x:c>
      <x:c r="W241" s="26" t="str">
        <x:v>records/science/SCI-PORT-09/YYYY-MM-DD/</x:v>
      </x:c>
      <x:c r="X241" s="26" t="str">
        <x:v>PSP-096|PSP-097</x:v>
      </x:c>
      <x:c r="Y241" s="26" t="str">
        <x:v>PROVISIONAL_TOPIC_CANDIDATES_NOT_METHOD_REVIEWED</x:v>
      </x:c>
      <x:c r="Z241" s="26" t="str">
        <x:v>BLOCKED_UNTIL_EXACT_METHOD_SOURCE_SAFETY_AND_LOCAL_REVIEW</x:v>
      </x:c>
      <x:c r="AA241" s="26" t="str">
        <x:v>DESIGN_ONLY_NOT_EXECUTED</x:v>
      </x:c>
      <x:c r="AB241" s="26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41" s="26" t="str">
        <x:v>0.4</x:v>
      </x:c>
    </x:row>
    <x:row r="242">
      <x:c r="A242" s="53" t="str">
        <x:v>PRJ-239</x:v>
      </x:c>
      <x:c r="B242" s="53" t="str">
        <x:v>SCI-PORT-10</x:v>
      </x:c>
      <x:c r="C242" s="53" t="str">
        <x:v>PORT</x:v>
      </x:c>
      <x:c r="D242" s="53" t="str">
        <x:v>Практическая проверка: Португальский технический язык и двуязычные карточки</x:v>
      </x:c>
      <x:c r="E242" s="53" t="str">
        <x:v>OBSERVATION_DATA_OR_CALCULATION</x:v>
      </x:c>
      <x:c r="F242" s="53" t="str">
        <x:v>Объяснить базовую модель, выполнить допустимую для класса риска проверку и документировать пределы по теме «Португальский технический язык и двуязычные карточки».</x:v>
      </x:c>
      <x:c r="G242" s="53" t="str">
        <x:v>SCI-PORT-09|SCI-METH-13|право остановить опыт|инструкция оборудования</x:v>
      </x:c>
      <x:c r="H242" s="53" t="str">
        <x:v>TBD_NON_EXECUTABLE: точные item/model/material/range/PPE для official source/version/coverage должны быть утверждены до начала</x:v>
      </x:c>
      <x:c r="I242" s="53" t="str">
        <x:v>Сформулировать вопрос; записать метод и единицы; выполнить PT оригинал + RU пояснение + независимая проверка опасных терминов; сохранить сырые данные; повторить; оценить неопределённость; сделать ограниченный вывод.</x:v>
      </x:c>
      <x:c r="J242" s="53" t="str">
        <x:v>PT оригинал + RU пояснение + независимая проверка опасных терминов</x:v>
      </x:c>
      <x:c r="K242" s="53" t="str">
        <x:v>official-version/coverage</x:v>
      </x:c>
      <x:c r="L242" s="53" t="str">
        <x:v>TBD_BEFORE_EXECUTION_FROM_EXACT_METHOD: диапазон/критерий фиксируется до результата; post-hoc подгонка запрещена.</x:v>
      </x:c>
      <x:c r="M242" s="53" t="str">
        <x:v>сырые данные + фото/скриншот при допустимости + расчёт + uncertainty + подпись reviewer + hash пакета</x:v>
      </x:c>
      <x:c r="N242" s="53" t="n">
        <x:v>2</x:v>
      </x:c>
      <x:c r="O242" s="53" t="str">
        <x:v>TBD_METHOD_SPECIFIC: range/resolution/bias/repeat spread/operator effects утверждаются до execution</x:v>
      </x:c>
      <x:c r="P242" s="53" t="str">
        <x:v>Не переносить вывод за пределы данных; не собирать персональные/чувствительные данные без законного основания и согласия.</x:v>
      </x:c>
      <x:c r="Q242" s="53" t="str">
        <x:v>STOP при неясных правах, происхождении данных, этическом конфликте или невозможности сохранить исходные данные.</x:v>
      </x:c>
      <x:c r="R242" s="53" t="str">
        <x:v>TBD_ITEM_SPECIFIC_AND_LOCAL: пока маршрут отходов не утверждён, физическое выполнение блокировано.</x:v>
      </x:c>
      <x:c r="S242" s="53" t="str">
        <x:v>S0_OBSERVE_READ</x:v>
      </x:c>
      <x:c r="T242" s="53" t="str">
        <x:v>Самостоятельно после проверки источника; опасное действие из текста не выполняется.</x:v>
      </x:c>
      <x:c r="U242" s="53" t="n">
        <x:v>3</x:v>
      </x:c>
      <x:c r="V242" s="53" t="str">
        <x:v>ANY_SAFE_PERIOD</x:v>
      </x:c>
      <x:c r="W242" s="53" t="str">
        <x:v>records/science/SCI-PORT-10/YYYY-MM-DD/</x:v>
      </x:c>
      <x:c r="X242" s="53" t="str">
        <x:v>PSP-029|PSP-100</x:v>
      </x:c>
      <x:c r="Y242" s="53" t="str">
        <x:v>PROVISIONAL_TOPIC_CANDIDATES_NOT_METHOD_REVIEWED</x:v>
      </x:c>
      <x:c r="Z242" s="53" t="str">
        <x:v>BLOCKED_UNTIL_EXACT_METHOD_SOURCE_SAFETY_AND_LOCAL_REVIEW</x:v>
      </x:c>
      <x:c r="AA242" s="53" t="str">
        <x:v>DESIGN_ONLY_NOT_EXECUTED</x:v>
      </x:c>
      <x:c r="AB242" s="53" t="str">
        <x:v>Новый участник находит источник офлайн, объясняет границы, повторяет допустимую процедуру и получает результат в заранее заданном допуске.</x:v>
      </x:c>
      <x:c r="AC242" s="53" t="str">
        <x:v>0.4</x:v>
      </x:c>
    </x:row>
  </x:sheetData>
  <x:mergeCells>
    <x:mergeCell ref="A1:AC1"/>
    <x:mergeCell ref="A2:A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2" customHeight="1">
      <x:c r="A1" s="42" t="str">
        <x:v>ПРИБОРЫ, КАЛИБРОВКА И ЗАПАСНОЙ ПУТЬ</x:v>
      </x:c>
      <x:c r="B1" s="3" t="str">
        <x:v>ПРИБОРЫ, КАЛИБРОВКА И ЗАПАСНОЙ ПУТЬ</x:v>
      </x:c>
      <x:c r="C1" s="3" t="str">
        <x:v>ПРИБОРЫ, КАЛИБРОВКА И ЗАПАСНОЙ ПУТЬ</x:v>
      </x:c>
      <x:c r="D1" s="3" t="str">
        <x:v>ПРИБОРЫ, КАЛИБРОВКА И ЗАПАСНОЙ ПУТЬ</x:v>
      </x:c>
      <x:c r="E1" s="3" t="str">
        <x:v>ПРИБОРЫ, КАЛИБРОВКА И ЗАПАСНОЙ ПУТЬ</x:v>
      </x:c>
      <x:c r="F1" s="3" t="str">
        <x:v>ПРИБОРЫ, КАЛИБРОВКА И ЗАПАСНОЙ ПУТЬ</x:v>
      </x:c>
      <x:c r="G1" s="3" t="str">
        <x:v>ПРИБОРЫ, КАЛИБРОВКА И ЗАПАСНОЙ ПУТЬ</x:v>
      </x:c>
      <x:c r="H1" s="3" t="str">
        <x:v>ПРИБОРЫ, КАЛИБРОВКА И ЗАПАСНОЙ ПУТЬ</x:v>
      </x:c>
      <x:c r="I1" s="3" t="str">
        <x:v>ПРИБОРЫ, КАЛИБРОВКА И ЗАПАСНОЙ ПУТЬ</x:v>
      </x:c>
      <x:c r="J1" s="3" t="str">
        <x:v>ПРИБОРЫ, КАЛИБРОВКА И ЗАПАСНОЙ ПУТЬ</x:v>
      </x:c>
      <x:c r="K1" s="3" t="str">
        <x:v>ПРИБОРЫ, КАЛИБРОВКА И ЗАПАСНОЙ ПУТЬ</x:v>
      </x:c>
      <x:c r="L1" s="3" t="str">
        <x:v>ПРИБОРЫ, КАЛИБРОВКА И ЗАПАСНОЙ ПУТЬ</x:v>
      </x:c>
      <x:c r="M1" s="3" t="str">
        <x:v>ПРИБОРЫ, КАЛИБРОВКА И ЗАПАСНОЙ ПУТЬ</x:v>
      </x:c>
      <x:c r="N1" s="3" t="str">
        <x:v>ПРИБОРЫ, КАЛИБРОВКА И ЗАПАСНОЙ ПУТЬ</x:v>
      </x:c>
      <x:c r="O1" s="3" t="str">
        <x:v>ПРИБОРЫ, КАЛИБРОВКА И ЗАПАСНОЙ ПУТЬ</x:v>
      </x:c>
      <x:c r="P1" s="3" t="str">
        <x:v>ПРИБОРЫ, КАЛИБРОВКА И ЗАПАСНОЙ ПУТЬ</x:v>
      </x:c>
      <x:c r="Q1" s="3" t="str">
        <x:v>ПРИБОРЫ, КАЛИБРОВКА И ЗАПАСНОЙ ПУТЬ</x:v>
      </x:c>
      <x:c r="R1" s="3" t="str">
        <x:v>ПРИБОРЫ, КАЛИБРОВКА И ЗАПАСНОЙ ПУТЬ</x:v>
      </x:c>
      <x:c r="S1" s="3" t="str">
        <x:v>ПРИБОРЫ, КАЛИБРОВКА И ЗАПАСНОЙ ПУТЬ</x:v>
      </x:c>
    </x:row>
    <x:row r="2" ht="38" customHeight="1">
      <x:c r="A2" s="7" t="str">
        <x:v>73 классов приборов · владение прибором не является доказательством точности или допуска</x:v>
      </x:c>
      <x:c r="B2" s="7" t="str">
        <x:v>73 классов приборов · владение прибором не является доказательством точности или допуска</x:v>
      </x:c>
      <x:c r="C2" s="7" t="str">
        <x:v>73 классов приборов · владение прибором не является доказательством точности или допуска</x:v>
      </x:c>
      <x:c r="D2" s="7" t="str">
        <x:v>73 классов приборов · владение прибором не является доказательством точности или допуска</x:v>
      </x:c>
      <x:c r="E2" s="7" t="str">
        <x:v>73 классов приборов · владение прибором не является доказательством точности или допуска</x:v>
      </x:c>
      <x:c r="F2" s="7" t="str">
        <x:v>73 классов приборов · владение прибором не является доказательством точности или допуска</x:v>
      </x:c>
      <x:c r="G2" s="7" t="str">
        <x:v>73 классов приборов · владение прибором не является доказательством точности или допуска</x:v>
      </x:c>
      <x:c r="H2" s="7" t="str">
        <x:v>73 классов приборов · владение прибором не является доказательством точности или допуска</x:v>
      </x:c>
      <x:c r="I2" s="7" t="str">
        <x:v>73 классов приборов · владение прибором не является доказательством точности или допуска</x:v>
      </x:c>
      <x:c r="J2" s="7" t="str">
        <x:v>73 классов приборов · владение прибором не является доказательством точности или допуска</x:v>
      </x:c>
      <x:c r="K2" s="7" t="str">
        <x:v>73 классов приборов · владение прибором не является доказательством точности или допуска</x:v>
      </x:c>
      <x:c r="L2" s="7" t="str">
        <x:v>73 классов приборов · владение прибором не является доказательством точности или допуска</x:v>
      </x:c>
      <x:c r="M2" s="7" t="str">
        <x:v>73 классов приборов · владение прибором не является доказательством точности или допуска</x:v>
      </x:c>
      <x:c r="N2" s="7" t="str">
        <x:v>73 классов приборов · владение прибором не является доказательством точности или допуска</x:v>
      </x:c>
      <x:c r="O2" s="7" t="str">
        <x:v>73 классов приборов · владение прибором не является доказательством точности или допуска</x:v>
      </x:c>
      <x:c r="P2" s="7" t="str">
        <x:v>73 классов приборов · владение прибором не является доказательством точности или допуска</x:v>
      </x:c>
      <x:c r="Q2" s="7" t="str">
        <x:v>73 классов приборов · владение прибором не является доказательством точности или допуска</x:v>
      </x:c>
      <x:c r="R2" s="7" t="str">
        <x:v>73 классов приборов · владение прибором не является доказательством точности или допуска</x:v>
      </x:c>
      <x:c r="S2" s="7" t="str">
        <x:v>73 классов приборов · владение прибором не является доказательством точности или допуска</x:v>
      </x:c>
    </x:row>
    <x:row r="3" ht="34" customHeight="1">
      <x:c r="A3" s="52" t="str">
        <x:v>instrument_id</x:v>
      </x:c>
      <x:c r="B3" s="52" t="str">
        <x:v>category</x:v>
      </x:c>
      <x:c r="C3" s="52" t="str">
        <x:v>instrument_ru</x:v>
      </x:c>
      <x:c r="D3" s="52" t="str">
        <x:v>measures</x:v>
      </x:c>
      <x:c r="E3" s="52" t="str">
        <x:v>unit</x:v>
      </x:c>
      <x:c r="F3" s="52" t="str">
        <x:v>range_hint</x:v>
      </x:c>
      <x:c r="G3" s="52" t="str">
        <x:v>resolution_hint</x:v>
      </x:c>
      <x:c r="H3" s="52" t="str">
        <x:v>calibration_method</x:v>
      </x:c>
      <x:c r="I3" s="52" t="str">
        <x:v>reference_required</x:v>
      </x:c>
      <x:c r="J3" s="52" t="str">
        <x:v>interval</x:v>
      </x:c>
      <x:c r="K3" s="52" t="str">
        <x:v>storage</x:v>
      </x:c>
      <x:c r="L3" s="52" t="str">
        <x:v>maintenance</x:v>
      </x:c>
      <x:c r="M3" s="52" t="str">
        <x:v>failure_signs</x:v>
      </x:c>
      <x:c r="N3" s="52" t="str">
        <x:v>safety_class</x:v>
      </x:c>
      <x:c r="O3" s="52" t="str">
        <x:v>prohibited_use</x:v>
      </x:c>
      <x:c r="P3" s="52" t="str">
        <x:v>spare_strategy</x:v>
      </x:c>
      <x:c r="Q3" s="52" t="str">
        <x:v>manual_package_id</x:v>
      </x:c>
      <x:c r="R3" s="52" t="str">
        <x:v>status</x:v>
      </x:c>
      <x:c r="S3" s="52" t="str">
        <x:v>release_version</x:v>
      </x:c>
    </x:row>
    <x:row r="4">
      <x:c r="A4" s="53" t="str">
        <x:v>INS-001</x:v>
      </x:c>
      <x:c r="B4" s="53" t="str">
        <x:v>METROLOGY</x:v>
      </x:c>
      <x:c r="C4" s="53" t="str">
        <x:v>стальная линейка</x:v>
      </x:c>
      <x:c r="D4" s="53" t="str">
        <x:v>длина</x:v>
      </x:c>
      <x:c r="E4" s="53" t="str">
        <x:v>mm</x:v>
      </x:c>
      <x:c r="F4" s="53" t="str">
        <x:v>TBD_PER_EXACT_TASK_AND_METHOD; не закупать/не применять по этой общей строке и не работать у края диапазона.</x:v>
      </x:c>
      <x:c r="G4" s="53" t="str">
        <x:v>TBD_PER_EXACT_TASK_AND_METHOD; правило 10:1 — только planning hint, не универсальная спецификация точности.</x:v>
      </x:c>
      <x:c r="H4" s="53" t="str">
        <x:v>проверка нуля и сравнение с прослеживаемым эталоном длины</x:v>
      </x:c>
      <x:c r="I4" s="53" t="str">
        <x:v>TBD_PER_EXACT_INSTRUMENT: документированный эталон, контрольная точка или официальный сервис выбираются по методу/классу.</x:v>
      </x:c>
      <x:c r="J4" s="53" t="str">
        <x:v>BEFORE_CRITICAL_USE|AFTER_DAMAGE|ANNUAL_OR_MANUFACTURER</x:v>
      </x:c>
      <x:c r="K4" s="53" t="str">
        <x:v>чисто, сухо, защищено от удара/магнитов/температуры по manual</x:v>
      </x:c>
      <x:c r="L4" s="53" t="str">
        <x:v>визуальный осмотр, батарея/расходник, очистка, журнал offset и следующей проверки</x:v>
      </x:c>
      <x:c r="M4" s="53" t="str">
        <x:v>нестабильный ноль, дрейф, повреждение, невозможный результат, расхождение с контрольной точкой</x:v>
      </x:c>
      <x:c r="N4" s="53" t="str">
        <x:v>S1_LOW_RISK_HOUSEHOLD</x:v>
      </x:c>
      <x:c r="O4" s="53" t="str">
        <x:v>не использовать повреждённую кромку как режущий инструмент</x:v>
      </x:c>
      <x:c r="P4" s="53" t="str">
        <x:v>две линейки разных производителей</x:v>
      </x:c>
      <x:c r="Q4" s="53" t="str">
        <x:v>PSP-116</x:v>
      </x:c>
      <x:c r="R4" s="53" t="str">
        <x:v>CANDIDATE_NOT_INVENTORIED</x:v>
      </x:c>
      <x:c r="S4" s="53" t="str">
        <x:v>0.4</x:v>
      </x:c>
    </x:row>
    <x:row r="5">
      <x:c r="A5" s="26" t="str">
        <x:v>INS-002</x:v>
      </x:c>
      <x:c r="B5" s="26" t="str">
        <x:v>METROLOGY</x:v>
      </x:c>
      <x:c r="C5" s="26" t="str">
        <x:v>рулетка</x:v>
      </x:c>
      <x:c r="D5" s="26" t="str">
        <x:v>длина</x:v>
      </x:c>
      <x:c r="E5" s="26" t="str">
        <x:v>mm|m</x:v>
      </x:c>
      <x:c r="F5" s="26" t="str">
        <x:v>TBD_PER_EXACT_TASK_AND_METHOD; не закупать/не применять по этой общей строке и не работать у края диапазона.</x:v>
      </x:c>
      <x:c r="G5" s="26" t="str">
        <x:v>TBD_PER_EXACT_TASK_AND_METHOD; правило 10:1 — только planning hint, не универсальная спецификация точности.</x:v>
      </x:c>
      <x:c r="H5" s="26" t="str">
        <x:v>проверка нуля/зацепа и нескольких точек</x:v>
      </x:c>
      <x:c r="I5" s="26" t="str">
        <x:v>TBD_PER_EXACT_INSTRUMENT: документированный эталон, контрольная точка или официальный сервис выбираются по методу/классу.</x:v>
      </x:c>
      <x:c r="J5" s="26" t="str">
        <x:v>BEFORE_CRITICAL_USE|AFTER_DAMAGE|ANNUAL_OR_MANUFACTURER</x:v>
      </x:c>
      <x:c r="K5" s="26" t="str">
        <x:v>чисто, сухо, защищено от удара/магнитов/температуры по manual</x:v>
      </x:c>
      <x:c r="L5" s="26" t="str">
        <x:v>визуальный осмотр, батарея/расходник, очистка, журнал offset и следующей проверки</x:v>
      </x:c>
      <x:c r="M5" s="26" t="str">
        <x:v>нестабильный ноль, дрейф, повреждение, невозможный результат, расхождение с контрольной точкой</x:v>
      </x:c>
      <x:c r="N5" s="26" t="str">
        <x:v>S1_LOW_RISK_HOUSEHOLD</x:v>
      </x:c>
      <x:c r="O5" s="26" t="str">
        <x:v>не отпускать ленту неконтролируемо</x:v>
      </x:c>
      <x:c r="P5" s="26" t="str">
        <x:v>запасная рулетка и складной метр</x:v>
      </x:c>
      <x:c r="Q5" s="26" t="str">
        <x:v>PSP-116</x:v>
      </x:c>
      <x:c r="R5" s="26" t="str">
        <x:v>CANDIDATE_NOT_INVENTORIED</x:v>
      </x:c>
      <x:c r="S5" s="26" t="str">
        <x:v>0.4</x:v>
      </x:c>
    </x:row>
    <x:row r="6">
      <x:c r="A6" s="53" t="str">
        <x:v>INS-003</x:v>
      </x:c>
      <x:c r="B6" s="53" t="str">
        <x:v>METROLOGY</x:v>
      </x:c>
      <x:c r="C6" s="53" t="str">
        <x:v>штангенциркуль</x:v>
      </x:c>
      <x:c r="D6" s="53" t="str">
        <x:v>наружный/внутренний размер</x:v>
      </x:c>
      <x:c r="E6" s="53" t="str">
        <x:v>mm</x:v>
      </x:c>
      <x:c r="F6" s="53" t="str">
        <x:v>TBD_PER_EXACT_TASK_AND_METHOD; не закупать/не применять по этой общей строке и не работать у края диапазона.</x:v>
      </x:c>
      <x:c r="G6" s="53" t="str">
        <x:v>TBD_PER_EXACT_TASK_AND_METHOD; правило 10:1 — только planning hint, не универсальная спецификация точности.</x:v>
      </x:c>
      <x:c r="H6" s="53" t="str">
        <x:v>очистка губок, zero check, проверочный блок</x:v>
      </x:c>
      <x:c r="I6" s="53" t="str">
        <x:v>TBD_PER_EXACT_INSTRUMENT: документированный эталон, контрольная точка или официальный сервис выбираются по методу/классу.</x:v>
      </x:c>
      <x:c r="J6" s="53" t="str">
        <x:v>BEFORE_CRITICAL_USE|AFTER_DAMAGE|ANNUAL_OR_MANUFACTURER</x:v>
      </x:c>
      <x:c r="K6" s="53" t="str">
        <x:v>чисто, сухо, защищено от удара/магнитов/температуры по manual</x:v>
      </x:c>
      <x:c r="L6" s="53" t="str">
        <x:v>визуальный осмотр, батарея/расходник, очистка, журнал offset и следующей проверки</x:v>
      </x:c>
      <x:c r="M6" s="53" t="str">
        <x:v>нестабильный ноль, дрейф, повреждение, невозможный результат, расхождение с контрольной точкой</x:v>
      </x:c>
      <x:c r="N6" s="53" t="str">
        <x:v>S1_LOW_RISK_HOUSEHOLD</x:v>
      </x:c>
      <x:c r="O6" s="53" t="str">
        <x:v>не измерять вращающиеся/электрические части</x:v>
      </x:c>
      <x:c r="P6" s="53" t="str">
        <x:v>механический плюс цифровой</x:v>
      </x:c>
      <x:c r="Q6" s="53" t="str">
        <x:v>PSP-116</x:v>
      </x:c>
      <x:c r="R6" s="53" t="str">
        <x:v>CANDIDATE_NOT_INVENTORIED</x:v>
      </x:c>
      <x:c r="S6" s="53" t="str">
        <x:v>0.4</x:v>
      </x:c>
    </x:row>
    <x:row r="7">
      <x:c r="A7" s="26" t="str">
        <x:v>INS-004</x:v>
      </x:c>
      <x:c r="B7" s="26" t="str">
        <x:v>METROLOGY</x:v>
      </x:c>
      <x:c r="C7" s="26" t="str">
        <x:v>микрометр</x:v>
      </x:c>
      <x:c r="D7" s="26" t="str">
        <x:v>малый размер</x:v>
      </x:c>
      <x:c r="E7" s="26" t="str">
        <x:v>mm</x:v>
      </x:c>
      <x:c r="F7" s="26" t="str">
        <x:v>TBD_PER_EXACT_TASK_AND_METHOD; не закупать/не применять по этой общей строке и не работать у края диапазона.</x:v>
      </x:c>
      <x:c r="G7" s="26" t="str">
        <x:v>TBD_PER_EXACT_TASK_AND_METHOD; правило 10:1 — только planning hint, не универсальная спецификация точности.</x:v>
      </x:c>
      <x:c r="H7" s="26" t="str">
        <x:v>нулевой эталон/набор мер и трещотка</x:v>
      </x:c>
      <x:c r="I7" s="26" t="str">
        <x:v>TBD_PER_EXACT_INSTRUMENT: документированный эталон, контрольная точка или официальный сервис выбираются по методу/классу.</x:v>
      </x:c>
      <x:c r="J7" s="26" t="str">
        <x:v>BEFORE_CRITICAL_USE|AFTER_DAMAGE|ANNUAL_OR_MANUFACTURER</x:v>
      </x:c>
      <x:c r="K7" s="26" t="str">
        <x:v>чисто, сухо, защищено от удара/магнитов/температуры по manual</x:v>
      </x:c>
      <x:c r="L7" s="26" t="str">
        <x:v>визуальный осмотр, батарея/расходник, очистка, журнал offset и следующей проверки</x:v>
      </x:c>
      <x:c r="M7" s="26" t="str">
        <x:v>нестабильный ноль, дрейф, повреждение, невозможный результат, расхождение с контрольной точкой</x:v>
      </x:c>
      <x:c r="N7" s="26" t="str">
        <x:v>S2_TRAINED_SUPERVISED</x:v>
      </x:c>
      <x:c r="O7" s="26" t="str">
        <x:v>не превышать усилие и диапазон</x:v>
      </x:c>
      <x:c r="P7" s="26" t="str">
        <x:v>механический эталон</x:v>
      </x:c>
      <x:c r="Q7" s="26" t="str">
        <x:v>PSP-116</x:v>
      </x:c>
      <x:c r="R7" s="26" t="str">
        <x:v>CANDIDATE_NOT_INVENTORIED</x:v>
      </x:c>
      <x:c r="S7" s="26" t="str">
        <x:v>0.4</x:v>
      </x:c>
    </x:row>
    <x:row r="8">
      <x:c r="A8" s="53" t="str">
        <x:v>INS-005</x:v>
      </x:c>
      <x:c r="B8" s="53" t="str">
        <x:v>METROLOGY</x:v>
      </x:c>
      <x:c r="C8" s="53" t="str">
        <x:v>угольник</x:v>
      </x:c>
      <x:c r="D8" s="53" t="str">
        <x:v>прямой угол</x:v>
      </x:c>
      <x:c r="E8" s="53" t="str">
        <x:v>degree/pass-fail</x:v>
      </x:c>
      <x:c r="F8" s="53" t="str">
        <x:v>TBD_PER_EXACT_TASK_AND_METHOD; не закупать/не применять по этой общей строке и не работать у края диапазона.</x:v>
      </x:c>
      <x:c r="G8" s="53" t="str">
        <x:v>TBD_PER_EXACT_TASK_AND_METHOD; правило 10:1 — только planning hint, не универсальная спецификация точности.</x:v>
      </x:c>
      <x:c r="H8" s="53" t="str">
        <x:v>flip test на прямой линии</x:v>
      </x:c>
      <x:c r="I8" s="53" t="str">
        <x:v>TBD_PER_EXACT_INSTRUMENT: документированный эталон, контрольная точка или официальный сервис выбираются по методу/классу.</x:v>
      </x:c>
      <x:c r="J8" s="53" t="str">
        <x:v>BEFORE_CRITICAL_USE|AFTER_DAMAGE|ANNUAL_OR_MANUFACTURER</x:v>
      </x:c>
      <x:c r="K8" s="53" t="str">
        <x:v>чисто, сухо, защищено от удара/магнитов/температуры по manual</x:v>
      </x:c>
      <x:c r="L8" s="53" t="str">
        <x:v>визуальный осмотр, батарея/расходник, очистка, журнал offset и следующей проверки</x:v>
      </x:c>
      <x:c r="M8" s="53" t="str">
        <x:v>нестабильный ноль, дрейф, повреждение, невозможный результат, расхождение с контрольной точкой</x:v>
      </x:c>
      <x:c r="N8" s="53" t="str">
        <x:v>S1_LOW_RISK_HOUSEHOLD</x:v>
      </x:c>
      <x:c r="O8" s="53" t="str">
        <x:v>не применять как ударный инструмент</x:v>
      </x:c>
      <x:c r="P8" s="53" t="str">
        <x:v>малый и строительный</x:v>
      </x:c>
      <x:c r="Q8" s="53" t="str">
        <x:v>PSP-116</x:v>
      </x:c>
      <x:c r="R8" s="53" t="str">
        <x:v>CANDIDATE_NOT_INVENTORIED</x:v>
      </x:c>
      <x:c r="S8" s="53" t="str">
        <x:v>0.4</x:v>
      </x:c>
    </x:row>
    <x:row r="9">
      <x:c r="A9" s="26" t="str">
        <x:v>INS-006</x:v>
      </x:c>
      <x:c r="B9" s="26" t="str">
        <x:v>METROLOGY</x:v>
      </x:c>
      <x:c r="C9" s="26" t="str">
        <x:v>уровень пузырьковый</x:v>
      </x:c>
      <x:c r="D9" s="26" t="str">
        <x:v>наклон</x:v>
      </x:c>
      <x:c r="E9" s="26" t="str">
        <x:v>mm/m</x:v>
      </x:c>
      <x:c r="F9" s="26" t="str">
        <x:v>TBD_PER_EXACT_TASK_AND_METHOD; не закупать/не применять по этой общей строке и не работать у края диапазона.</x:v>
      </x:c>
      <x:c r="G9" s="26" t="str">
        <x:v>TBD_PER_EXACT_TASK_AND_METHOD; правило 10:1 — только planning hint, не универсальная спецификация точности.</x:v>
      </x:c>
      <x:c r="H9" s="26" t="str">
        <x:v>переворот на одной поверхности</x:v>
      </x:c>
      <x:c r="I9" s="26" t="str">
        <x:v>TBD_PER_EXACT_INSTRUMENT: документированный эталон, контрольная точка или официальный сервис выбираются по методу/классу.</x:v>
      </x:c>
      <x:c r="J9" s="26" t="str">
        <x:v>BEFORE_CRITICAL_USE|AFTER_DAMAGE|ANNUAL_OR_MANUFACTURER</x:v>
      </x:c>
      <x:c r="K9" s="26" t="str">
        <x:v>чисто, сухо, защищено от удара/магнитов/температуры по manual</x:v>
      </x:c>
      <x:c r="L9" s="26" t="str">
        <x:v>визуальный осмотр, батарея/расходник, очистка, журнал offset и следующей проверки</x:v>
      </x:c>
      <x:c r="M9" s="26" t="str">
        <x:v>нестабильный ноль, дрейф, повреждение, невозможный результат, расхождение с контрольной точкой</x:v>
      </x:c>
      <x:c r="N9" s="26" t="str">
        <x:v>S1_LOW_RISK_HOUSEHOLD</x:v>
      </x:c>
      <x:c r="O9" s="26" t="str">
        <x:v>не использовать на высоте без защиты</x:v>
      </x:c>
      <x:c r="P9" s="26" t="str">
        <x:v>короткий и длинный</x:v>
      </x:c>
      <x:c r="Q9" s="26" t="str">
        <x:v>PSP-116</x:v>
      </x:c>
      <x:c r="R9" s="26" t="str">
        <x:v>CANDIDATE_NOT_INVENTORIED</x:v>
      </x:c>
      <x:c r="S9" s="26" t="str">
        <x:v>0.4</x:v>
      </x:c>
    </x:row>
    <x:row r="10">
      <x:c r="A10" s="53" t="str">
        <x:v>INS-007</x:v>
      </x:c>
      <x:c r="B10" s="53" t="str">
        <x:v>METROLOGY</x:v>
      </x:c>
      <x:c r="C10" s="53" t="str">
        <x:v>цифровой угломер/инклинометр</x:v>
      </x:c>
      <x:c r="D10" s="53" t="str">
        <x:v>угол/наклон</x:v>
      </x:c>
      <x:c r="E10" s="53" t="str">
        <x:v>degree</x:v>
      </x:c>
      <x:c r="F10" s="53" t="str">
        <x:v>TBD_PER_EXACT_TASK_AND_METHOD; не закупать/не применять по этой общей строке и не работать у края диапазона.</x:v>
      </x:c>
      <x:c r="G10" s="53" t="str">
        <x:v>TBD_PER_EXACT_TASK_AND_METHOD; правило 10:1 — только planning hint, не универсальная спецификация точности.</x:v>
      </x:c>
      <x:c r="H10" s="53" t="str">
        <x:v>zero на проверенной поверхности и reversal test</x:v>
      </x:c>
      <x:c r="I10" s="53" t="str">
        <x:v>TBD_PER_EXACT_INSTRUMENT: документированный эталон, контрольная точка или официальный сервис выбираются по методу/классу.</x:v>
      </x:c>
      <x:c r="J10" s="53" t="str">
        <x:v>BEFORE_CRITICAL_USE|AFTER_DAMAGE|ANNUAL_OR_MANUFACTURER</x:v>
      </x:c>
      <x:c r="K10" s="53" t="str">
        <x:v>чисто, сухо, защищено от удара/магнитов/температуры по manual</x:v>
      </x:c>
      <x:c r="L10" s="53" t="str">
        <x:v>визуальный осмотр, батарея/расходник, очистка, журнал offset и следующей проверки</x:v>
      </x:c>
      <x:c r="M10" s="53" t="str">
        <x:v>нестабильный ноль, дрейф, повреждение, невозможный результат, расхождение с контрольной точкой</x:v>
      </x:c>
      <x:c r="N10" s="53" t="str">
        <x:v>S1_LOW_RISK_HOUSEHOLD</x:v>
      </x:c>
      <x:c r="O10" s="53" t="str">
        <x:v>не использовать как доказательство структурной безопасности</x:v>
      </x:c>
      <x:c r="P10" s="53" t="str">
        <x:v>механический транспортир</x:v>
      </x:c>
      <x:c r="Q10" s="53" t="str">
        <x:v>PSP-116</x:v>
      </x:c>
      <x:c r="R10" s="53" t="str">
        <x:v>CANDIDATE_NOT_INVENTORIED</x:v>
      </x:c>
      <x:c r="S10" s="53" t="str">
        <x:v>0.4</x:v>
      </x:c>
    </x:row>
    <x:row r="11">
      <x:c r="A11" s="26" t="str">
        <x:v>INS-008</x:v>
      </x:c>
      <x:c r="B11" s="26" t="str">
        <x:v>METROLOGY</x:v>
      </x:c>
      <x:c r="C11" s="26" t="str">
        <x:v>набор калибровочных гирь</x:v>
      </x:c>
      <x:c r="D11" s="26" t="str">
        <x:v>масса-эталон</x:v>
      </x:c>
      <x:c r="E11" s="26" t="str">
        <x:v>g</x:v>
      </x:c>
      <x:c r="F11" s="26" t="str">
        <x:v>TBD_PER_EXACT_TASK_AND_METHOD; не закупать/не применять по этой общей строке и не работать у края диапазона.</x:v>
      </x:c>
      <x:c r="G11" s="26" t="str">
        <x:v>TBD_PER_EXACT_TASK_AND_METHOD; правило 10:1 — только planning hint, не универсальная спецификация точности.</x:v>
      </x:c>
      <x:c r="H11" s="26" t="str">
        <x:v>сертификат/класс, чистота и контрольная карта</x:v>
      </x:c>
      <x:c r="I11" s="26" t="str">
        <x:v>TBD_PER_EXACT_INSTRUMENT: документированный эталон, контрольная точка или официальный сервис выбираются по методу/классу.</x:v>
      </x:c>
      <x:c r="J11" s="26" t="str">
        <x:v>BEFORE_CRITICAL_USE|AFTER_DAMAGE|ANNUAL_OR_MANUFACTURER</x:v>
      </x:c>
      <x:c r="K11" s="26" t="str">
        <x:v>чисто, сухо, защищено от удара/магнитов/температуры по manual</x:v>
      </x:c>
      <x:c r="L11" s="26" t="str">
        <x:v>визуальный осмотр, батарея/расходник, очистка, журнал offset и следующей проверки</x:v>
      </x:c>
      <x:c r="M11" s="26" t="str">
        <x:v>нестабильный ноль, дрейф, повреждение, невозможный результат, расхождение с контрольной точкой</x:v>
      </x:c>
      <x:c r="N11" s="26" t="str">
        <x:v>S1_LOW_RISK_HOUSEHOLD</x:v>
      </x:c>
      <x:c r="O11" s="26" t="str">
        <x:v>не считать бытовые предметы прослеживаемым эталоном</x:v>
      </x:c>
      <x:c r="P11" s="26" t="str">
        <x:v>две номинальные точки</x:v>
      </x:c>
      <x:c r="Q11" s="26" t="str">
        <x:v>PSP-116</x:v>
      </x:c>
      <x:c r="R11" s="26" t="str">
        <x:v>CANDIDATE_NOT_INVENTORIED</x:v>
      </x:c>
      <x:c r="S11" s="26" t="str">
        <x:v>0.4</x:v>
      </x:c>
    </x:row>
    <x:row r="12">
      <x:c r="A12" s="53" t="str">
        <x:v>INS-009</x:v>
      </x:c>
      <x:c r="B12" s="53" t="str">
        <x:v>METROLOGY</x:v>
      </x:c>
      <x:c r="C12" s="53" t="str">
        <x:v>весы кухонные</x:v>
      </x:c>
      <x:c r="D12" s="53" t="str">
        <x:v>масса</x:v>
      </x:c>
      <x:c r="E12" s="53" t="str">
        <x:v>g</x:v>
      </x:c>
      <x:c r="F12" s="53" t="str">
        <x:v>TBD_PER_EXACT_TASK_AND_METHOD; не закупать/не применять по этой общей строке и не работать у края диапазона.</x:v>
      </x:c>
      <x:c r="G12" s="53" t="str">
        <x:v>TBD_PER_EXACT_TASK_AND_METHOD; правило 10:1 — только planning hint, не универсальная спецификация точности.</x:v>
      </x:c>
      <x:c r="H12" s="53" t="str">
        <x:v>zero, несколько гирь, повторяемость и corner-load</x:v>
      </x:c>
      <x:c r="I12" s="53" t="str">
        <x:v>TBD_PER_EXACT_INSTRUMENT: документированный эталон, контрольная точка или официальный сервис выбираются по методу/классу.</x:v>
      </x:c>
      <x:c r="J12" s="53" t="str">
        <x:v>BEFORE_CRITICAL_USE|AFTER_DAMAGE|ANNUAL_OR_MANUFACTURER</x:v>
      </x:c>
      <x:c r="K12" s="53" t="str">
        <x:v>чисто, сухо, защищено от удара/магнитов/температуры по manual</x:v>
      </x:c>
      <x:c r="L12" s="53" t="str">
        <x:v>визуальный осмотр, батарея/расходник, очистка, журнал offset и следующей проверки</x:v>
      </x:c>
      <x:c r="M12" s="53" t="str">
        <x:v>нестабильный ноль, дрейф, повреждение, невозможный результат, расхождение с контрольной точкой</x:v>
      </x:c>
      <x:c r="N12" s="53" t="str">
        <x:v>S1_LOW_RISK_HOUSEHOLD</x:v>
      </x:c>
      <x:c r="O12" s="53" t="str">
        <x:v>не использовать для лекарственных доз</x:v>
      </x:c>
      <x:c r="P12" s="53" t="str">
        <x:v>механические весы как fallback</x:v>
      </x:c>
      <x:c r="Q12" s="53" t="str">
        <x:v>PSP-116</x:v>
      </x:c>
      <x:c r="R12" s="53" t="str">
        <x:v>CANDIDATE_NOT_INVENTORIED</x:v>
      </x:c>
      <x:c r="S12" s="53" t="str">
        <x:v>0.4</x:v>
      </x:c>
    </x:row>
    <x:row r="13">
      <x:c r="A13" s="26" t="str">
        <x:v>INS-010</x:v>
      </x:c>
      <x:c r="B13" s="26" t="str">
        <x:v>METROLOGY</x:v>
      </x:c>
      <x:c r="C13" s="26" t="str">
        <x:v>весы платформенные</x:v>
      </x:c>
      <x:c r="D13" s="26" t="str">
        <x:v>масса</x:v>
      </x:c>
      <x:c r="E13" s="26" t="str">
        <x:v>kg</x:v>
      </x:c>
      <x:c r="F13" s="26" t="str">
        <x:v>TBD_PER_EXACT_TASK_AND_METHOD; не закупать/не применять по этой общей строке и не работать у края диапазона.</x:v>
      </x:c>
      <x:c r="G13" s="26" t="str">
        <x:v>TBD_PER_EXACT_TASK_AND_METHOD; правило 10:1 — только planning hint, не универсальная спецификация точности.</x:v>
      </x:c>
      <x:c r="H13" s="26" t="str">
        <x:v>сертифицированные гири/сервис и repeatability</x:v>
      </x:c>
      <x:c r="I13" s="26" t="str">
        <x:v>TBD_PER_EXACT_INSTRUMENT: документированный эталон, контрольная точка или официальный сервис выбираются по методу/классу.</x:v>
      </x:c>
      <x:c r="J13" s="26" t="str">
        <x:v>BEFORE_CRITICAL_USE|AFTER_DAMAGE|ANNUAL_OR_MANUFACTURER</x:v>
      </x:c>
      <x:c r="K13" s="26" t="str">
        <x:v>чисто, сухо, защищено от удара/магнитов/температуры по manual</x:v>
      </x:c>
      <x:c r="L13" s="26" t="str">
        <x:v>визуальный осмотр, батарея/расходник, очистка, журнал offset и следующей проверки</x:v>
      </x:c>
      <x:c r="M13" s="26" t="str">
        <x:v>нестабильный ноль, дрейф, повреждение, невозможный результат, расхождение с контрольной точкой</x:v>
      </x:c>
      <x:c r="N13" s="26" t="str">
        <x:v>S2_TRAINED_SUPERVISED</x:v>
      </x:c>
      <x:c r="O13" s="26" t="str">
        <x:v>не превышать нагрузку и не стоять под грузом</x:v>
      </x:c>
      <x:c r="P13" s="26" t="str">
        <x:v>второй диапазон/сервис</x:v>
      </x:c>
      <x:c r="Q13" s="26" t="str">
        <x:v>PSP-116</x:v>
      </x:c>
      <x:c r="R13" s="26" t="str">
        <x:v>CANDIDATE_NOT_INVENTORIED</x:v>
      </x:c>
      <x:c r="S13" s="26" t="str">
        <x:v>0.4</x:v>
      </x:c>
    </x:row>
    <x:row r="14">
      <x:c r="A14" s="53" t="str">
        <x:v>INS-011</x:v>
      </x:c>
      <x:c r="B14" s="53" t="str">
        <x:v>TIME</x:v>
      </x:c>
      <x:c r="C14" s="53" t="str">
        <x:v>механические часы/секундомер</x:v>
      </x:c>
      <x:c r="D14" s="53" t="str">
        <x:v>время</x:v>
      </x:c>
      <x:c r="E14" s="53" t="str">
        <x:v>s</x:v>
      </x:c>
      <x:c r="F14" s="53" t="str">
        <x:v>TBD_PER_EXACT_TASK_AND_METHOD; не закупать/не применять по этой общей строке и не работать у края диапазона.</x:v>
      </x:c>
      <x:c r="G14" s="53" t="str">
        <x:v>TBD_PER_EXACT_TASK_AND_METHOD; правило 10:1 — только planning hint, не универсальная спецификация точности.</x:v>
      </x:c>
      <x:c r="H14" s="53" t="str">
        <x:v>сравнение с двумя независимыми эталонами времени</x:v>
      </x:c>
      <x:c r="I14" s="53" t="str">
        <x:v>TBD_PER_EXACT_INSTRUMENT: документированный эталон, контрольная точка или официальный сервис выбираются по методу/классу.</x:v>
      </x:c>
      <x:c r="J14" s="53" t="str">
        <x:v>BEFORE_CRITICAL_USE|AFTER_DAMAGE|ANNUAL_OR_MANUFACTURER</x:v>
      </x:c>
      <x:c r="K14" s="53" t="str">
        <x:v>чисто, сухо, защищено от удара/магнитов/температуры по manual</x:v>
      </x:c>
      <x:c r="L14" s="53" t="str">
        <x:v>визуальный осмотр, батарея/расходник, очистка, журнал offset и следующей проверки</x:v>
      </x:c>
      <x:c r="M14" s="53" t="str">
        <x:v>нестабильный ноль, дрейф, повреждение, невозможный результат, расхождение с контрольной точкой</x:v>
      </x:c>
      <x:c r="N14" s="53" t="str">
        <x:v>S1_LOW_RISK_HOUSEHOLD</x:v>
      </x:c>
      <x:c r="O14" s="53" t="str">
        <x:v>не использовать один дрейфующий источник как эталон</x:v>
      </x:c>
      <x:c r="P14" s="53" t="str">
        <x:v>кварцевые часы + ради/GNSS при наличии</x:v>
      </x:c>
      <x:c r="Q14" s="53" t="str">
        <x:v>PSP-116</x:v>
      </x:c>
      <x:c r="R14" s="53" t="str">
        <x:v>CANDIDATE_NOT_INVENTORIED</x:v>
      </x:c>
      <x:c r="S14" s="53" t="str">
        <x:v>0.4</x:v>
      </x:c>
    </x:row>
    <x:row r="15">
      <x:c r="A15" s="26" t="str">
        <x:v>INS-012</x:v>
      </x:c>
      <x:c r="B15" s="26" t="str">
        <x:v>TIME</x:v>
      </x:c>
      <x:c r="C15" s="26" t="str">
        <x:v>RTC/частотный счётчик</x:v>
      </x:c>
      <x:c r="D15" s="26" t="str">
        <x:v>частота/время</x:v>
      </x:c>
      <x:c r="E15" s="26" t="str">
        <x:v>Hz|s</x:v>
      </x:c>
      <x:c r="F15" s="26" t="str">
        <x:v>TBD_PER_EXACT_TASK_AND_METHOD; не закупать/не применять по этой общей строке и не работать у края диапазона.</x:v>
      </x:c>
      <x:c r="G15" s="26" t="str">
        <x:v>TBD_PER_EXACT_TASK_AND_METHOD; правило 10:1 — только planning hint, не универсальная спецификация точности.</x:v>
      </x:c>
      <x:c r="H15" s="26" t="str">
        <x:v>сравнение с прослеживаемым частотным источником</x:v>
      </x:c>
      <x:c r="I15" s="26" t="str">
        <x:v>TBD_PER_EXACT_INSTRUMENT: документированный эталон, контрольная точка или официальный сервис выбираются по методу/классу.</x:v>
      </x:c>
      <x:c r="J15" s="26" t="str">
        <x:v>BEFORE_CRITICAL_USE|AFTER_DAMAGE|ANNUAL_OR_MANUFACTURER</x:v>
      </x:c>
      <x:c r="K15" s="26" t="str">
        <x:v>чисто, сухо, защищено от удара/магнитов/температуры по manual</x:v>
      </x:c>
      <x:c r="L15" s="26" t="str">
        <x:v>визуальный осмотр, батарея/расходник, очистка, журнал offset и следующей проверки</x:v>
      </x:c>
      <x:c r="M15" s="26" t="str">
        <x:v>нестабильный ноль, дрейф, повреждение, невозможный результат, расхождение с контрольной точкой</x:v>
      </x:c>
      <x:c r="N15" s="26" t="str">
        <x:v>S2_TRAINED_SUPERVISED</x:v>
      </x:c>
      <x:c r="O15" s="26" t="str">
        <x:v>не подключать к опасному напряжению</x:v>
      </x:c>
      <x:c r="P15" s="26" t="str">
        <x:v>запасной модуль и опубликованный offset</x:v>
      </x:c>
      <x:c r="Q15" s="26" t="str">
        <x:v>PSP-116</x:v>
      </x:c>
      <x:c r="R15" s="26" t="str">
        <x:v>CANDIDATE_NOT_INVENTORIED</x:v>
      </x:c>
      <x:c r="S15" s="26" t="str">
        <x:v>0.4</x:v>
      </x:c>
    </x:row>
    <x:row r="16">
      <x:c r="A16" s="53" t="str">
        <x:v>INS-013</x:v>
      </x:c>
      <x:c r="B16" s="53" t="str">
        <x:v>THERMAL</x:v>
      </x:c>
      <x:c r="C16" s="53" t="str">
        <x:v>контактный цифровой термометр</x:v>
      </x:c>
      <x:c r="D16" s="53" t="str">
        <x:v>температура</x:v>
      </x:c>
      <x:c r="E16" s="53" t="str">
        <x:v>°C</x:v>
      </x:c>
      <x:c r="F16" s="53" t="str">
        <x:v>TBD_PER_EXACT_TASK_AND_METHOD; не закупать/не применять по этой общей строке и не работать у края диапазона.</x:v>
      </x:c>
      <x:c r="G16" s="53" t="str">
        <x:v>TBD_PER_EXACT_TASK_AND_METHOD; правило 10:1 — только planning hint, не универсальная спецификация точности.</x:v>
      </x:c>
      <x:c r="H16" s="53" t="str">
        <x:v>ледяная точка/сертифицированный термостат и 2-точечная проверка</x:v>
      </x:c>
      <x:c r="I16" s="53" t="str">
        <x:v>TBD_PER_EXACT_INSTRUMENT: документированный эталон, контрольная точка или официальный сервис выбираются по методу/классу.</x:v>
      </x:c>
      <x:c r="J16" s="53" t="str">
        <x:v>BEFORE_CRITICAL_USE|AFTER_DAMAGE|ANNUAL_OR_MANUFACTURER</x:v>
      </x:c>
      <x:c r="K16" s="53" t="str">
        <x:v>чисто, сухо, защищено от удара/магнитов/температуры по manual</x:v>
      </x:c>
      <x:c r="L16" s="53" t="str">
        <x:v>визуальный осмотр, батарея/расходник, очистка, журнал offset и следующей проверки</x:v>
      </x:c>
      <x:c r="M16" s="53" t="str">
        <x:v>нестабильный ноль, дрейф, повреждение, невозможный результат, расхождение с контрольной точкой</x:v>
      </x:c>
      <x:c r="N16" s="53" t="str">
        <x:v>S1_LOW_RISK_HOUSEHOLD</x:v>
      </x:c>
      <x:c r="O16" s="53" t="str">
        <x:v>не использовать бытовую калибровку для клинических решений</x:v>
      </x:c>
      <x:c r="P16" s="53" t="str">
        <x:v>два датчика разных типов</x:v>
      </x:c>
      <x:c r="Q16" s="53" t="str">
        <x:v>PSP-116</x:v>
      </x:c>
      <x:c r="R16" s="53" t="str">
        <x:v>CANDIDATE_NOT_INVENTORIED</x:v>
      </x:c>
      <x:c r="S16" s="53" t="str">
        <x:v>0.4</x:v>
      </x:c>
    </x:row>
    <x:row r="17">
      <x:c r="A17" s="26" t="str">
        <x:v>INS-014</x:v>
      </x:c>
      <x:c r="B17" s="26" t="str">
        <x:v>THERMAL</x:v>
      </x:c>
      <x:c r="C17" s="26" t="str">
        <x:v>макс-мин термометр</x:v>
      </x:c>
      <x:c r="D17" s="26" t="str">
        <x:v>температура</x:v>
      </x:c>
      <x:c r="E17" s="26" t="str">
        <x:v>°C</x:v>
      </x:c>
      <x:c r="F17" s="26" t="str">
        <x:v>TBD_PER_EXACT_TASK_AND_METHOD; не закупать/не применять по этой общей строке и не работать у края диапазона.</x:v>
      </x:c>
      <x:c r="G17" s="26" t="str">
        <x:v>TBD_PER_EXACT_TASK_AND_METHOD; правило 10:1 — только planning hint, не универсальная спецификация точности.</x:v>
      </x:c>
      <x:c r="H17" s="26" t="str">
        <x:v>сравнение с опорным датчиком в общей среде</x:v>
      </x:c>
      <x:c r="I17" s="26" t="str">
        <x:v>TBD_PER_EXACT_INSTRUMENT: документированный эталон, контрольная точка или официальный сервис выбираются по методу/классу.</x:v>
      </x:c>
      <x:c r="J17" s="26" t="str">
        <x:v>BEFORE_CRITICAL_USE|AFTER_DAMAGE|ANNUAL_OR_MANUFACTURER</x:v>
      </x:c>
      <x:c r="K17" s="26" t="str">
        <x:v>чисто, сухо, защищено от удара/магнитов/температуры по manual</x:v>
      </x:c>
      <x:c r="L17" s="26" t="str">
        <x:v>визуальный осмотр, батарея/расходник, очистка, журнал offset и следующей проверки</x:v>
      </x:c>
      <x:c r="M17" s="26" t="str">
        <x:v>нестабильный ноль, дрейф, повреждение, невозможный результат, расхождение с контрольной точкой</x:v>
      </x:c>
      <x:c r="N17" s="26" t="str">
        <x:v>S1_LOW_RISK_HOUSEHOLD</x:v>
      </x:c>
      <x:c r="O17" s="26" t="str">
        <x:v>защищать от прямого солнца и влаги</x:v>
      </x:c>
      <x:c r="P17" s="26" t="str">
        <x:v>аналоговый резерв</x:v>
      </x:c>
      <x:c r="Q17" s="26" t="str">
        <x:v>PSP-116</x:v>
      </x:c>
      <x:c r="R17" s="26" t="str">
        <x:v>CANDIDATE_NOT_INVENTORIED</x:v>
      </x:c>
      <x:c r="S17" s="26" t="str">
        <x:v>0.4</x:v>
      </x:c>
    </x:row>
    <x:row r="18">
      <x:c r="A18" s="53" t="str">
        <x:v>INS-015</x:v>
      </x:c>
      <x:c r="B18" s="53" t="str">
        <x:v>THERMAL</x:v>
      </x:c>
      <x:c r="C18" s="53" t="str">
        <x:v>термопара и считыватель</x:v>
      </x:c>
      <x:c r="D18" s="53" t="str">
        <x:v>температура</x:v>
      </x:c>
      <x:c r="E18" s="53" t="str">
        <x:v>°C</x:v>
      </x:c>
      <x:c r="F18" s="53" t="str">
        <x:v>TBD_PER_EXACT_TASK_AND_METHOD; не закупать/не применять по этой общей строке и не работать у края диапазона.</x:v>
      </x:c>
      <x:c r="G18" s="53" t="str">
        <x:v>TBD_PER_EXACT_TASK_AND_METHOD; правило 10:1 — только planning hint, не универсальная спецификация точности.</x:v>
      </x:c>
      <x:c r="H18" s="53" t="str">
        <x:v>reference junction и сравнение по двум точкам</x:v>
      </x:c>
      <x:c r="I18" s="53" t="str">
        <x:v>TBD_PER_EXACT_INSTRUMENT: документированный эталон, контрольная точка или официальный сервис выбираются по методу/классу.</x:v>
      </x:c>
      <x:c r="J18" s="53" t="str">
        <x:v>BEFORE_CRITICAL_USE|AFTER_DAMAGE|ANNUAL_OR_MANUFACTURER</x:v>
      </x:c>
      <x:c r="K18" s="53" t="str">
        <x:v>чисто, сухо, защищено от удара/магнитов/температуры по manual</x:v>
      </x:c>
      <x:c r="L18" s="53" t="str">
        <x:v>визуальный осмотр, батарея/расходник, очистка, журнал offset и следующей проверки</x:v>
      </x:c>
      <x:c r="M18" s="53" t="str">
        <x:v>нестабильный ноль, дрейф, повреждение, невозможный результат, расхождение с контрольной точкой</x:v>
      </x:c>
      <x:c r="N18" s="53" t="str">
        <x:v>S2_TRAINED_SUPERVISED</x:v>
      </x:c>
      <x:c r="O18" s="53" t="str">
        <x:v>не касаться электрически опасных/движущихся частей</x:v>
      </x:c>
      <x:c r="P18" s="53" t="str">
        <x:v>запасные зонды</x:v>
      </x:c>
      <x:c r="Q18" s="53" t="str">
        <x:v>PSP-116</x:v>
      </x:c>
      <x:c r="R18" s="53" t="str">
        <x:v>CANDIDATE_NOT_INVENTORIED</x:v>
      </x:c>
      <x:c r="S18" s="53" t="str">
        <x:v>0.4</x:v>
      </x:c>
    </x:row>
    <x:row r="19">
      <x:c r="A19" s="26" t="str">
        <x:v>INS-016</x:v>
      </x:c>
      <x:c r="B19" s="26" t="str">
        <x:v>THERMAL</x:v>
      </x:c>
      <x:c r="C19" s="26" t="str">
        <x:v>ИК-термометр</x:v>
      </x:c>
      <x:c r="D19" s="26" t="str">
        <x:v>температура поверхности</x:v>
      </x:c>
      <x:c r="E19" s="26" t="str">
        <x:v>°C</x:v>
      </x:c>
      <x:c r="F19" s="26" t="str">
        <x:v>TBD_PER_EXACT_TASK_AND_METHOD; не закупать/не применять по этой общей строке и не работать у края диапазона.</x:v>
      </x:c>
      <x:c r="G19" s="26" t="str">
        <x:v>TBD_PER_EXACT_TASK_AND_METHOD; правило 10:1 — только planning hint, не универсальная спецификация точности.</x:v>
      </x:c>
      <x:c r="H19" s="26" t="str">
        <x:v>blackbody/сравнительная поверхность и emissivity note</x:v>
      </x:c>
      <x:c r="I19" s="26" t="str">
        <x:v>TBD_PER_EXACT_INSTRUMENT: документированный эталон, контрольная точка или официальный сервис выбираются по методу/классу.</x:v>
      </x:c>
      <x:c r="J19" s="26" t="str">
        <x:v>BEFORE_CRITICAL_USE|AFTER_DAMAGE|ANNUAL_OR_MANUFACTURER</x:v>
      </x:c>
      <x:c r="K19" s="26" t="str">
        <x:v>чисто, сухо, защищено от удара/магнитов/температуры по manual</x:v>
      </x:c>
      <x:c r="L19" s="26" t="str">
        <x:v>визуальный осмотр, батарея/расходник, очистка, журнал offset и следующей проверки</x:v>
      </x:c>
      <x:c r="M19" s="26" t="str">
        <x:v>нестабильный ноль, дрейф, повреждение, невозможный результат, расхождение с контрольной точкой</x:v>
      </x:c>
      <x:c r="N19" s="26" t="str">
        <x:v>S1_LOW_RISK_HOUSEHOLD</x:v>
      </x:c>
      <x:c r="O19" s="26" t="str">
        <x:v>не измеряет внутреннюю температуру и воздух; лазер не направлять в глаза</x:v>
      </x:c>
      <x:c r="P19" s="26" t="str">
        <x:v>контактный термометр</x:v>
      </x:c>
      <x:c r="Q19" s="26" t="str">
        <x:v>PSP-116</x:v>
      </x:c>
      <x:c r="R19" s="26" t="str">
        <x:v>CANDIDATE_NOT_INVENTORIED</x:v>
      </x:c>
      <x:c r="S19" s="26" t="str">
        <x:v>0.4</x:v>
      </x:c>
    </x:row>
    <x:row r="20">
      <x:c r="A20" s="53" t="str">
        <x:v>INS-017</x:v>
      </x:c>
      <x:c r="B20" s="53" t="str">
        <x:v>ENVIRONMENT</x:v>
      </x:c>
      <x:c r="C20" s="53" t="str">
        <x:v>гигрометр</x:v>
      </x:c>
      <x:c r="D20" s="53" t="str">
        <x:v>относительная влажность</x:v>
      </x:c>
      <x:c r="E20" s="53" t="str">
        <x:v>%RH</x:v>
      </x:c>
      <x:c r="F20" s="53" t="str">
        <x:v>TBD_PER_EXACT_TASK_AND_METHOD; не закупать/не применять по этой общей строке и не работать у края диапазона.</x:v>
      </x:c>
      <x:c r="G20" s="53" t="str">
        <x:v>TBD_PER_EXACT_TASK_AND_METHOD; правило 10:1 — только planning hint, не универсальная спецификация точности.</x:v>
      </x:c>
      <x:c r="H20" s="53" t="str">
        <x:v>сертифицированная salt-point/эталонная камера</x:v>
      </x:c>
      <x:c r="I20" s="53" t="str">
        <x:v>TBD_PER_EXACT_INSTRUMENT: документированный эталон, контрольная точка или официальный сервис выбираются по методу/классу.</x:v>
      </x:c>
      <x:c r="J20" s="53" t="str">
        <x:v>BEFORE_CRITICAL_USE|AFTER_DAMAGE|ANNUAL_OR_MANUFACTURER</x:v>
      </x:c>
      <x:c r="K20" s="53" t="str">
        <x:v>чисто, сухо, защищено от удара/магнитов/температуры по manual</x:v>
      </x:c>
      <x:c r="L20" s="53" t="str">
        <x:v>визуальный осмотр, батарея/расходник, очистка, журнал offset и следующей проверки</x:v>
      </x:c>
      <x:c r="M20" s="53" t="str">
        <x:v>нестабильный ноль, дрейф, повреждение, невозможный результат, расхождение с контрольной точкой</x:v>
      </x:c>
      <x:c r="N20" s="53" t="str">
        <x:v>S1_LOW_RISK_HOUSEHOLD</x:v>
      </x:c>
      <x:c r="O20" s="53" t="str">
        <x:v>не считать дешёвый датчик эталоном без проверки</x:v>
      </x:c>
      <x:c r="P20" s="53" t="str">
        <x:v>два датчика и психрометр</x:v>
      </x:c>
      <x:c r="Q20" s="53" t="str">
        <x:v>PSP-116</x:v>
      </x:c>
      <x:c r="R20" s="53" t="str">
        <x:v>CANDIDATE_NOT_INVENTORIED</x:v>
      </x:c>
      <x:c r="S20" s="53" t="str">
        <x:v>0.4</x:v>
      </x:c>
    </x:row>
    <x:row r="21">
      <x:c r="A21" s="26" t="str">
        <x:v>INS-018</x:v>
      </x:c>
      <x:c r="B21" s="26" t="str">
        <x:v>ENVIRONMENT</x:v>
      </x:c>
      <x:c r="C21" s="26" t="str">
        <x:v>барометр</x:v>
      </x:c>
      <x:c r="D21" s="26" t="str">
        <x:v>давление</x:v>
      </x:c>
      <x:c r="E21" s="26" t="str">
        <x:v>hPa</x:v>
      </x:c>
      <x:c r="F21" s="26" t="str">
        <x:v>TBD_PER_EXACT_TASK_AND_METHOD; не закупать/не применять по этой общей строке и не работать у края диапазона.</x:v>
      </x:c>
      <x:c r="G21" s="26" t="str">
        <x:v>TBD_PER_EXACT_TASK_AND_METHOD; правило 10:1 — только planning hint, не универсальная спецификация точности.</x:v>
      </x:c>
      <x:c r="H21" s="26" t="str">
        <x:v>сравнение с официальной станцией с поправкой высоты</x:v>
      </x:c>
      <x:c r="I21" s="26" t="str">
        <x:v>TBD_PER_EXACT_INSTRUMENT: документированный эталон, контрольная точка или официальный сервис выбираются по методу/классу.</x:v>
      </x:c>
      <x:c r="J21" s="26" t="str">
        <x:v>BEFORE_CRITICAL_USE|AFTER_DAMAGE|ANNUAL_OR_MANUFACTURER</x:v>
      </x:c>
      <x:c r="K21" s="26" t="str">
        <x:v>чисто, сухо, защищено от удара/магнитов/температуры по manual</x:v>
      </x:c>
      <x:c r="L21" s="26" t="str">
        <x:v>визуальный осмотр, батарея/расходник, очистка, журнал offset и следующей проверки</x:v>
      </x:c>
      <x:c r="M21" s="26" t="str">
        <x:v>нестабильный ноль, дрейф, повреждение, невозможный результат, расхождение с контрольной точкой</x:v>
      </x:c>
      <x:c r="N21" s="26" t="str">
        <x:v>S1_LOW_RISK_HOUSEHOLD</x:v>
      </x:c>
      <x:c r="O21" s="26" t="str">
        <x:v>не использовать для прогноза без контекста</x:v>
      </x:c>
      <x:c r="P21" s="26" t="str">
        <x:v>механический и цифровой</x:v>
      </x:c>
      <x:c r="Q21" s="26" t="str">
        <x:v>PSP-116</x:v>
      </x:c>
      <x:c r="R21" s="26" t="str">
        <x:v>CANDIDATE_NOT_INVENTORIED</x:v>
      </x:c>
      <x:c r="S21" s="26" t="str">
        <x:v>0.4</x:v>
      </x:c>
    </x:row>
    <x:row r="22">
      <x:c r="A22" s="53" t="str">
        <x:v>INS-019</x:v>
      </x:c>
      <x:c r="B22" s="53" t="str">
        <x:v>ENVIRONMENT</x:v>
      </x:c>
      <x:c r="C22" s="53" t="str">
        <x:v>анемометр</x:v>
      </x:c>
      <x:c r="D22" s="53" t="str">
        <x:v>скорость воздуха</x:v>
      </x:c>
      <x:c r="E22" s="53" t="str">
        <x:v>m/s</x:v>
      </x:c>
      <x:c r="F22" s="53" t="str">
        <x:v>TBD_PER_EXACT_TASK_AND_METHOD; не закупать/не применять по этой общей строке и не работать у края диапазона.</x:v>
      </x:c>
      <x:c r="G22" s="53" t="str">
        <x:v>TBD_PER_EXACT_TASK_AND_METHOD; правило 10:1 — только planning hint, не универсальная спецификация точности.</x:v>
      </x:c>
      <x:c r="H22" s="53" t="str">
        <x:v>сервис/сравнение в контролируемом потоке</x:v>
      </x:c>
      <x:c r="I22" s="53" t="str">
        <x:v>TBD_PER_EXACT_INSTRUMENT: документированный эталон, контрольная точка или официальный сервис выбираются по методу/классу.</x:v>
      </x:c>
      <x:c r="J22" s="53" t="str">
        <x:v>BEFORE_CRITICAL_USE|AFTER_DAMAGE|ANNUAL_OR_MANUFACTURER</x:v>
      </x:c>
      <x:c r="K22" s="53" t="str">
        <x:v>чисто, сухо, защищено от удара/магнитов/температуры по manual</x:v>
      </x:c>
      <x:c r="L22" s="53" t="str">
        <x:v>визуальный осмотр, батарея/расходник, очистка, журнал offset и следующей проверки</x:v>
      </x:c>
      <x:c r="M22" s="53" t="str">
        <x:v>нестабильный ноль, дрейф, повреждение, невозможный результат, расхождение с контрольной точкой</x:v>
      </x:c>
      <x:c r="N22" s="53" t="str">
        <x:v>S2_TRAINED_SUPERVISED</x:v>
      </x:c>
      <x:c r="O22" s="53" t="str">
        <x:v>не измерять с крыши/у ЛЭП/в шторм</x:v>
      </x:c>
      <x:c r="P22" s="53" t="str">
        <x:v>визуальные шкалы Beaufort как fallback</x:v>
      </x:c>
      <x:c r="Q22" s="53" t="str">
        <x:v>PSP-116</x:v>
      </x:c>
      <x:c r="R22" s="53" t="str">
        <x:v>CANDIDATE_NOT_INVENTORIED</x:v>
      </x:c>
      <x:c r="S22" s="53" t="str">
        <x:v>0.4</x:v>
      </x:c>
    </x:row>
    <x:row r="23">
      <x:c r="A23" s="26" t="str">
        <x:v>INS-020</x:v>
      </x:c>
      <x:c r="B23" s="26" t="str">
        <x:v>ENVIRONMENT</x:v>
      </x:c>
      <x:c r="C23" s="26" t="str">
        <x:v>дождемер</x:v>
      </x:c>
      <x:c r="D23" s="26" t="str">
        <x:v>осадки</x:v>
      </x:c>
      <x:c r="E23" s="26" t="str">
        <x:v>mm</x:v>
      </x:c>
      <x:c r="F23" s="26" t="str">
        <x:v>TBD_PER_EXACT_TASK_AND_METHOD; не закупать/не применять по этой общей строке и не работать у края диапазона.</x:v>
      </x:c>
      <x:c r="G23" s="26" t="str">
        <x:v>TBD_PER_EXACT_TASK_AND_METHOD; правило 10:1 — только planning hint, не универсальная спецификация точности.</x:v>
      </x:c>
      <x:c r="H23" s="26" t="str">
        <x:v>объёмная проверка площади приёмника</x:v>
      </x:c>
      <x:c r="I23" s="26" t="str">
        <x:v>TBD_PER_EXACT_INSTRUMENT: документированный эталон, контрольная точка или официальный сервис выбираются по методу/классу.</x:v>
      </x:c>
      <x:c r="J23" s="26" t="str">
        <x:v>BEFORE_CRITICAL_USE|AFTER_DAMAGE|ANNUAL_OR_MANUFACTURER</x:v>
      </x:c>
      <x:c r="K23" s="26" t="str">
        <x:v>чисто, сухо, защищено от удара/магнитов/температуры по manual</x:v>
      </x:c>
      <x:c r="L23" s="26" t="str">
        <x:v>визуальный осмотр, батарея/расходник, очистка, журнал offset и следующей проверки</x:v>
      </x:c>
      <x:c r="M23" s="26" t="str">
        <x:v>нестабильный ноль, дрейф, повреждение, невозможный результат, расхождение с контрольной точкой</x:v>
      </x:c>
      <x:c r="N23" s="26" t="str">
        <x:v>S1_LOW_RISK_HOUSEHOLD</x:v>
      </x:c>
      <x:c r="O23" s="26" t="str">
        <x:v>устанавливать без высотной работы</x:v>
      </x:c>
      <x:c r="P23" s="26" t="str">
        <x:v>ручной резерв</x:v>
      </x:c>
      <x:c r="Q23" s="26" t="str">
        <x:v>PSP-116</x:v>
      </x:c>
      <x:c r="R23" s="26" t="str">
        <x:v>CANDIDATE_NOT_INVENTORIED</x:v>
      </x:c>
      <x:c r="S23" s="26" t="str">
        <x:v>0.4</x:v>
      </x:c>
    </x:row>
    <x:row r="24">
      <x:c r="A24" s="53" t="str">
        <x:v>INS-021</x:v>
      </x:c>
      <x:c r="B24" s="53" t="str">
        <x:v>ENVIRONMENT</x:v>
      </x:c>
      <x:c r="C24" s="53" t="str">
        <x:v>люксметр</x:v>
      </x:c>
      <x:c r="D24" s="53" t="str">
        <x:v>освещённость</x:v>
      </x:c>
      <x:c r="E24" s="53" t="str">
        <x:v>lx</x:v>
      </x:c>
      <x:c r="F24" s="53" t="str">
        <x:v>TBD_PER_EXACT_TASK_AND_METHOD; не закупать/не применять по этой общей строке и не работать у края диапазона.</x:v>
      </x:c>
      <x:c r="G24" s="53" t="str">
        <x:v>TBD_PER_EXACT_TASK_AND_METHOD; правило 10:1 — только planning hint, не универсальная спецификация точности.</x:v>
      </x:c>
      <x:c r="H24" s="53" t="str">
        <x:v>сравнение с калиброванным прибором/лабораторией</x:v>
      </x:c>
      <x:c r="I24" s="53" t="str">
        <x:v>TBD_PER_EXACT_INSTRUMENT: документированный эталон, контрольная точка или официальный сервис выбираются по методу/классу.</x:v>
      </x:c>
      <x:c r="J24" s="53" t="str">
        <x:v>BEFORE_CRITICAL_USE|AFTER_DAMAGE|ANNUAL_OR_MANUFACTURER</x:v>
      </x:c>
      <x:c r="K24" s="53" t="str">
        <x:v>чисто, сухо, защищено от удара/магнитов/температуры по manual</x:v>
      </x:c>
      <x:c r="L24" s="53" t="str">
        <x:v>визуальный осмотр, батарея/расходник, очистка, журнал offset и следующей проверки</x:v>
      </x:c>
      <x:c r="M24" s="53" t="str">
        <x:v>нестабильный ноль, дрейф, повреждение, невозможный результат, расхождение с контрольной точкой</x:v>
      </x:c>
      <x:c r="N24" s="53" t="str">
        <x:v>S1_LOW_RISK_HOUSEHOLD</x:v>
      </x:c>
      <x:c r="O24" s="53" t="str">
        <x:v>не измерять Солнце без допустимого диапазона</x:v>
      </x:c>
      <x:c r="P24" s="53" t="str">
        <x:v>два сенсора/эталонная лампа по сроку</x:v>
      </x:c>
      <x:c r="Q24" s="53" t="str">
        <x:v>PSP-116</x:v>
      </x:c>
      <x:c r="R24" s="53" t="str">
        <x:v>CANDIDATE_NOT_INVENTORIED</x:v>
      </x:c>
      <x:c r="S24" s="53" t="str">
        <x:v>0.4</x:v>
      </x:c>
    </x:row>
    <x:row r="25">
      <x:c r="A25" s="26" t="str">
        <x:v>INS-022</x:v>
      </x:c>
      <x:c r="B25" s="26" t="str">
        <x:v>ENVIRONMENT</x:v>
      </x:c>
      <x:c r="C25" s="26" t="str">
        <x:v>шумомер класса по задаче</x:v>
      </x:c>
      <x:c r="D25" s="26" t="str">
        <x:v>уровень звука</x:v>
      </x:c>
      <x:c r="E25" s="26" t="str">
        <x:v>dB(A/C)</x:v>
      </x:c>
      <x:c r="F25" s="26" t="str">
        <x:v>TBD_PER_EXACT_TASK_AND_METHOD; не закупать/не применять по этой общей строке и не работать у края диапазона.</x:v>
      </x:c>
      <x:c r="G25" s="26" t="str">
        <x:v>TBD_PER_EXACT_TASK_AND_METHOD; правило 10:1 — только planning hint, не универсальная спецификация точности.</x:v>
      </x:c>
      <x:c r="H25" s="26" t="str">
        <x:v>акустический калибратор до/после серии</x:v>
      </x:c>
      <x:c r="I25" s="26" t="str">
        <x:v>TBD_PER_EXACT_INSTRUMENT: документированный эталон, контрольная точка или официальный сервис выбираются по методу/классу.</x:v>
      </x:c>
      <x:c r="J25" s="26" t="str">
        <x:v>BEFORE_CRITICAL_USE|AFTER_DAMAGE|ANNUAL_OR_MANUFACTURER</x:v>
      </x:c>
      <x:c r="K25" s="26" t="str">
        <x:v>чисто, сухо, защищено от удара/магнитов/температуры по manual</x:v>
      </x:c>
      <x:c r="L25" s="26" t="str">
        <x:v>визуальный осмотр, батарея/расходник, очистка, журнал offset и следующей проверки</x:v>
      </x:c>
      <x:c r="M25" s="26" t="str">
        <x:v>нестабильный ноль, дрейф, повреждение, невозможный результат, расхождение с контрольной точкой</x:v>
      </x:c>
      <x:c r="N25" s="26" t="str">
        <x:v>S2_TRAINED_SUPERVISED</x:v>
      </x:c>
      <x:c r="O25" s="26" t="str">
        <x:v>телефон — ориентир, не юридическое измерение</x:v>
      </x:c>
      <x:c r="P25" s="26" t="str">
        <x:v>калибратор и второй прибор</x:v>
      </x:c>
      <x:c r="Q25" s="26" t="str">
        <x:v>PSP-116</x:v>
      </x:c>
      <x:c r="R25" s="26" t="str">
        <x:v>CANDIDATE_NOT_INVENTORIED</x:v>
      </x:c>
      <x:c r="S25" s="26" t="str">
        <x:v>0.4</x:v>
      </x:c>
    </x:row>
    <x:row r="26">
      <x:c r="A26" s="53" t="str">
        <x:v>INS-023</x:v>
      </x:c>
      <x:c r="B26" s="53" t="str">
        <x:v>ENVIRONMENT</x:v>
      </x:c>
      <x:c r="C26" s="53" t="str">
        <x:v>датчик CO2 NDIR</x:v>
      </x:c>
      <x:c r="D26" s="53" t="str">
        <x:v>CO2</x:v>
      </x:c>
      <x:c r="E26" s="53" t="str">
        <x:v>ppm</x:v>
      </x:c>
      <x:c r="F26" s="53" t="str">
        <x:v>TBD_PER_EXACT_TASK_AND_METHOD; не закупать/не применять по этой общей строке и не работать у края диапазона.</x:v>
      </x:c>
      <x:c r="G26" s="53" t="str">
        <x:v>TBD_PER_EXACT_TASK_AND_METHOD; правило 10:1 — только planning hint, не универсальная спецификация точности.</x:v>
      </x:c>
      <x:c r="H26" s="53" t="str">
        <x:v>fresh-air check/сертифицированный газ у специалиста</x:v>
      </x:c>
      <x:c r="I26" s="53" t="str">
        <x:v>TBD_PER_EXACT_INSTRUMENT: документированный эталон, контрольная точка или официальный сервис выбираются по методу/классу.</x:v>
      </x:c>
      <x:c r="J26" s="53" t="str">
        <x:v>BEFORE_CRITICAL_USE|AFTER_DAMAGE|ANNUAL_OR_MANUFACTURER</x:v>
      </x:c>
      <x:c r="K26" s="53" t="str">
        <x:v>чисто, сухо, защищено от удара/магнитов/температуры по manual</x:v>
      </x:c>
      <x:c r="L26" s="53" t="str">
        <x:v>визуальный осмотр, батарея/расходник, очистка, журнал offset и следующей проверки</x:v>
      </x:c>
      <x:c r="M26" s="53" t="str">
        <x:v>нестабильный ноль, дрейф, повреждение, невозможный результат, расхождение с контрольной точкой</x:v>
      </x:c>
      <x:c r="N26" s="53" t="str">
        <x:v>S1_LOW_RISK_HOUSEHOLD</x:v>
      </x:c>
      <x:c r="O26" s="53" t="str">
        <x:v>CO2 не заменяет датчик CO и не доказывает отсутствие инфекции</x:v>
      </x:c>
      <x:c r="P26" s="53" t="str">
        <x:v>два NDIR разных партий</x:v>
      </x:c>
      <x:c r="Q26" s="53" t="str">
        <x:v>PSP-116</x:v>
      </x:c>
      <x:c r="R26" s="53" t="str">
        <x:v>CANDIDATE_NOT_INVENTORIED</x:v>
      </x:c>
      <x:c r="S26" s="53" t="str">
        <x:v>0.4</x:v>
      </x:c>
    </x:row>
    <x:row r="27">
      <x:c r="A27" s="26" t="str">
        <x:v>INS-024</x:v>
      </x:c>
      <x:c r="B27" s="26" t="str">
        <x:v>ENVIRONMENT</x:v>
      </x:c>
      <x:c r="C27" s="26" t="str">
        <x:v>сертифицированный бытовой CO alarm</x:v>
      </x:c>
      <x:c r="D27" s="26" t="str">
        <x:v>CO alarm</x:v>
      </x:c>
      <x:c r="E27" s="26" t="str">
        <x:v>ppm/alarm</x:v>
      </x:c>
      <x:c r="F27" s="26" t="str">
        <x:v>TBD_PER_EXACT_TASK_AND_METHOD; не закупать/не применять по этой общей строке и не работать у края диапазона.</x:v>
      </x:c>
      <x:c r="G27" s="26" t="str">
        <x:v>TBD_PER_EXACT_TASK_AND_METHOD; правило 10:1 — только planning hint, не универсальная спецификация точности.</x:v>
      </x:c>
      <x:c r="H27" s="26" t="str">
        <x:v>только штатная test-кнопка/замена по сроку; газовые опыты запрещены</x:v>
      </x:c>
      <x:c r="I27" s="26" t="str">
        <x:v>TBD_PER_EXACT_INSTRUMENT: документированный эталон, контрольная точка или официальный сервис выбираются по методу/классу.</x:v>
      </x:c>
      <x:c r="J27" s="26" t="str">
        <x:v>BEFORE_CRITICAL_USE|AFTER_DAMAGE|ANNUAL_OR_MANUFACTURER</x:v>
      </x:c>
      <x:c r="K27" s="26" t="str">
        <x:v>чисто, сухо, защищено от удара/магнитов/температуры по manual</x:v>
      </x:c>
      <x:c r="L27" s="26" t="str">
        <x:v>визуальный осмотр, батарея/расходник, очистка, журнал offset и следующей проверки</x:v>
      </x:c>
      <x:c r="M27" s="26" t="str">
        <x:v>нестабильный ноль, дрейф, повреждение, невозможный результат, расхождение с контрольной точкой</x:v>
      </x:c>
      <x:c r="N27" s="26" t="str">
        <x:v>S1_LOW_RISK_HOUSEHOLD</x:v>
      </x:c>
      <x:c r="O27" s="26" t="str">
        <x:v>никогда не тестировать выхлопом/огнём</x:v>
      </x:c>
      <x:c r="P27" s="26" t="str">
        <x:v>несколько alarms по размещению</x:v>
      </x:c>
      <x:c r="Q27" s="26" t="str">
        <x:v>PSP-116</x:v>
      </x:c>
      <x:c r="R27" s="26" t="str">
        <x:v>CANDIDATE_NOT_INVENTORIED</x:v>
      </x:c>
      <x:c r="S27" s="26" t="str">
        <x:v>0.4</x:v>
      </x:c>
    </x:row>
    <x:row r="28">
      <x:c r="A28" s="53" t="str">
        <x:v>INS-025</x:v>
      </x:c>
      <x:c r="B28" s="53" t="str">
        <x:v>ENVIRONMENT</x:v>
      </x:c>
      <x:c r="C28" s="53" t="str">
        <x:v>PM2.5 монитор</x:v>
      </x:c>
      <x:c r="D28" s="53" t="str">
        <x:v>массовая концентрация-оценка</x:v>
      </x:c>
      <x:c r="E28" s="53" t="str">
        <x:v>µg/m³</x:v>
      </x:c>
      <x:c r="F28" s="53" t="str">
        <x:v>TBD_PER_EXACT_TASK_AND_METHOD; не закупать/не применять по этой общей строке и не работать у края диапазона.</x:v>
      </x:c>
      <x:c r="G28" s="53" t="str">
        <x:v>TBD_PER_EXACT_TASK_AND_METHOD; правило 10:1 — только planning hint, не универсальная спецификация точности.</x:v>
      </x:c>
      <x:c r="H28" s="53" t="str">
        <x:v>co-location с референсом/контроль нуля по инструкции</x:v>
      </x:c>
      <x:c r="I28" s="53" t="str">
        <x:v>TBD_PER_EXACT_INSTRUMENT: документированный эталон, контрольная точка или официальный сервис выбираются по методу/классу.</x:v>
      </x:c>
      <x:c r="J28" s="53" t="str">
        <x:v>BEFORE_CRITICAL_USE|AFTER_DAMAGE|ANNUAL_OR_MANUFACTURER</x:v>
      </x:c>
      <x:c r="K28" s="53" t="str">
        <x:v>чисто, сухо, защищено от удара/магнитов/температуры по manual</x:v>
      </x:c>
      <x:c r="L28" s="53" t="str">
        <x:v>визуальный осмотр, батарея/расходник, очистка, журнал offset и следующей проверки</x:v>
      </x:c>
      <x:c r="M28" s="53" t="str">
        <x:v>нестабильный ноль, дрейф, повреждение, невозможный результат, расхождение с контрольной точкой</x:v>
      </x:c>
      <x:c r="N28" s="53" t="str">
        <x:v>S1_LOW_RISK_HOUSEHOLD</x:v>
      </x:c>
      <x:c r="O28" s="53" t="str">
        <x:v>низкобюджетный сенсор не равен регуляторной станции</x:v>
      </x:c>
      <x:c r="P28" s="53" t="str">
        <x:v>второй тип + официальный мониторинг</x:v>
      </x:c>
      <x:c r="Q28" s="53" t="str">
        <x:v>PSP-116</x:v>
      </x:c>
      <x:c r="R28" s="53" t="str">
        <x:v>CANDIDATE_NOT_INVENTORIED</x:v>
      </x:c>
      <x:c r="S28" s="53" t="str">
        <x:v>0.4</x:v>
      </x:c>
    </x:row>
    <x:row r="29">
      <x:c r="A29" s="26" t="str">
        <x:v>INS-026</x:v>
      </x:c>
      <x:c r="B29" s="26" t="str">
        <x:v>WATER</x:v>
      </x:c>
      <x:c r="C29" s="26" t="str">
        <x:v>мерный цилиндр/кувшин</x:v>
      </x:c>
      <x:c r="D29" s="26" t="str">
        <x:v>объём</x:v>
      </x:c>
      <x:c r="E29" s="26" t="str">
        <x:v>mL|L</x:v>
      </x:c>
      <x:c r="F29" s="26" t="str">
        <x:v>TBD_PER_EXACT_TASK_AND_METHOD; не закупать/не применять по этой общей строке и не работать у края диапазона.</x:v>
      </x:c>
      <x:c r="G29" s="26" t="str">
        <x:v>TBD_PER_EXACT_TASK_AND_METHOD; правило 10:1 — только planning hint, не универсальная спецификация точности.</x:v>
      </x:c>
      <x:c r="H29" s="26" t="str">
        <x:v>гравиметрическая проверка водой при известной температуре</x:v>
      </x:c>
      <x:c r="I29" s="26" t="str">
        <x:v>TBD_PER_EXACT_INSTRUMENT: документированный эталон, контрольная точка или официальный сервис выбираются по методу/классу.</x:v>
      </x:c>
      <x:c r="J29" s="26" t="str">
        <x:v>BEFORE_CRITICAL_USE|AFTER_DAMAGE|ANNUAL_OR_MANUFACTURER</x:v>
      </x:c>
      <x:c r="K29" s="26" t="str">
        <x:v>чисто, сухо, защищено от удара/магнитов/температуры по manual</x:v>
      </x:c>
      <x:c r="L29" s="26" t="str">
        <x:v>визуальный осмотр, батарея/расходник, очистка, журнал offset и следующей проверки</x:v>
      </x:c>
      <x:c r="M29" s="26" t="str">
        <x:v>нестабильный ноль, дрейф, повреждение, невозможный результат, расхождение с контрольной точкой</x:v>
      </x:c>
      <x:c r="N29" s="26" t="str">
        <x:v>S1_LOW_RISK_HOUSEHOLD</x:v>
      </x:c>
      <x:c r="O29" s="26" t="str">
        <x:v>не смешивать пищевую и химическую посуду</x:v>
      </x:c>
      <x:c r="P29" s="26" t="str">
        <x:v>набор размеров</x:v>
      </x:c>
      <x:c r="Q29" s="26" t="str">
        <x:v>PSP-116</x:v>
      </x:c>
      <x:c r="R29" s="26" t="str">
        <x:v>CANDIDATE_NOT_INVENTORIED</x:v>
      </x:c>
      <x:c r="S29" s="26" t="str">
        <x:v>0.4</x:v>
      </x:c>
    </x:row>
    <x:row r="30">
      <x:c r="A30" s="53" t="str">
        <x:v>INS-027</x:v>
      </x:c>
      <x:c r="B30" s="53" t="str">
        <x:v>WATER</x:v>
      </x:c>
      <x:c r="C30" s="53" t="str">
        <x:v>расходомер низкого давления</x:v>
      </x:c>
      <x:c r="D30" s="53" t="str">
        <x:v>расход</x:v>
      </x:c>
      <x:c r="E30" s="53" t="str">
        <x:v>L/min</x:v>
      </x:c>
      <x:c r="F30" s="53" t="str">
        <x:v>TBD_PER_EXACT_TASK_AND_METHOD; не закупать/не применять по этой общей строке и не работать у края диапазона.</x:v>
      </x:c>
      <x:c r="G30" s="53" t="str">
        <x:v>TBD_PER_EXACT_TASK_AND_METHOD; правило 10:1 — только planning hint, не универсальная спецификация точности.</x:v>
      </x:c>
      <x:c r="H30" s="53" t="str">
        <x:v>timed-volume comparison</x:v>
      </x:c>
      <x:c r="I30" s="53" t="str">
        <x:v>TBD_PER_EXACT_INSTRUMENT: документированный эталон, контрольная точка или официальный сервис выбираются по методу/классу.</x:v>
      </x:c>
      <x:c r="J30" s="53" t="str">
        <x:v>BEFORE_CRITICAL_USE|AFTER_DAMAGE|ANNUAL_OR_MANUFACTURER</x:v>
      </x:c>
      <x:c r="K30" s="53" t="str">
        <x:v>чисто, сухо, защищено от удара/магнитов/температуры по manual</x:v>
      </x:c>
      <x:c r="L30" s="53" t="str">
        <x:v>визуальный осмотр, батарея/расходник, очистка, журнал offset и следующей проверки</x:v>
      </x:c>
      <x:c r="M30" s="53" t="str">
        <x:v>нестабильный ноль, дрейф, повреждение, невозможный результат, расхождение с контрольной точкой</x:v>
      </x:c>
      <x:c r="N30" s="53" t="str">
        <x:v>S1_LOW_RISK_HOUSEHOLD</x:v>
      </x:c>
      <x:c r="O30" s="53" t="str">
        <x:v>не подключать к газу/опасному давлению</x:v>
      </x:c>
      <x:c r="P30" s="53" t="str">
        <x:v>ведро+секундомер</x:v>
      </x:c>
      <x:c r="Q30" s="53" t="str">
        <x:v>PSP-116</x:v>
      </x:c>
      <x:c r="R30" s="53" t="str">
        <x:v>CANDIDATE_NOT_INVENTORIED</x:v>
      </x:c>
      <x:c r="S30" s="53" t="str">
        <x:v>0.4</x:v>
      </x:c>
    </x:row>
    <x:row r="31">
      <x:c r="A31" s="26" t="str">
        <x:v>INS-028</x:v>
      </x:c>
      <x:c r="B31" s="26" t="str">
        <x:v>WATER</x:v>
      </x:c>
      <x:c r="C31" s="26" t="str">
        <x:v>манометр воды</x:v>
      </x:c>
      <x:c r="D31" s="26" t="str">
        <x:v>давление</x:v>
      </x:c>
      <x:c r="E31" s="26" t="str">
        <x:v>bar|kPa</x:v>
      </x:c>
      <x:c r="F31" s="26" t="str">
        <x:v>TBD_PER_EXACT_TASK_AND_METHOD; не закупать/не применять по этой общей строке и не работать у края диапазона.</x:v>
      </x:c>
      <x:c r="G31" s="26" t="str">
        <x:v>TBD_PER_EXACT_TASK_AND_METHOD; правило 10:1 — только planning hint, не универсальная спецификация точности.</x:v>
      </x:c>
      <x:c r="H31" s="26" t="str">
        <x:v>deadweight/service calibration or comparison</x:v>
      </x:c>
      <x:c r="I31" s="26" t="str">
        <x:v>TBD_PER_EXACT_INSTRUMENT: документированный эталон, контрольная точка или официальный сервис выбираются по методу/классу.</x:v>
      </x:c>
      <x:c r="J31" s="26" t="str">
        <x:v>BEFORE_CRITICAL_USE|AFTER_DAMAGE|ANNUAL_OR_MANUFACTURER</x:v>
      </x:c>
      <x:c r="K31" s="26" t="str">
        <x:v>чисто, сухо, защищено от удара/магнитов/температуры по manual</x:v>
      </x:c>
      <x:c r="L31" s="26" t="str">
        <x:v>визуальный осмотр, батарея/расходник, очистка, журнал offset и следующей проверки</x:v>
      </x:c>
      <x:c r="M31" s="26" t="str">
        <x:v>нестабильный ноль, дрейф, повреждение, невозможный результат, расхождение с контрольной точкой</x:v>
      </x:c>
      <x:c r="N31" s="26" t="str">
        <x:v>S2_TRAINED_SUPERVISED</x:v>
      </x:c>
      <x:c r="O31" s="26" t="str">
        <x:v>разгерметизировать; не применять к газовым/высоким давлениям</x:v>
      </x:c>
      <x:c r="P31" s="26" t="str">
        <x:v>механический резерв</x:v>
      </x:c>
      <x:c r="Q31" s="26" t="str">
        <x:v>PSP-116</x:v>
      </x:c>
      <x:c r="R31" s="26" t="str">
        <x:v>CANDIDATE_NOT_INVENTORIED</x:v>
      </x:c>
      <x:c r="S31" s="26" t="str">
        <x:v>0.4</x:v>
      </x:c>
    </x:row>
    <x:row r="32">
      <x:c r="A32" s="53" t="str">
        <x:v>INS-029</x:v>
      </x:c>
      <x:c r="B32" s="53" t="str">
        <x:v>WATER</x:v>
      </x:c>
      <x:c r="C32" s="53" t="str">
        <x:v>pH-метр</x:v>
      </x:c>
      <x:c r="D32" s="53" t="str">
        <x:v>pH</x:v>
      </x:c>
      <x:c r="E32" s="53" t="str">
        <x:v>pH</x:v>
      </x:c>
      <x:c r="F32" s="53" t="str">
        <x:v>TBD_PER_EXACT_TASK_AND_METHOD; не закупать/не применять по этой общей строке и не работать у края диапазона.</x:v>
      </x:c>
      <x:c r="G32" s="53" t="str">
        <x:v>TBD_PER_EXACT_TASK_AND_METHOD; правило 10:1 — только planning hint, не универсальная спецификация точности.</x:v>
      </x:c>
      <x:c r="H32" s="53" t="str">
        <x:v>2–3 свежих буфера, slope/offset log</x:v>
      </x:c>
      <x:c r="I32" s="53" t="str">
        <x:v>TBD_PER_EXACT_INSTRUMENT: документированный эталон, контрольная точка или официальный сервис выбираются по методу/классу.</x:v>
      </x:c>
      <x:c r="J32" s="53" t="str">
        <x:v>BEFORE_CRITICAL_USE|AFTER_DAMAGE|ANNUAL_OR_MANUFACTURER</x:v>
      </x:c>
      <x:c r="K32" s="53" t="str">
        <x:v>чисто, сухо, защищено от удара/магнитов/температуры по manual</x:v>
      </x:c>
      <x:c r="L32" s="53" t="str">
        <x:v>визуальный осмотр, батарея/расходник, очистка, журнал offset и следующей проверки</x:v>
      </x:c>
      <x:c r="M32" s="53" t="str">
        <x:v>нестабильный ноль, дрейф, повреждение, невозможный результат, расхождение с контрольной точкой</x:v>
      </x:c>
      <x:c r="N32" s="53" t="str">
        <x:v>S2_TRAINED_SUPERVISED</x:v>
      </x:c>
      <x:c r="O32" s="53" t="str">
        <x:v>pH не доказывает питьевую безопасность</x:v>
      </x:c>
      <x:c r="P32" s="53" t="str">
        <x:v>полоски как грубый fallback</x:v>
      </x:c>
      <x:c r="Q32" s="53" t="str">
        <x:v>PSP-116</x:v>
      </x:c>
      <x:c r="R32" s="53" t="str">
        <x:v>CANDIDATE_NOT_INVENTORIED</x:v>
      </x:c>
      <x:c r="S32" s="53" t="str">
        <x:v>0.4</x:v>
      </x:c>
    </x:row>
    <x:row r="33">
      <x:c r="A33" s="26" t="str">
        <x:v>INS-030</x:v>
      </x:c>
      <x:c r="B33" s="26" t="str">
        <x:v>WATER</x:v>
      </x:c>
      <x:c r="C33" s="26" t="str">
        <x:v>TDS/EC-метр</x:v>
      </x:c>
      <x:c r="D33" s="26" t="str">
        <x:v>электропроводность</x:v>
      </x:c>
      <x:c r="E33" s="26" t="str">
        <x:v>µS/cm</x:v>
      </x:c>
      <x:c r="F33" s="26" t="str">
        <x:v>TBD_PER_EXACT_TASK_AND_METHOD; не закупать/не применять по этой общей строке и не работать у края диапазона.</x:v>
      </x:c>
      <x:c r="G33" s="26" t="str">
        <x:v>TBD_PER_EXACT_TASK_AND_METHOD; правило 10:1 — только planning hint, не универсальная спецификация точности.</x:v>
      </x:c>
      <x:c r="H33" s="26" t="str">
        <x:v>сертифицированный стандарт и температурная компенсация</x:v>
      </x:c>
      <x:c r="I33" s="26" t="str">
        <x:v>TBD_PER_EXACT_INSTRUMENT: документированный эталон, контрольная точка или официальный сервис выбираются по методу/классу.</x:v>
      </x:c>
      <x:c r="J33" s="26" t="str">
        <x:v>BEFORE_CRITICAL_USE|AFTER_DAMAGE|ANNUAL_OR_MANUFACTURER</x:v>
      </x:c>
      <x:c r="K33" s="26" t="str">
        <x:v>чисто, сухо, защищено от удара/магнитов/температуры по manual</x:v>
      </x:c>
      <x:c r="L33" s="26" t="str">
        <x:v>визуальный осмотр, батарея/расходник, очистка, журнал offset и следующей проверки</x:v>
      </x:c>
      <x:c r="M33" s="26" t="str">
        <x:v>нестабильный ноль, дрейф, повреждение, невозможный результат, расхождение с контрольной точкой</x:v>
      </x:c>
      <x:c r="N33" s="26" t="str">
        <x:v>S1_LOW_RISK_HOUSEHOLD</x:v>
      </x:c>
      <x:c r="O33" s="26" t="str">
        <x:v>TDS не выявляет конкретные токсины/патогены</x:v>
      </x:c>
      <x:c r="P33" s="26" t="str">
        <x:v>второй прибор/стандарт</x:v>
      </x:c>
      <x:c r="Q33" s="26" t="str">
        <x:v>PSP-116</x:v>
      </x:c>
      <x:c r="R33" s="26" t="str">
        <x:v>CANDIDATE_NOT_INVENTORIED</x:v>
      </x:c>
      <x:c r="S33" s="26" t="str">
        <x:v>0.4</x:v>
      </x:c>
    </x:row>
    <x:row r="34">
      <x:c r="A34" s="53" t="str">
        <x:v>INS-031</x:v>
      </x:c>
      <x:c r="B34" s="53" t="str">
        <x:v>WATER</x:v>
      </x:c>
      <x:c r="C34" s="53" t="str">
        <x:v>турбидиметр</x:v>
      </x:c>
      <x:c r="D34" s="53" t="str">
        <x:v>мутность</x:v>
      </x:c>
      <x:c r="E34" s="53" t="str">
        <x:v>NTU</x:v>
      </x:c>
      <x:c r="F34" s="53" t="str">
        <x:v>TBD_PER_EXACT_TASK_AND_METHOD; не закупать/не применять по этой общей строке и не работать у края диапазона.</x:v>
      </x:c>
      <x:c r="G34" s="53" t="str">
        <x:v>TBD_PER_EXACT_TASK_AND_METHOD; правило 10:1 — только planning hint, не универсальная спецификация точности.</x:v>
      </x:c>
      <x:c r="H34" s="53" t="str">
        <x:v>сертифицированные standards и blank</x:v>
      </x:c>
      <x:c r="I34" s="53" t="str">
        <x:v>TBD_PER_EXACT_INSTRUMENT: документированный эталон, контрольная точка или официальный сервис выбираются по методу/классу.</x:v>
      </x:c>
      <x:c r="J34" s="53" t="str">
        <x:v>BEFORE_CRITICAL_USE|AFTER_DAMAGE|ANNUAL_OR_MANUFACTURER</x:v>
      </x:c>
      <x:c r="K34" s="53" t="str">
        <x:v>чисто, сухо, защищено от удара/магнитов/температуры по manual</x:v>
      </x:c>
      <x:c r="L34" s="53" t="str">
        <x:v>визуальный осмотр, батарея/расходник, очистка, журнал offset и следующей проверки</x:v>
      </x:c>
      <x:c r="M34" s="53" t="str">
        <x:v>нестабильный ноль, дрейф, повреждение, невозможный результат, расхождение с контрольной точкой</x:v>
      </x:c>
      <x:c r="N34" s="53" t="str">
        <x:v>S2_TRAINED_SUPERVISED</x:v>
      </x:c>
      <x:c r="O34" s="53" t="str">
        <x:v>мутность не равна микробиологической безопасности</x:v>
      </x:c>
      <x:c r="P34" s="53" t="str">
        <x:v>визуальная tube как fallback</x:v>
      </x:c>
      <x:c r="Q34" s="53" t="str">
        <x:v>PSP-116</x:v>
      </x:c>
      <x:c r="R34" s="53" t="str">
        <x:v>CANDIDATE_NOT_INVENTORIED</x:v>
      </x:c>
      <x:c r="S34" s="53" t="str">
        <x:v>0.4</x:v>
      </x:c>
    </x:row>
    <x:row r="35">
      <x:c r="A35" s="26" t="str">
        <x:v>INS-032</x:v>
      </x:c>
      <x:c r="B35" s="26" t="str">
        <x:v>WATER</x:v>
      </x:c>
      <x:c r="C35" s="26" t="str">
        <x:v>хлорный колориметр DPD</x:v>
      </x:c>
      <x:c r="D35" s="26" t="str">
        <x:v>свободный/общий хлор</x:v>
      </x:c>
      <x:c r="E35" s="26" t="str">
        <x:v>mg/L</x:v>
      </x:c>
      <x:c r="F35" s="26" t="str">
        <x:v>TBD_PER_EXACT_TASK_AND_METHOD; не закупать/не применять по этой общей строке и не работать у края диапазона.</x:v>
      </x:c>
      <x:c r="G35" s="26" t="str">
        <x:v>TBD_PER_EXACT_TASK_AND_METHOD; правило 10:1 — только planning hint, не универсальная спецификация точности.</x:v>
      </x:c>
      <x:c r="H35" s="26" t="str">
        <x:v>blank, standards/verification kit и срок реагента</x:v>
      </x:c>
      <x:c r="I35" s="26" t="str">
        <x:v>TBD_PER_EXACT_INSTRUMENT: документированный эталон, контрольная точка или официальный сервис выбираются по методу/классу.</x:v>
      </x:c>
      <x:c r="J35" s="26" t="str">
        <x:v>BEFORE_CRITICAL_USE|AFTER_DAMAGE|ANNUAL_OR_MANUFACTURER</x:v>
      </x:c>
      <x:c r="K35" s="26" t="str">
        <x:v>чисто, сухо, защищено от удара/магнитов/температуры по manual</x:v>
      </x:c>
      <x:c r="L35" s="26" t="str">
        <x:v>визуальный осмотр, батарея/расходник, очистка, журнал offset и следующей проверки</x:v>
      </x:c>
      <x:c r="M35" s="26" t="str">
        <x:v>нестабильный ноль, дрейф, повреждение, невозможный результат, расхождение с контрольной точкой</x:v>
      </x:c>
      <x:c r="N35" s="26" t="str">
        <x:v>S2_TRAINED_SUPERVISED</x:v>
      </x:c>
      <x:c r="O35" s="26" t="str">
        <x:v>не импровизировать дозирование; реагенты по SDS</x:v>
      </x:c>
      <x:c r="P35" s="26" t="str">
        <x:v>запас реагентов и второй метод</x:v>
      </x:c>
      <x:c r="Q35" s="26" t="str">
        <x:v>PSP-116</x:v>
      </x:c>
      <x:c r="R35" s="26" t="str">
        <x:v>CANDIDATE_NOT_INVENTORIED</x:v>
      </x:c>
      <x:c r="S35" s="26" t="str">
        <x:v>0.4</x:v>
      </x:c>
    </x:row>
    <x:row r="36">
      <x:c r="A36" s="53" t="str">
        <x:v>INS-033</x:v>
      </x:c>
      <x:c r="B36" s="53" t="str">
        <x:v>SOIL</x:v>
      </x:c>
      <x:c r="C36" s="53" t="str">
        <x:v>почвенный бур/пробоотборник</x:v>
      </x:c>
      <x:c r="D36" s="53" t="str">
        <x:v>глубина/проба</x:v>
      </x:c>
      <x:c r="E36" s="53" t="str">
        <x:v>cm</x:v>
      </x:c>
      <x:c r="F36" s="53" t="str">
        <x:v>TBD_PER_EXACT_TASK_AND_METHOD; не закупать/не применять по этой общей строке и не работать у края диапазона.</x:v>
      </x:c>
      <x:c r="G36" s="53" t="str">
        <x:v>TBD_PER_EXACT_TASK_AND_METHOD; правило 10:1 — только planning hint, не универсальная спецификация точности.</x:v>
      </x:c>
      <x:c r="H36" s="53" t="str">
        <x:v>разметка глубины и очистка между точками</x:v>
      </x:c>
      <x:c r="I36" s="53" t="str">
        <x:v>TBD_PER_EXACT_INSTRUMENT: документированный эталон, контрольная точка или официальный сервис выбираются по методу/классу.</x:v>
      </x:c>
      <x:c r="J36" s="53" t="str">
        <x:v>BEFORE_CRITICAL_USE|AFTER_DAMAGE|ANNUAL_OR_MANUFACTURER</x:v>
      </x:c>
      <x:c r="K36" s="53" t="str">
        <x:v>чисто, сухо, защищено от удара/магнитов/температуры по manual</x:v>
      </x:c>
      <x:c r="L36" s="53" t="str">
        <x:v>визуальный осмотр, батарея/расходник, очистка, журнал offset и следующей проверки</x:v>
      </x:c>
      <x:c r="M36" s="53" t="str">
        <x:v>нестабильный ноль, дрейф, повреждение, невозможный результат, расхождение с контрольной точкой</x:v>
      </x:c>
      <x:c r="N36" s="53" t="str">
        <x:v>S2_TRAINED_SUPERVISED</x:v>
      </x:c>
      <x:c r="O36" s="53" t="str">
        <x:v>только ручная неглубокая проба после документированной clearance коммуникаций/загрязнения/склона; силовое бурение и неизвестная площадка запрещены</x:v>
      </x:c>
      <x:c r="P36" s="53" t="str">
        <x:v>лопатка для неглубоких заранее разрешённых проб</x:v>
      </x:c>
      <x:c r="Q36" s="53" t="str">
        <x:v>PSP-116</x:v>
      </x:c>
      <x:c r="R36" s="53" t="str">
        <x:v>CANDIDATE_NOT_INVENTORIED</x:v>
      </x:c>
      <x:c r="S36" s="53" t="str">
        <x:v>0.4</x:v>
      </x:c>
    </x:row>
    <x:row r="37">
      <x:c r="A37" s="26" t="str">
        <x:v>INS-034</x:v>
      </x:c>
      <x:c r="B37" s="26" t="str">
        <x:v>SOIL</x:v>
      </x:c>
      <x:c r="C37" s="26" t="str">
        <x:v>сита для текстуры/агрегатов</x:v>
      </x:c>
      <x:c r="D37" s="26" t="str">
        <x:v>размер частиц</x:v>
      </x:c>
      <x:c r="E37" s="26" t="str">
        <x:v>mm</x:v>
      </x:c>
      <x:c r="F37" s="26" t="str">
        <x:v>TBD_PER_EXACT_TASK_AND_METHOD; не закупать/не применять по этой общей строке и не работать у края диапазона.</x:v>
      </x:c>
      <x:c r="G37" s="26" t="str">
        <x:v>TBD_PER_EXACT_TASK_AND_METHOD; правило 10:1 — только planning hint, не универсальная спецификация точности.</x:v>
      </x:c>
      <x:c r="H37" s="26" t="str">
        <x:v>проверка маркировки/повреждения и контрольная смесь</x:v>
      </x:c>
      <x:c r="I37" s="26" t="str">
        <x:v>TBD_PER_EXACT_INSTRUMENT: документированный эталон, контрольная точка или официальный сервис выбираются по методу/классу.</x:v>
      </x:c>
      <x:c r="J37" s="26" t="str">
        <x:v>BEFORE_CRITICAL_USE|AFTER_DAMAGE|ANNUAL_OR_MANUFACTURER</x:v>
      </x:c>
      <x:c r="K37" s="26" t="str">
        <x:v>чисто, сухо, защищено от удара/магнитов/температуры по manual</x:v>
      </x:c>
      <x:c r="L37" s="26" t="str">
        <x:v>визуальный осмотр, батарея/расходник, очистка, журнал offset и следующей проверки</x:v>
      </x:c>
      <x:c r="M37" s="26" t="str">
        <x:v>нестабильный ноль, дрейф, повреждение, невозможный результат, расхождение с контрольной точкой</x:v>
      </x:c>
      <x:c r="N37" s="26" t="str">
        <x:v>S1_LOW_RISK_HOUSEHOLD</x:v>
      </x:c>
      <x:c r="O37" s="26" t="str">
        <x:v>пыль — вентиляция/СИЗ; не анализировать подозрительные загрязнения</x:v>
      </x:c>
      <x:c r="P37" s="26" t="str">
        <x:v>ручная текстурная оценка</x:v>
      </x:c>
      <x:c r="Q37" s="26" t="str">
        <x:v>PSP-116</x:v>
      </x:c>
      <x:c r="R37" s="26" t="str">
        <x:v>CANDIDATE_NOT_INVENTORIED</x:v>
      </x:c>
      <x:c r="S37" s="26" t="str">
        <x:v>0.4</x:v>
      </x:c>
    </x:row>
    <x:row r="38">
      <x:c r="A38" s="53" t="str">
        <x:v>INS-035</x:v>
      </x:c>
      <x:c r="B38" s="53" t="str">
        <x:v>AGRI</x:v>
      </x:c>
      <x:c r="C38" s="53" t="str">
        <x:v>тензиометр/датчик влажности почвы</x:v>
      </x:c>
      <x:c r="D38" s="53" t="str">
        <x:v>водный потенциал/влажность</x:v>
      </x:c>
      <x:c r="E38" s="53" t="str">
        <x:v>kPa|%</x:v>
      </x:c>
      <x:c r="F38" s="53" t="str">
        <x:v>TBD_PER_EXACT_TASK_AND_METHOD; не закупать/не применять по этой общей строке и не работать у края диапазона.</x:v>
      </x:c>
      <x:c r="G38" s="53" t="str">
        <x:v>TBD_PER_EXACT_TASK_AND_METHOD; правило 10:1 — только planning hint, не универсальная спецификация точности.</x:v>
      </x:c>
      <x:c r="H38" s="53" t="str">
        <x:v>почвоспецифическая калибровка и gravimetric comparison</x:v>
      </x:c>
      <x:c r="I38" s="53" t="str">
        <x:v>TBD_PER_EXACT_INSTRUMENT: документированный эталон, контрольная точка или официальный сервис выбираются по методу/классу.</x:v>
      </x:c>
      <x:c r="J38" s="53" t="str">
        <x:v>BEFORE_CRITICAL_USE|AFTER_DAMAGE|ANNUAL_OR_MANUFACTURER</x:v>
      </x:c>
      <x:c r="K38" s="53" t="str">
        <x:v>чисто, сухо, защищено от удара/магнитов/температуры по manual</x:v>
      </x:c>
      <x:c r="L38" s="53" t="str">
        <x:v>визуальный осмотр, батарея/расходник, очистка, журнал offset и следующей проверки</x:v>
      </x:c>
      <x:c r="M38" s="53" t="str">
        <x:v>нестабильный ноль, дрейф, повреждение, невозможный результат, расхождение с контрольной точкой</x:v>
      </x:c>
      <x:c r="N38" s="53" t="str">
        <x:v>S1_LOW_RISK_HOUSEHOLD</x:v>
      </x:c>
      <x:c r="O38" s="53" t="str">
        <x:v>не принимать универсальные проценты как истину</x:v>
      </x:c>
      <x:c r="P38" s="53" t="str">
        <x:v>ручная проба + второй датчик</x:v>
      </x:c>
      <x:c r="Q38" s="53" t="str">
        <x:v>PSP-116</x:v>
      </x:c>
      <x:c r="R38" s="53" t="str">
        <x:v>CANDIDATE_NOT_INVENTORIED</x:v>
      </x:c>
      <x:c r="S38" s="53" t="str">
        <x:v>0.4</x:v>
      </x:c>
    </x:row>
    <x:row r="39">
      <x:c r="A39" s="26" t="str">
        <x:v>INS-036</x:v>
      </x:c>
      <x:c r="B39" s="26" t="str">
        <x:v>AGRI</x:v>
      </x:c>
      <x:c r="C39" s="26" t="str">
        <x:v>счётчик семян и лоток всхожести</x:v>
      </x:c>
      <x:c r="D39" s="26" t="str">
        <x:v>всхожесть</x:v>
      </x:c>
      <x:c r="E39" s="26" t="str">
        <x:v>%</x:v>
      </x:c>
      <x:c r="F39" s="26" t="str">
        <x:v>TBD_PER_EXACT_TASK_AND_METHOD; не закупать/не применять по этой общей строке и не работать у края диапазона.</x:v>
      </x:c>
      <x:c r="G39" s="26" t="str">
        <x:v>TBD_PER_EXACT_TASK_AND_METHOD; правило 10:1 — только planning hint, не универсальная спецификация точности.</x:v>
      </x:c>
      <x:c r="H39" s="26" t="str">
        <x:v>известное количество, blind recount и control lot</x:v>
      </x:c>
      <x:c r="I39" s="26" t="str">
        <x:v>TBD_PER_EXACT_INSTRUMENT: документированный эталон, контрольная точка или официальный сервис выбираются по методу/классу.</x:v>
      </x:c>
      <x:c r="J39" s="26" t="str">
        <x:v>BEFORE_CRITICAL_USE|AFTER_DAMAGE|ANNUAL_OR_MANUFACTURER</x:v>
      </x:c>
      <x:c r="K39" s="26" t="str">
        <x:v>чисто, сухо, защищено от удара/магнитов/температуры по manual</x:v>
      </x:c>
      <x:c r="L39" s="26" t="str">
        <x:v>визуальный осмотр, батарея/расходник, очистка, журнал offset и следующей проверки</x:v>
      </x:c>
      <x:c r="M39" s="26" t="str">
        <x:v>нестабильный ноль, дрейф, повреждение, невозможный результат, расхождение с контрольной точкой</x:v>
      </x:c>
      <x:c r="N39" s="26" t="str">
        <x:v>S1_LOW_RISK_HOUSEHOLD</x:v>
      </x:c>
      <x:c r="O39" s="26" t="str">
        <x:v>только законные/идентифицированные семена</x:v>
      </x:c>
      <x:c r="P39" s="26" t="str">
        <x:v>ручной пересчёт</x:v>
      </x:c>
      <x:c r="Q39" s="26" t="str">
        <x:v>PSP-116</x:v>
      </x:c>
      <x:c r="R39" s="26" t="str">
        <x:v>CANDIDATE_NOT_INVENTORIED</x:v>
      </x:c>
      <x:c r="S39" s="26" t="str">
        <x:v>0.4</x:v>
      </x:c>
    </x:row>
    <x:row r="40">
      <x:c r="A40" s="53" t="str">
        <x:v>INS-037</x:v>
      </x:c>
      <x:c r="B40" s="53" t="str">
        <x:v>AGRI</x:v>
      </x:c>
      <x:c r="C40" s="53" t="str">
        <x:v>leaf-area scale/grid</x:v>
      </x:c>
      <x:c r="D40" s="53" t="str">
        <x:v>площадь листа</x:v>
      </x:c>
      <x:c r="E40" s="53" t="str">
        <x:v>cm²</x:v>
      </x:c>
      <x:c r="F40" s="53" t="str">
        <x:v>TBD_PER_EXACT_TASK_AND_METHOD; не закупать/не применять по этой общей строке и не работать у края диапазона.</x:v>
      </x:c>
      <x:c r="G40" s="53" t="str">
        <x:v>TBD_PER_EXACT_TASK_AND_METHOD; правило 10:1 — только planning hint, не универсальная спецификация точности.</x:v>
      </x:c>
      <x:c r="H40" s="53" t="str">
        <x:v>геометрическая проверка grid/reference</x:v>
      </x:c>
      <x:c r="I40" s="53" t="str">
        <x:v>TBD_PER_EXACT_INSTRUMENT: документированный эталон, контрольная точка или официальный сервис выбираются по методу/классу.</x:v>
      </x:c>
      <x:c r="J40" s="53" t="str">
        <x:v>BEFORE_CRITICAL_USE|AFTER_DAMAGE|ANNUAL_OR_MANUFACTURER</x:v>
      </x:c>
      <x:c r="K40" s="53" t="str">
        <x:v>чисто, сухо, защищено от удара/магнитов/температуры по manual</x:v>
      </x:c>
      <x:c r="L40" s="53" t="str">
        <x:v>визуальный осмотр, батарея/расходник, очистка, журнал offset и следующей проверки</x:v>
      </x:c>
      <x:c r="M40" s="53" t="str">
        <x:v>нестабильный ноль, дрейф, повреждение, невозможный результат, расхождение с контрольной точкой</x:v>
      </x:c>
      <x:c r="N40" s="53" t="str">
        <x:v>S1_LOW_RISK_HOUSEHOLD</x:v>
      </x:c>
      <x:c r="O40" s="53" t="str">
        <x:v>не повреждать охраняемые растения</x:v>
      </x:c>
      <x:c r="P40" s="53" t="str">
        <x:v>фото с масштабом</x:v>
      </x:c>
      <x:c r="Q40" s="53" t="str">
        <x:v>PSP-116</x:v>
      </x:c>
      <x:c r="R40" s="53" t="str">
        <x:v>CANDIDATE_NOT_INVENTORIED</x:v>
      </x:c>
      <x:c r="S40" s="53" t="str">
        <x:v>0.4</x:v>
      </x:c>
    </x:row>
    <x:row r="41">
      <x:c r="A41" s="26" t="str">
        <x:v>INS-038</x:v>
      </x:c>
      <x:c r="B41" s="26" t="str">
        <x:v>BIOLOGY</x:v>
      </x:c>
      <x:c r="C41" s="26" t="str">
        <x:v>лупа 10x</x:v>
      </x:c>
      <x:c r="D41" s="26" t="str">
        <x:v>морфология</x:v>
      </x:c>
      <x:c r="E41" s="26" t="str">
        <x:v>dimensionless</x:v>
      </x:c>
      <x:c r="F41" s="26" t="str">
        <x:v>TBD_PER_EXACT_TASK_AND_METHOD; не закупать/не применять по этой общей строке и не работать у края диапазона.</x:v>
      </x:c>
      <x:c r="G41" s="26" t="str">
        <x:v>TBD_PER_EXACT_TASK_AND_METHOD; правило 10:1 — только planning hint, не универсальная спецификация точности.</x:v>
      </x:c>
      <x:c r="H41" s="26" t="str">
        <x:v>проверка фокуса и scale card</x:v>
      </x:c>
      <x:c r="I41" s="26" t="str">
        <x:v>TBD_PER_EXACT_INSTRUMENT: документированный эталон, контрольная точка или официальный сервис выбираются по методу/классу.</x:v>
      </x:c>
      <x:c r="J41" s="26" t="str">
        <x:v>BEFORE_CRITICAL_USE|AFTER_DAMAGE|ANNUAL_OR_MANUFACTURER</x:v>
      </x:c>
      <x:c r="K41" s="26" t="str">
        <x:v>чисто, сухо, защищено от удара/магнитов/температуры по manual</x:v>
      </x:c>
      <x:c r="L41" s="26" t="str">
        <x:v>визуальный осмотр, батарея/расходник, очистка, журнал offset и следующей проверки</x:v>
      </x:c>
      <x:c r="M41" s="26" t="str">
        <x:v>нестабильный ноль, дрейф, повреждение, невозможный результат, расхождение с контрольной точкой</x:v>
      </x:c>
      <x:c r="N41" s="26" t="str">
        <x:v>S1_LOW_RISK_HOUSEHOLD</x:v>
      </x:c>
      <x:c r="O41" s="26" t="str">
        <x:v>не направлять Солнце в глаза/на горючее</x:v>
      </x:c>
      <x:c r="P41" s="26" t="str">
        <x:v>вторая лупа</x:v>
      </x:c>
      <x:c r="Q41" s="26" t="str">
        <x:v>PSP-116</x:v>
      </x:c>
      <x:c r="R41" s="26" t="str">
        <x:v>CANDIDATE_NOT_INVENTORIED</x:v>
      </x:c>
      <x:c r="S41" s="26" t="str">
        <x:v>0.4</x:v>
      </x:c>
    </x:row>
    <x:row r="42">
      <x:c r="A42" s="53" t="str">
        <x:v>INS-039</x:v>
      </x:c>
      <x:c r="B42" s="53" t="str">
        <x:v>BIOLOGY</x:v>
      </x:c>
      <x:c r="C42" s="53" t="str">
        <x:v>оптический микроскоп для готовых слайдов</x:v>
      </x:c>
      <x:c r="D42" s="53" t="str">
        <x:v>изображение/масштаб</x:v>
      </x:c>
      <x:c r="E42" s="53" t="str">
        <x:v>µm</x:v>
      </x:c>
      <x:c r="F42" s="53" t="str">
        <x:v>TBD_PER_EXACT_TASK_AND_METHOD; не закупать/не применять по этой общей строке и не работать у края диапазона.</x:v>
      </x:c>
      <x:c r="G42" s="53" t="str">
        <x:v>TBD_PER_EXACT_TASK_AND_METHOD; правило 10:1 — только planning hint, не универсальная спецификация точности.</x:v>
      </x:c>
      <x:c r="H42" s="53" t="str">
        <x:v>stage micrometer и чистый known slide</x:v>
      </x:c>
      <x:c r="I42" s="53" t="str">
        <x:v>TBD_PER_EXACT_INSTRUMENT: документированный эталон, контрольная точка или официальный сервис выбираются по методу/классу.</x:v>
      </x:c>
      <x:c r="J42" s="53" t="str">
        <x:v>BEFORE_CRITICAL_USE|AFTER_DAMAGE|ANNUAL_OR_MANUFACTURER</x:v>
      </x:c>
      <x:c r="K42" s="53" t="str">
        <x:v>чисто, сухо, защищено от удара/магнитов/температуры по manual</x:v>
      </x:c>
      <x:c r="L42" s="53" t="str">
        <x:v>визуальный осмотр, батарея/расходник, очистка, журнал offset и следующей проверки</x:v>
      </x:c>
      <x:c r="M42" s="53" t="str">
        <x:v>нестабильный ноль, дрейф, повреждение, невозможный результат, расхождение с контрольной точкой</x:v>
      </x:c>
      <x:c r="N42" s="53" t="str">
        <x:v>S1_LOW_RISK_HOUSEHOLD</x:v>
      </x:c>
      <x:c r="O42" s="53" t="str">
        <x:v>не культивировать/не исследовать неизвестные биообразцы</x:v>
      </x:c>
      <x:c r="P42" s="53" t="str">
        <x:v>лупа+готовый атлас</x:v>
      </x:c>
      <x:c r="Q42" s="53" t="str">
        <x:v>PSP-116</x:v>
      </x:c>
      <x:c r="R42" s="53" t="str">
        <x:v>CANDIDATE_NOT_INVENTORIED</x:v>
      </x:c>
      <x:c r="S42" s="53" t="str">
        <x:v>0.4</x:v>
      </x:c>
    </x:row>
    <x:row r="43">
      <x:c r="A43" s="26" t="str">
        <x:v>INS-040</x:v>
      </x:c>
      <x:c r="B43" s="26" t="str">
        <x:v>BIOLOGY</x:v>
      </x:c>
      <x:c r="C43" s="26" t="str">
        <x:v>камера/фотоаппарат с scale card</x:v>
      </x:c>
      <x:c r="D43" s="26" t="str">
        <x:v>изображение и время</x:v>
      </x:c>
      <x:c r="E43" s="26" t="str">
        <x:v>px|mm</x:v>
      </x:c>
      <x:c r="F43" s="26" t="str">
        <x:v>TBD_PER_EXACT_TASK_AND_METHOD; не закупать/не применять по этой общей строке и не работать у края диапазона.</x:v>
      </x:c>
      <x:c r="G43" s="26" t="str">
        <x:v>TBD_PER_EXACT_TASK_AND_METHOD; правило 10:1 — только planning hint, не универсальная спецификация точности.</x:v>
      </x:c>
      <x:c r="H43" s="26" t="str">
        <x:v>clock check, color/scale card and metadata</x:v>
      </x:c>
      <x:c r="I43" s="26" t="str">
        <x:v>TBD_PER_EXACT_INSTRUMENT: документированный эталон, контрольная точка или официальный сервис выбираются по методу/классу.</x:v>
      </x:c>
      <x:c r="J43" s="26" t="str">
        <x:v>BEFORE_CRITICAL_USE|AFTER_DAMAGE|ANNUAL_OR_MANUFACTURER</x:v>
      </x:c>
      <x:c r="K43" s="26" t="str">
        <x:v>чисто, сухо, защищено от удара/магнитов/температуры по manual</x:v>
      </x:c>
      <x:c r="L43" s="26" t="str">
        <x:v>визуальный осмотр, батарея/расходник, очистка, журнал offset и следующей проверки</x:v>
      </x:c>
      <x:c r="M43" s="26" t="str">
        <x:v>нестабильный ноль, дрейф, повреждение, невозможный результат, расхождение с контрольной точкой</x:v>
      </x:c>
      <x:c r="N43" s="26" t="str">
        <x:v>S1_LOW_RISK_HOUSEHOLD</x:v>
      </x:c>
      <x:c r="O43" s="26" t="str">
        <x:v>приватность, геолокация чувствительных видов/людей</x:v>
      </x:c>
      <x:c r="P43" s="26" t="str">
        <x:v>два формата и печатные выборки</x:v>
      </x:c>
      <x:c r="Q43" s="26" t="str">
        <x:v>PSP-116</x:v>
      </x:c>
      <x:c r="R43" s="26" t="str">
        <x:v>CANDIDATE_NOT_INVENTORIED</x:v>
      </x:c>
      <x:c r="S43" s="26" t="str">
        <x:v>0.4</x:v>
      </x:c>
    </x:row>
    <x:row r="44">
      <x:c r="A44" s="53" t="str">
        <x:v>INS-041</x:v>
      </x:c>
      <x:c r="B44" s="53" t="str">
        <x:v>HEALTH</x:v>
      </x:c>
      <x:c r="C44" s="53" t="str">
        <x:v>клинический цифровой термометр</x:v>
      </x:c>
      <x:c r="D44" s="53" t="str">
        <x:v>температура тела</x:v>
      </x:c>
      <x:c r="E44" s="53" t="str">
        <x:v>°C</x:v>
      </x:c>
      <x:c r="F44" s="53" t="str">
        <x:v>TBD_PER_EXACT_TASK_AND_METHOD; не закупать/не применять по этой общей строке и не работать у края диапазона.</x:v>
      </x:c>
      <x:c r="G44" s="53" t="str">
        <x:v>TBD_PER_EXACT_TASK_AND_METHOD; правило 10:1 — только planning hint, не универсальная спецификация точности.</x:v>
      </x:c>
      <x:c r="H44" s="53" t="str">
        <x:v>штатная проверка/профессиональная поверка по назначению</x:v>
      </x:c>
      <x:c r="I44" s="53" t="str">
        <x:v>TBD_PER_EXACT_INSTRUMENT: документированный эталон, контрольная точка или официальный сервис выбираются по методу/классу.</x:v>
      </x:c>
      <x:c r="J44" s="53" t="str">
        <x:v>BEFORE_CRITICAL_USE|AFTER_DAMAGE|ANNUAL_OR_MANUFACTURER</x:v>
      </x:c>
      <x:c r="K44" s="53" t="str">
        <x:v>чисто, сухо, защищено от удара/магнитов/температуры по manual</x:v>
      </x:c>
      <x:c r="L44" s="53" t="str">
        <x:v>визуальный осмотр, батарея/расходник, очистка, журнал offset и следующей проверки</x:v>
      </x:c>
      <x:c r="M44" s="53" t="str">
        <x:v>нестабильный ноль, дрейф, повреждение, невозможный результат, расхождение с контрольной точкой</x:v>
      </x:c>
      <x:c r="N44" s="53" t="str">
        <x:v>S1_LOW_RISK_HOUSEHOLD</x:v>
      </x:c>
      <x:c r="O44" s="53" t="str">
        <x:v>не интерпретировать вне инструкции/клинического контекста</x:v>
      </x:c>
      <x:c r="P44" s="53" t="str">
        <x:v>второй одобренный прибор</x:v>
      </x:c>
      <x:c r="Q44" s="53" t="str">
        <x:v>PSP-116</x:v>
      </x:c>
      <x:c r="R44" s="53" t="str">
        <x:v>CANDIDATE_NOT_INVENTORIED</x:v>
      </x:c>
      <x:c r="S44" s="53" t="str">
        <x:v>0.4</x:v>
      </x:c>
    </x:row>
    <x:row r="45">
      <x:c r="A45" s="26" t="str">
        <x:v>INS-042</x:v>
      </x:c>
      <x:c r="B45" s="26" t="str">
        <x:v>HEALTH</x:v>
      </x:c>
      <x:c r="C45" s="26" t="str">
        <x:v>автоматический тонометр валидированной модели</x:v>
      </x:c>
      <x:c r="D45" s="26" t="str">
        <x:v>давление/пульс</x:v>
      </x:c>
      <x:c r="E45" s="26" t="str">
        <x:v>mmHg|bpm</x:v>
      </x:c>
      <x:c r="F45" s="26" t="str">
        <x:v>TBD_PER_EXACT_TASK_AND_METHOD; не закупать/не применять по этой общей строке и не работать у края диапазона.</x:v>
      </x:c>
      <x:c r="G45" s="26" t="str">
        <x:v>TBD_PER_EXACT_TASK_AND_METHOD; правило 10:1 — только planning hint, не универсальная спецификация точности.</x:v>
      </x:c>
      <x:c r="H45" s="26" t="str">
        <x:v>проверка модели, манжеты и периодическое сравнение в клинике</x:v>
      </x:c>
      <x:c r="I45" s="26" t="str">
        <x:v>TBD_PER_EXACT_INSTRUMENT: документированный эталон, контрольная точка или официальный сервис выбираются по методу/классу.</x:v>
      </x:c>
      <x:c r="J45" s="26" t="str">
        <x:v>BEFORE_CRITICAL_USE|AFTER_DAMAGE|ANNUAL_OR_MANUFACTURER</x:v>
      </x:c>
      <x:c r="K45" s="26" t="str">
        <x:v>чисто, сухо, защищено от удара/магнитов/температуры по manual</x:v>
      </x:c>
      <x:c r="L45" s="26" t="str">
        <x:v>визуальный осмотр, батарея/расходник, очистка, журнал offset и следующей проверки</x:v>
      </x:c>
      <x:c r="M45" s="26" t="str">
        <x:v>нестабильный ноль, дрейф, повреждение, невозможный результат, расхождение с контрольной точкой</x:v>
      </x:c>
      <x:c r="N45" s="26" t="str">
        <x:v>S2_TRAINED_SUPERVISED</x:v>
      </x:c>
      <x:c r="O45" s="26" t="str">
        <x:v>не менять лечение по одному измерению</x:v>
      </x:c>
      <x:c r="P45" s="26" t="str">
        <x:v>запасная манжета/клиническая сверка</x:v>
      </x:c>
      <x:c r="Q45" s="26" t="str">
        <x:v>PSP-116</x:v>
      </x:c>
      <x:c r="R45" s="26" t="str">
        <x:v>CANDIDATE_NOT_INVENTORIED</x:v>
      </x:c>
      <x:c r="S45" s="26" t="str">
        <x:v>0.4</x:v>
      </x:c>
    </x:row>
    <x:row r="46">
      <x:c r="A46" s="53" t="str">
        <x:v>INS-043</x:v>
      </x:c>
      <x:c r="B46" s="53" t="str">
        <x:v>HEALTH</x:v>
      </x:c>
      <x:c r="C46" s="53" t="str">
        <x:v>пульсоксиметр</x:v>
      </x:c>
      <x:c r="D46" s="53" t="str">
        <x:v>SpO2/пульс</x:v>
      </x:c>
      <x:c r="E46" s="53" t="str">
        <x:v>%|bpm</x:v>
      </x:c>
      <x:c r="F46" s="53" t="str">
        <x:v>TBD_PER_EXACT_TASK_AND_METHOD; не закупать/не применять по этой общей строке и не работать у края диапазона.</x:v>
      </x:c>
      <x:c r="G46" s="53" t="str">
        <x:v>TBD_PER_EXACT_TASK_AND_METHOD; правило 10:1 — только planning hint, не универсальная спецификация точности.</x:v>
      </x:c>
      <x:c r="H46" s="53" t="str">
        <x:v>functional check and professional comparison; limitations logged</x:v>
      </x:c>
      <x:c r="I46" s="53" t="str">
        <x:v>TBD_PER_EXACT_INSTRUMENT: документированный эталон, контрольная точка или официальный сервис выбираются по методу/классу.</x:v>
      </x:c>
      <x:c r="J46" s="53" t="str">
        <x:v>BEFORE_CRITICAL_USE|AFTER_DAMAGE|ANNUAL_OR_MANUFACTURER</x:v>
      </x:c>
      <x:c r="K46" s="53" t="str">
        <x:v>чисто, сухо, защищено от удара/магнитов/температуры по manual</x:v>
      </x:c>
      <x:c r="L46" s="53" t="str">
        <x:v>визуальный осмотр, батарея/расходник, очистка, журнал offset и следующей проверки</x:v>
      </x:c>
      <x:c r="M46" s="53" t="str">
        <x:v>нестабильный ноль, дрейф, повреждение, невозможный результат, расхождение с контрольной точкой</x:v>
      </x:c>
      <x:c r="N46" s="53" t="str">
        <x:v>S2_TRAINED_SUPERVISED</x:v>
      </x:c>
      <x:c r="O46" s="53" t="str">
        <x:v>плохая перфузия/движение/лак и другие факторы искажают; не откладывать помощь</x:v>
      </x:c>
      <x:c r="P46" s="53" t="str">
        <x:v>второй метод клинической оценки — специалист</x:v>
      </x:c>
      <x:c r="Q46" s="53" t="str">
        <x:v>PSP-116</x:v>
      </x:c>
      <x:c r="R46" s="53" t="str">
        <x:v>CANDIDATE_NOT_INVENTORIED</x:v>
      </x:c>
      <x:c r="S46" s="53" t="str">
        <x:v>0.4</x:v>
      </x:c>
    </x:row>
    <x:row r="47">
      <x:c r="A47" s="26" t="str">
        <x:v>INS-044</x:v>
      </x:c>
      <x:c r="B47" s="26" t="str">
        <x:v>HEALTH</x:v>
      </x:c>
      <x:c r="C47" s="26" t="str">
        <x:v>манекен BLS/AED trainer</x:v>
      </x:c>
      <x:c r="D47" s="26" t="str">
        <x:v>навык</x:v>
      </x:c>
      <x:c r="E47" s="26" t="str">
        <x:v>rubric/pass-fail</x:v>
      </x:c>
      <x:c r="F47" s="26" t="str">
        <x:v>TBD_PER_EXACT_TASK_AND_METHOD; не закупать/не применять по этой общей строке и не работать у края диапазона.</x:v>
      </x:c>
      <x:c r="G47" s="26" t="str">
        <x:v>TBD_PER_EXACT_TASK_AND_METHOD; правило 10:1 — только planning hint, не универсальная спецификация точности.</x:v>
      </x:c>
      <x:c r="H47" s="26" t="str">
        <x:v>инструкторская проверка и расходники</x:v>
      </x:c>
      <x:c r="I47" s="26" t="str">
        <x:v>TBD_PER_EXACT_INSTRUMENT: документированный эталон, контрольная точка или официальный сервис выбираются по методу/классу.</x:v>
      </x:c>
      <x:c r="J47" s="26" t="str">
        <x:v>BEFORE_CRITICAL_USE|AFTER_DAMAGE|ANNUAL_OR_MANUFACTURER</x:v>
      </x:c>
      <x:c r="K47" s="26" t="str">
        <x:v>чисто, сухо, защищено от удара/магнитов/температуры по manual</x:v>
      </x:c>
      <x:c r="L47" s="26" t="str">
        <x:v>визуальный осмотр, батарея/расходник, очистка, журнал offset и следующей проверки</x:v>
      </x:c>
      <x:c r="M47" s="26" t="str">
        <x:v>нестабильный ноль, дрейф, повреждение, невозможный результат, расхождение с контрольной точкой</x:v>
      </x:c>
      <x:c r="N47" s="26" t="str">
        <x:v>S2_TRAINED_SUPERVISED</x:v>
      </x:c>
      <x:c r="O47" s="26" t="str">
        <x:v>не тренироваться на человеке; trainer не является рабочим AED</x:v>
      </x:c>
      <x:c r="P47" s="26" t="str">
        <x:v>регулярный курс/второй манекен</x:v>
      </x:c>
      <x:c r="Q47" s="26" t="str">
        <x:v>PSP-116</x:v>
      </x:c>
      <x:c r="R47" s="26" t="str">
        <x:v>CANDIDATE_NOT_INVENTORIED</x:v>
      </x:c>
      <x:c r="S47" s="26" t="str">
        <x:v>0.4</x:v>
      </x:c>
    </x:row>
    <x:row r="48">
      <x:c r="A48" s="53" t="str">
        <x:v>INS-045</x:v>
      </x:c>
      <x:c r="B48" s="53" t="str">
        <x:v>ELECTRICAL</x:v>
      </x:c>
      <x:c r="C48" s="53" t="str">
        <x:v>цифровой мультиметр CAT по задаче</x:v>
      </x:c>
      <x:c r="D48" s="53" t="str">
        <x:v>V/A/Ω</x:v>
      </x:c>
      <x:c r="E48" s="53" t="str">
        <x:v>V|A|Ω</x:v>
      </x:c>
      <x:c r="F48" s="53" t="str">
        <x:v>TBD_PER_EXACT_TASK_AND_METHOD; не закупать/не применять по этой общей строке и не работать у края диапазона.</x:v>
      </x:c>
      <x:c r="G48" s="53" t="str">
        <x:v>TBD_PER_EXACT_TASK_AND_METHOD; правило 10:1 — только planning hint, не универсальная спецификация точности.</x:v>
      </x:c>
      <x:c r="H48" s="53" t="str">
        <x:v>proof source/service calibration; lead/fuse inspection</x:v>
      </x:c>
      <x:c r="I48" s="53" t="str">
        <x:v>TBD_PER_EXACT_INSTRUMENT: документированный эталон, контрольная точка или официальный сервис выбираются по методу/классу.</x:v>
      </x:c>
      <x:c r="J48" s="53" t="str">
        <x:v>BEFORE_CRITICAL_USE|AFTER_DAMAGE|ANNUAL_OR_MANUFACTURER</x:v>
      </x:c>
      <x:c r="K48" s="53" t="str">
        <x:v>чисто, сухо, защищено от удара/магнитов/температуры по manual</x:v>
      </x:c>
      <x:c r="L48" s="53" t="str">
        <x:v>визуальный осмотр, батарея/расходник, очистка, журнал offset и следующей проверки</x:v>
      </x:c>
      <x:c r="M48" s="53" t="str">
        <x:v>нестабильный ноль, дрейф, повреждение, невозможный результат, расхождение с контрольной точкой</x:v>
      </x:c>
      <x:c r="N48" s="53" t="str">
        <x:v>S2_TRAINED_SUPERVISED</x:v>
      </x:c>
      <x:c r="O48" s="53" t="str">
        <x:v>базовый kit ограничен изолированным низким напряжением; mains — специалист</x:v>
      </x:c>
      <x:c r="P48" s="53" t="str">
        <x:v>второй простой meter</x:v>
      </x:c>
      <x:c r="Q48" s="53" t="str">
        <x:v>PSP-116</x:v>
      </x:c>
      <x:c r="R48" s="53" t="str">
        <x:v>CANDIDATE_NOT_INVENTORIED</x:v>
      </x:c>
      <x:c r="S48" s="53" t="str">
        <x:v>0.4</x:v>
      </x:c>
    </x:row>
    <x:row r="49">
      <x:c r="A49" s="26" t="str">
        <x:v>INS-046</x:v>
      </x:c>
      <x:c r="B49" s="26" t="str">
        <x:v>ELECTRICAL</x:v>
      </x:c>
      <x:c r="C49" s="26" t="str">
        <x:v>регулируемый лабораторный БП с limit</x:v>
      </x:c>
      <x:c r="D49" s="26" t="str">
        <x:v>напряжение/ток</x:v>
      </x:c>
      <x:c r="E49" s="26" t="str">
        <x:v>V|A</x:v>
      </x:c>
      <x:c r="F49" s="26" t="str">
        <x:v>TBD_PER_EXACT_TASK_AND_METHOD; не закупать/не применять по этой общей строке и не работать у края диапазона.</x:v>
      </x:c>
      <x:c r="G49" s="26" t="str">
        <x:v>TBD_PER_EXACT_TASK_AND_METHOD; правило 10:1 — только planning hint, не универсальная спецификация точности.</x:v>
      </x:c>
      <x:c r="H49" s="26" t="str">
        <x:v>сравнение с калиброванным meter и проверка current limit</x:v>
      </x:c>
      <x:c r="I49" s="26" t="str">
        <x:v>TBD_PER_EXACT_INSTRUMENT: документированный эталон, контрольная точка или официальный сервис выбираются по методу/классу.</x:v>
      </x:c>
      <x:c r="J49" s="26" t="str">
        <x:v>BEFORE_CRITICAL_USE|AFTER_DAMAGE|ANNUAL_OR_MANUFACTURER</x:v>
      </x:c>
      <x:c r="K49" s="26" t="str">
        <x:v>чисто, сухо, защищено от удара/магнитов/температуры по manual</x:v>
      </x:c>
      <x:c r="L49" s="26" t="str">
        <x:v>визуальный осмотр, батарея/расходник, очистка, журнал offset и следующей проверки</x:v>
      </x:c>
      <x:c r="M49" s="26" t="str">
        <x:v>нестабильный ноль, дрейф, повреждение, невозможный результат, расхождение с контрольной точкой</x:v>
      </x:c>
      <x:c r="N49" s="26" t="str">
        <x:v>S2_TRAINED_SUPERVISED</x:v>
      </x:c>
      <x:c r="O49" s="26" t="str">
        <x:v>не заряжать неизвестные батареи/не питать тело</x:v>
      </x:c>
      <x:c r="P49" s="26" t="str">
        <x:v>фиксированные защищённые адаптеры</x:v>
      </x:c>
      <x:c r="Q49" s="26" t="str">
        <x:v>PSP-116</x:v>
      </x:c>
      <x:c r="R49" s="26" t="str">
        <x:v>CANDIDATE_NOT_INVENTORIED</x:v>
      </x:c>
      <x:c r="S49" s="26" t="str">
        <x:v>0.4</x:v>
      </x:c>
    </x:row>
    <x:row r="50">
      <x:c r="A50" s="53" t="str">
        <x:v>INS-047</x:v>
      </x:c>
      <x:c r="B50" s="53" t="str">
        <x:v>ELECTRICAL</x:v>
      </x:c>
      <x:c r="C50" s="53" t="str">
        <x:v>USB power meter</x:v>
      </x:c>
      <x:c r="D50" s="53" t="str">
        <x:v>энергия/ток</x:v>
      </x:c>
      <x:c r="E50" s="53" t="str">
        <x:v>Wh|A|V</x:v>
      </x:c>
      <x:c r="F50" s="53" t="str">
        <x:v>TBD_PER_EXACT_TASK_AND_METHOD; не закупать/не применять по этой общей строке и не работать у края диапазона.</x:v>
      </x:c>
      <x:c r="G50" s="53" t="str">
        <x:v>TBD_PER_EXACT_TASK_AND_METHOD; правило 10:1 — только planning hint, не универсальная спецификация точности.</x:v>
      </x:c>
      <x:c r="H50" s="53" t="str">
        <x:v>comparison with reference load/source</x:v>
      </x:c>
      <x:c r="I50" s="53" t="str">
        <x:v>TBD_PER_EXACT_INSTRUMENT: документированный эталон, контрольная точка или официальный сервис выбираются по методу/классу.</x:v>
      </x:c>
      <x:c r="J50" s="53" t="str">
        <x:v>BEFORE_CRITICAL_USE|AFTER_DAMAGE|ANNUAL_OR_MANUFACTURER</x:v>
      </x:c>
      <x:c r="K50" s="53" t="str">
        <x:v>чисто, сухо, защищено от удара/магнитов/температуры по manual</x:v>
      </x:c>
      <x:c r="L50" s="53" t="str">
        <x:v>визуальный осмотр, батарея/расходник, очистка, журнал offset и следующей проверки</x:v>
      </x:c>
      <x:c r="M50" s="53" t="str">
        <x:v>нестабильный ноль, дрейф, повреждение, невозможный результат, расхождение с контрольной точкой</x:v>
      </x:c>
      <x:c r="N50" s="53" t="str">
        <x:v>S1_LOW_RISK_HOUSEHOLD</x:v>
      </x:c>
      <x:c r="O50" s="53" t="str">
        <x:v>не использовать на сети 230 V</x:v>
      </x:c>
      <x:c r="P50" s="53" t="str">
        <x:v>второй meter/known load</x:v>
      </x:c>
      <x:c r="Q50" s="53" t="str">
        <x:v>PSP-116</x:v>
      </x:c>
      <x:c r="R50" s="53" t="str">
        <x:v>CANDIDATE_NOT_INVENTORIED</x:v>
      </x:c>
      <x:c r="S50" s="53" t="str">
        <x:v>0.4</x:v>
      </x:c>
    </x:row>
    <x:row r="51">
      <x:c r="A51" s="26" t="str">
        <x:v>INS-048</x:v>
      </x:c>
      <x:c r="B51" s="26" t="str">
        <x:v>ELECTRICAL</x:v>
      </x:c>
      <x:c r="C51" s="26" t="str">
        <x:v>DC electronic load low-power</x:v>
      </x:c>
      <x:c r="D51" s="26" t="str">
        <x:v>нагрузка/энергия</x:v>
      </x:c>
      <x:c r="E51" s="26" t="str">
        <x:v>A|W|Wh</x:v>
      </x:c>
      <x:c r="F51" s="26" t="str">
        <x:v>TBD_PER_EXACT_TASK_AND_METHOD; не закупать/не применять по этой общей строке и не работать у края диапазона.</x:v>
      </x:c>
      <x:c r="G51" s="26" t="str">
        <x:v>TBD_PER_EXACT_TASK_AND_METHOD; правило 10:1 — только planning hint, не универсальная спецификация точности.</x:v>
      </x:c>
      <x:c r="H51" s="26" t="str">
        <x:v>reference meter and thermal check</x:v>
      </x:c>
      <x:c r="I51" s="26" t="str">
        <x:v>TBD_PER_EXACT_INSTRUMENT: документированный эталон, контрольная точка или официальный сервис выбираются по методу/классу.</x:v>
      </x:c>
      <x:c r="J51" s="26" t="str">
        <x:v>BEFORE_CRITICAL_USE|AFTER_DAMAGE|ANNUAL_OR_MANUFACTURER</x:v>
      </x:c>
      <x:c r="K51" s="26" t="str">
        <x:v>чисто, сухо, защищено от удара/магнитов/температуры по manual</x:v>
      </x:c>
      <x:c r="L51" s="26" t="str">
        <x:v>визуальный осмотр, батарея/расходник, очистка, журнал offset и следующей проверки</x:v>
      </x:c>
      <x:c r="M51" s="26" t="str">
        <x:v>нестабильный ноль, дрейф, повреждение, невозможный результат, расхождение с контрольной точкой</x:v>
      </x:c>
      <x:c r="N51" s="26" t="str">
        <x:v>S2_TRAINED_SUPERVISED</x:v>
      </x:c>
      <x:c r="O51" s="26" t="str">
        <x:v>не превышать мощность; огнестойкая площадка и надзор</x:v>
      </x:c>
      <x:c r="P51" s="26" t="str">
        <x:v>резистивные certified loads</x:v>
      </x:c>
      <x:c r="Q51" s="26" t="str">
        <x:v>PSP-116</x:v>
      </x:c>
      <x:c r="R51" s="26" t="str">
        <x:v>CANDIDATE_NOT_INVENTORIED</x:v>
      </x:c>
      <x:c r="S51" s="26" t="str">
        <x:v>0.4</x:v>
      </x:c>
    </x:row>
    <x:row r="52">
      <x:c r="A52" s="53" t="str">
        <x:v>INS-049</x:v>
      </x:c>
      <x:c r="B52" s="53" t="str">
        <x:v>ELECTRICAL</x:v>
      </x:c>
      <x:c r="C52" s="53" t="str">
        <x:v>осциллограф low-voltage isolated use</x:v>
      </x:c>
      <x:c r="D52" s="53" t="str">
        <x:v>напряжение/время</x:v>
      </x:c>
      <x:c r="E52" s="53" t="str">
        <x:v>V|s|Hz</x:v>
      </x:c>
      <x:c r="F52" s="53" t="str">
        <x:v>TBD_PER_EXACT_TASK_AND_METHOD; не закупать/не применять по этой общей строке и не работать у края диапазона.</x:v>
      </x:c>
      <x:c r="G52" s="53" t="str">
        <x:v>TBD_PER_EXACT_TASK_AND_METHOD; правило 10:1 — только planning hint, не универсальная спецификация точности.</x:v>
      </x:c>
      <x:c r="H52" s="53" t="str">
        <x:v>internal cal output and service calibration</x:v>
      </x:c>
      <x:c r="I52" s="53" t="str">
        <x:v>TBD_PER_EXACT_INSTRUMENT: документированный эталон, контрольная точка или официальный сервис выбираются по методу/классу.</x:v>
      </x:c>
      <x:c r="J52" s="53" t="str">
        <x:v>BEFORE_CRITICAL_USE|AFTER_DAMAGE|ANNUAL_OR_MANUFACTURER</x:v>
      </x:c>
      <x:c r="K52" s="53" t="str">
        <x:v>чисто, сухо, защищено от удара/магнитов/температуры по manual</x:v>
      </x:c>
      <x:c r="L52" s="53" t="str">
        <x:v>визуальный осмотр, батарея/расходник, очистка, журнал offset и следующей проверки</x:v>
      </x:c>
      <x:c r="M52" s="53" t="str">
        <x:v>нестабильный ноль, дрейф, повреждение, невозможный результат, расхождение с контрольной точкой</x:v>
      </x:c>
      <x:c r="N52" s="53" t="str">
        <x:v>S2_TRAINED_SUPERVISED</x:v>
      </x:c>
      <x:c r="O52" s="53" t="str">
        <x:v>не подключать ground clip к сети/неизолированным опасным цепям</x:v>
      </x:c>
      <x:c r="P52" s="53" t="str">
        <x:v>logic analyzer/USB scope with limits</x:v>
      </x:c>
      <x:c r="Q52" s="53" t="str">
        <x:v>PSP-116</x:v>
      </x:c>
      <x:c r="R52" s="53" t="str">
        <x:v>CANDIDATE_NOT_INVENTORIED</x:v>
      </x:c>
      <x:c r="S52" s="53" t="str">
        <x:v>0.4</x:v>
      </x:c>
    </x:row>
    <x:row r="53">
      <x:c r="A53" s="26" t="str">
        <x:v>INS-050</x:v>
      </x:c>
      <x:c r="B53" s="26" t="str">
        <x:v>ELECTRICAL</x:v>
      </x:c>
      <x:c r="C53" s="26" t="str">
        <x:v>логический анализатор</x:v>
      </x:c>
      <x:c r="D53" s="26" t="str">
        <x:v>цифровой сигнал</x:v>
      </x:c>
      <x:c r="E53" s="26" t="str">
        <x:v>V logic|Hz</x:v>
      </x:c>
      <x:c r="F53" s="26" t="str">
        <x:v>TBD_PER_EXACT_TASK_AND_METHOD; не закупать/не применять по этой общей строке и не работать у края диапазона.</x:v>
      </x:c>
      <x:c r="G53" s="26" t="str">
        <x:v>TBD_PER_EXACT_TASK_AND_METHOD; правило 10:1 — только planning hint, не универсальная спецификация точности.</x:v>
      </x:c>
      <x:c r="H53" s="26" t="str">
        <x:v>known pattern generator</x:v>
      </x:c>
      <x:c r="I53" s="26" t="str">
        <x:v>TBD_PER_EXACT_INSTRUMENT: документированный эталон, контрольная точка или официальный сервис выбираются по методу/классу.</x:v>
      </x:c>
      <x:c r="J53" s="26" t="str">
        <x:v>BEFORE_CRITICAL_USE|AFTER_DAMAGE|ANNUAL_OR_MANUFACTURER</x:v>
      </x:c>
      <x:c r="K53" s="26" t="str">
        <x:v>чисто, сухо, защищено от удара/магнитов/температуры по manual</x:v>
      </x:c>
      <x:c r="L53" s="26" t="str">
        <x:v>визуальный осмотр, батарея/расходник, очистка, журнал offset и следующей проверки</x:v>
      </x:c>
      <x:c r="M53" s="26" t="str">
        <x:v>нестабильный ноль, дрейф, повреждение, невозможный результат, расхождение с контрольной точкой</x:v>
      </x:c>
      <x:c r="N53" s="26" t="str">
        <x:v>S1_LOW_RISK_HOUSEHOLD</x:v>
      </x:c>
      <x:c r="O53" s="26" t="str">
        <x:v>только безопасные logic levels</x:v>
      </x:c>
      <x:c r="P53" s="26" t="str">
        <x:v>software decoder and spare probes</x:v>
      </x:c>
      <x:c r="Q53" s="26" t="str">
        <x:v>PSP-116</x:v>
      </x:c>
      <x:c r="R53" s="26" t="str">
        <x:v>CANDIDATE_NOT_INVENTORIED</x:v>
      </x:c>
      <x:c r="S53" s="26" t="str">
        <x:v>0.4</x:v>
      </x:c>
    </x:row>
    <x:row r="54">
      <x:c r="A54" s="53" t="str">
        <x:v>INS-051</x:v>
      </x:c>
      <x:c r="B54" s="53" t="str">
        <x:v>ELECTRICAL</x:v>
      </x:c>
      <x:c r="C54" s="53" t="str">
        <x:v>LCR-метр</x:v>
      </x:c>
      <x:c r="D54" s="53" t="str">
        <x:v>R/L/C</x:v>
      </x:c>
      <x:c r="E54" s="53" t="str">
        <x:v>Ω|H|F</x:v>
      </x:c>
      <x:c r="F54" s="53" t="str">
        <x:v>TBD_PER_EXACT_TASK_AND_METHOD; не закупать/не применять по этой общей строке и не работать у края диапазона.</x:v>
      </x:c>
      <x:c r="G54" s="53" t="str">
        <x:v>TBD_PER_EXACT_TASK_AND_METHOD; правило 10:1 — только planning hint, не универсальная спецификация точности.</x:v>
      </x:c>
      <x:c r="H54" s="53" t="str">
        <x:v>open/short calibration and standards</x:v>
      </x:c>
      <x:c r="I54" s="53" t="str">
        <x:v>TBD_PER_EXACT_INSTRUMENT: документированный эталон, контрольная точка или официальный сервис выбираются по методу/классу.</x:v>
      </x:c>
      <x:c r="J54" s="53" t="str">
        <x:v>BEFORE_CRITICAL_USE|AFTER_DAMAGE|ANNUAL_OR_MANUFACTURER</x:v>
      </x:c>
      <x:c r="K54" s="53" t="str">
        <x:v>чисто, сухо, защищено от удара/магнитов/температуры по manual</x:v>
      </x:c>
      <x:c r="L54" s="53" t="str">
        <x:v>визуальный осмотр, батарея/расходник, очистка, журнал offset и следующей проверки</x:v>
      </x:c>
      <x:c r="M54" s="53" t="str">
        <x:v>нестабильный ноль, дрейф, повреждение, невозможный результат, расхождение с контрольной точкой</x:v>
      </x:c>
      <x:c r="N54" s="53" t="str">
        <x:v>S2_TRAINED_SUPERVISED</x:v>
      </x:c>
      <x:c r="O54" s="53" t="str">
        <x:v>только новые известные малые низковольтные учебные компоненты; неизвестные/извлечённые capacitors, power electronics и in-circuit measurement запрещены</x:v>
      </x:c>
      <x:c r="P54" s="53" t="str">
        <x:v>known low-energy components</x:v>
      </x:c>
      <x:c r="Q54" s="53" t="str">
        <x:v>PSP-116</x:v>
      </x:c>
      <x:c r="R54" s="53" t="str">
        <x:v>CANDIDATE_NOT_INVENTORIED</x:v>
      </x:c>
      <x:c r="S54" s="53" t="str">
        <x:v>0.4</x:v>
      </x:c>
    </x:row>
    <x:row r="55">
      <x:c r="A55" s="26" t="str">
        <x:v>INS-052</x:v>
      </x:c>
      <x:c r="B55" s="26" t="str">
        <x:v>ELECTRICAL</x:v>
      </x:c>
      <x:c r="C55" s="26" t="str">
        <x:v>низковольтный data logger</x:v>
      </x:c>
      <x:c r="D55" s="26" t="str">
        <x:v>сенсорный ряд</x:v>
      </x:c>
      <x:c r="E55" s="26" t="str">
        <x:v>SI by sensor</x:v>
      </x:c>
      <x:c r="F55" s="26" t="str">
        <x:v>TBD_PER_EXACT_TASK_AND_METHOD; не закупать/не применять по этой общей строке и не работать у края диапазона.</x:v>
      </x:c>
      <x:c r="G55" s="26" t="str">
        <x:v>TBD_PER_EXACT_TASK_AND_METHOD; правило 10:1 — только planning hint, не универсальная спецификация точности.</x:v>
      </x:c>
      <x:c r="H55" s="26" t="str">
        <x:v>reference points per channel and clock sync</x:v>
      </x:c>
      <x:c r="I55" s="26" t="str">
        <x:v>TBD_PER_EXACT_INSTRUMENT: документированный эталон, контрольная точка или официальный сервис выбираются по методу/классу.</x:v>
      </x:c>
      <x:c r="J55" s="26" t="str">
        <x:v>BEFORE_CRITICAL_USE|AFTER_DAMAGE|ANNUAL_OR_MANUFACTURER</x:v>
      </x:c>
      <x:c r="K55" s="26" t="str">
        <x:v>чисто, сухо, защищено от удара/магнитов/температуры по manual</x:v>
      </x:c>
      <x:c r="L55" s="26" t="str">
        <x:v>визуальный осмотр, батарея/расходник, очистка, журнал offset и следующей проверки</x:v>
      </x:c>
      <x:c r="M55" s="26" t="str">
        <x:v>нестабильный ноль, дрейф, повреждение, невозможный результат, расхождение с контрольной точкой</x:v>
      </x:c>
      <x:c r="N55" s="26" t="str">
        <x:v>S1_LOW_RISK_HOUSEHOLD</x:v>
      </x:c>
      <x:c r="O55" s="26" t="str">
        <x:v>не использовать для safety-critical control</x:v>
      </x:c>
      <x:c r="P55" s="26" t="str">
        <x:v>бумажный журнал/второй logger</x:v>
      </x:c>
      <x:c r="Q55" s="26" t="str">
        <x:v>PSP-116</x:v>
      </x:c>
      <x:c r="R55" s="26" t="str">
        <x:v>CANDIDATE_NOT_INVENTORIED</x:v>
      </x:c>
      <x:c r="S55" s="26" t="str">
        <x:v>0.4</x:v>
      </x:c>
    </x:row>
    <x:row r="56">
      <x:c r="A56" s="53" t="str">
        <x:v>INS-053</x:v>
      </x:c>
      <x:c r="B56" s="53" t="str">
        <x:v>ENERGY</x:v>
      </x:c>
      <x:c r="C56" s="53" t="str">
        <x:v>plug-in energy meter approved for EU socket</x:v>
      </x:c>
      <x:c r="D56" s="53" t="str">
        <x:v>мощность/энергия</x:v>
      </x:c>
      <x:c r="E56" s="53" t="str">
        <x:v>W|Wh</x:v>
      </x:c>
      <x:c r="F56" s="53" t="str">
        <x:v>TBD_PER_EXACT_TASK_AND_METHOD; не закупать/не применять по этой общей строке и не работать у края диапазона.</x:v>
      </x:c>
      <x:c r="G56" s="53" t="str">
        <x:v>TBD_PER_EXACT_TASK_AND_METHOD; правило 10:1 — только planning hint, не универсальная спецификация точности.</x:v>
      </x:c>
      <x:c r="H56" s="53" t="str">
        <x:v>reference load/service check</x:v>
      </x:c>
      <x:c r="I56" s="53" t="str">
        <x:v>TBD_PER_EXACT_INSTRUMENT: документированный эталон, контрольная точка или официальный сервис выбираются по методу/классу.</x:v>
      </x:c>
      <x:c r="J56" s="53" t="str">
        <x:v>BEFORE_CRITICAL_USE|AFTER_DAMAGE|ANNUAL_OR_MANUFACTURER</x:v>
      </x:c>
      <x:c r="K56" s="53" t="str">
        <x:v>чисто, сухо, защищено от удара/магнитов/температуры по manual</x:v>
      </x:c>
      <x:c r="L56" s="53" t="str">
        <x:v>визуальный осмотр, батарея/расходник, очистка, журнал offset и следующей проверки</x:v>
      </x:c>
      <x:c r="M56" s="53" t="str">
        <x:v>нестабильный ноль, дрейф, повреждение, невозможный результат, расхождение с контрольной точкой</x:v>
      </x:c>
      <x:c r="N56" s="53" t="str">
        <x:v>S2_TRAINED_SUPERVISED</x:v>
      </x:c>
      <x:c r="O56" s="53" t="str">
        <x:v>только штатное включение; не вскрывать и не использовать с повреждением</x:v>
      </x:c>
      <x:c r="P56" s="53" t="str">
        <x:v>utility meter trend/second unit</x:v>
      </x:c>
      <x:c r="Q56" s="53" t="str">
        <x:v>PSP-116</x:v>
      </x:c>
      <x:c r="R56" s="53" t="str">
        <x:v>CANDIDATE_NOT_INVENTORIED</x:v>
      </x:c>
      <x:c r="S56" s="53" t="str">
        <x:v>0.4</x:v>
      </x:c>
    </x:row>
    <x:row r="57">
      <x:c r="A57" s="26" t="str">
        <x:v>INS-054</x:v>
      </x:c>
      <x:c r="B57" s="26" t="str">
        <x:v>ENERGY</x:v>
      </x:c>
      <x:c r="C57" s="26" t="str">
        <x:v>solar irradiance reference cell/pyranometer</x:v>
      </x:c>
      <x:c r="D57" s="26" t="str">
        <x:v>облучённость</x:v>
      </x:c>
      <x:c r="E57" s="26" t="str">
        <x:v>W/m²</x:v>
      </x:c>
      <x:c r="F57" s="26" t="str">
        <x:v>TBD_PER_EXACT_TASK_AND_METHOD; не закупать/не применять по этой общей строке и не работать у края диапазона.</x:v>
      </x:c>
      <x:c r="G57" s="26" t="str">
        <x:v>TBD_PER_EXACT_TASK_AND_METHOD; правило 10:1 — только planning hint, не универсальная спецификация точности.</x:v>
      </x:c>
      <x:c r="H57" s="26" t="str">
        <x:v>manufacturer calibration and intercomparison</x:v>
      </x:c>
      <x:c r="I57" s="26" t="str">
        <x:v>TBD_PER_EXACT_INSTRUMENT: документированный эталон, контрольная точка или официальный сервис выбираются по методу/классу.</x:v>
      </x:c>
      <x:c r="J57" s="26" t="str">
        <x:v>BEFORE_CRITICAL_USE|AFTER_DAMAGE|ANNUAL_OR_MANUFACTURER</x:v>
      </x:c>
      <x:c r="K57" s="26" t="str">
        <x:v>чисто, сухо, защищено от удара/магнитов/температуры по manual</x:v>
      </x:c>
      <x:c r="L57" s="26" t="str">
        <x:v>визуальный осмотр, батарея/расходник, очистка, журнал offset и следующей проверки</x:v>
      </x:c>
      <x:c r="M57" s="26" t="str">
        <x:v>нестабильный ноль, дрейф, повреждение, невозможный результат, расхождение с контрольной точкой</x:v>
      </x:c>
      <x:c r="N57" s="26" t="str">
        <x:v>S2_TRAINED_SUPERVISED</x:v>
      </x:c>
      <x:c r="O57" s="26" t="str">
        <x:v>крыша/высота требует специалиста</x:v>
      </x:c>
      <x:c r="P57" s="26" t="str">
        <x:v>horizontal accessible reference point</x:v>
      </x:c>
      <x:c r="Q57" s="26" t="str">
        <x:v>PSP-116</x:v>
      </x:c>
      <x:c r="R57" s="26" t="str">
        <x:v>CANDIDATE_NOT_INVENTORIED</x:v>
      </x:c>
      <x:c r="S57" s="26" t="str">
        <x:v>0.4</x:v>
      </x:c>
    </x:row>
    <x:row r="58">
      <x:c r="A58" s="53" t="str">
        <x:v>INS-055</x:v>
      </x:c>
      <x:c r="B58" s="53" t="str">
        <x:v>MECHANICAL</x:v>
      </x:c>
      <x:c r="C58" s="53" t="str">
        <x:v>пружинный динамометр</x:v>
      </x:c>
      <x:c r="D58" s="53" t="str">
        <x:v>сила</x:v>
      </x:c>
      <x:c r="E58" s="53" t="str">
        <x:v>N</x:v>
      </x:c>
      <x:c r="F58" s="53" t="str">
        <x:v>TBD_PER_EXACT_TASK_AND_METHOD; не закупать/не применять по этой общей строке и не работать у края диапазона.</x:v>
      </x:c>
      <x:c r="G58" s="53" t="str">
        <x:v>TBD_PER_EXACT_TASK_AND_METHOD; правило 10:1 — только planning hint, не универсальная спецификация точности.</x:v>
      </x:c>
      <x:c r="H58" s="53" t="str">
        <x:v>known masses within local g and range</x:v>
      </x:c>
      <x:c r="I58" s="53" t="str">
        <x:v>TBD_PER_EXACT_INSTRUMENT: документированный эталон, контрольная точка или официальный сервис выбираются по методу/классу.</x:v>
      </x:c>
      <x:c r="J58" s="53" t="str">
        <x:v>BEFORE_CRITICAL_USE|AFTER_DAMAGE|ANNUAL_OR_MANUFACTURER</x:v>
      </x:c>
      <x:c r="K58" s="53" t="str">
        <x:v>чисто, сухо, защищено от удара/магнитов/температуры по manual</x:v>
      </x:c>
      <x:c r="L58" s="53" t="str">
        <x:v>визуальный осмотр, батарея/расходник, очистка, журнал offset и следующей проверки</x:v>
      </x:c>
      <x:c r="M58" s="53" t="str">
        <x:v>нестабильный ноль, дрейф, повреждение, невозможный результат, расхождение с контрольной точкой</x:v>
      </x:c>
      <x:c r="N58" s="53" t="str">
        <x:v>S1_LOW_RISK_HOUSEHOLD</x:v>
      </x:c>
      <x:c r="O58" s="53" t="str">
        <x:v>не поднимать людей/опасные грузы</x:v>
      </x:c>
      <x:c r="P58" s="53" t="str">
        <x:v>две шкалы</x:v>
      </x:c>
      <x:c r="Q58" s="53" t="str">
        <x:v>PSP-116</x:v>
      </x:c>
      <x:c r="R58" s="53" t="str">
        <x:v>CANDIDATE_NOT_INVENTORIED</x:v>
      </x:c>
      <x:c r="S58" s="53" t="str">
        <x:v>0.4</x:v>
      </x:c>
    </x:row>
    <x:row r="59">
      <x:c r="A59" s="26" t="str">
        <x:v>INS-056</x:v>
      </x:c>
      <x:c r="B59" s="26" t="str">
        <x:v>MECHANICAL</x:v>
      </x:c>
      <x:c r="C59" s="26" t="str">
        <x:v>динамометрический ключ</x:v>
      </x:c>
      <x:c r="D59" s="26" t="str">
        <x:v>момент</x:v>
      </x:c>
      <x:c r="E59" s="26" t="str">
        <x:v>N·m</x:v>
      </x:c>
      <x:c r="F59" s="26" t="str">
        <x:v>TBD_PER_EXACT_TASK_AND_METHOD; не закупать/не применять по этой общей строке и не работать у края диапазона.</x:v>
      </x:c>
      <x:c r="G59" s="26" t="str">
        <x:v>TBD_PER_EXACT_TASK_AND_METHOD; правило 10:1 — только planning hint, не универсальная спецификация точности.</x:v>
      </x:c>
      <x:c r="H59" s="26" t="str">
        <x:v>accredited calibration and exercise/storage at minimum setting</x:v>
      </x:c>
      <x:c r="I59" s="26" t="str">
        <x:v>TBD_PER_EXACT_INSTRUMENT: документированный эталон, контрольная точка или официальный сервис выбираются по методу/классу.</x:v>
      </x:c>
      <x:c r="J59" s="26" t="str">
        <x:v>BEFORE_CRITICAL_USE|AFTER_DAMAGE|ANNUAL_OR_MANUFACTURER</x:v>
      </x:c>
      <x:c r="K59" s="26" t="str">
        <x:v>чисто, сухо, защищено от удара/магнитов/температуры по manual</x:v>
      </x:c>
      <x:c r="L59" s="26" t="str">
        <x:v>визуальный осмотр, батарея/расходник, очистка, журнал offset и следующей проверки</x:v>
      </x:c>
      <x:c r="M59" s="26" t="str">
        <x:v>нестабильный ноль, дрейф, повреждение, невозможный результат, расхождение с контрольной точкой</x:v>
      </x:c>
      <x:c r="N59" s="26" t="str">
        <x:v>S2_TRAINED_SUPERVISED</x:v>
      </x:c>
      <x:c r="O59" s="26" t="str">
        <x:v>не использовать как breaker bar; safety fasteners by spec</x:v>
      </x:c>
      <x:c r="P59" s="26" t="str">
        <x:v>второй диапазон/service</x:v>
      </x:c>
      <x:c r="Q59" s="26" t="str">
        <x:v>PSP-116</x:v>
      </x:c>
      <x:c r="R59" s="26" t="str">
        <x:v>CANDIDATE_NOT_INVENTORIED</x:v>
      </x:c>
      <x:c r="S59" s="26" t="str">
        <x:v>0.4</x:v>
      </x:c>
    </x:row>
    <x:row r="60">
      <x:c r="A60" s="53" t="str">
        <x:v>INS-057</x:v>
      </x:c>
      <x:c r="B60" s="53" t="str">
        <x:v>MECHANICAL</x:v>
      </x:c>
      <x:c r="C60" s="53" t="str">
        <x:v>тахометр оптический</x:v>
      </x:c>
      <x:c r="D60" s="53" t="str">
        <x:v>частота вращения</x:v>
      </x:c>
      <x:c r="E60" s="53" t="str">
        <x:v>rpm</x:v>
      </x:c>
      <x:c r="F60" s="53" t="str">
        <x:v>TBD_PER_EXACT_TASK_AND_METHOD; не закупать/не применять по этой общей строке и не работать у края диапазона.</x:v>
      </x:c>
      <x:c r="G60" s="53" t="str">
        <x:v>TBD_PER_EXACT_TASK_AND_METHOD; правило 10:1 — только planning hint, не универсальная спецификация точности.</x:v>
      </x:c>
      <x:c r="H60" s="53" t="str">
        <x:v>reflective target on safe trainer/known source</x:v>
      </x:c>
      <x:c r="I60" s="53" t="str">
        <x:v>TBD_PER_EXACT_INSTRUMENT: документированный эталон, контрольная точка или официальный сервис выбираются по методу/классу.</x:v>
      </x:c>
      <x:c r="J60" s="53" t="str">
        <x:v>BEFORE_CRITICAL_USE|AFTER_DAMAGE|ANNUAL_OR_MANUFACTURER</x:v>
      </x:c>
      <x:c r="K60" s="53" t="str">
        <x:v>чисто, сухо, защищено от удара/магнитов/температуры по manual</x:v>
      </x:c>
      <x:c r="L60" s="53" t="str">
        <x:v>визуальный осмотр, батарея/расходник, очистка, журнал offset и следующей проверки</x:v>
      </x:c>
      <x:c r="M60" s="53" t="str">
        <x:v>нестабильный ноль, дрейф, повреждение, невозможный результат, расхождение с контрольной точкой</x:v>
      </x:c>
      <x:c r="N60" s="53" t="str">
        <x:v>S2_TRAINED_SUPERVISED</x:v>
      </x:c>
      <x:c r="O60" s="53" t="str">
        <x:v>ограждение; не приближаться к вращающимся деталям</x:v>
      </x:c>
      <x:c r="P60" s="53" t="str">
        <x:v>video analysis</x:v>
      </x:c>
      <x:c r="Q60" s="53" t="str">
        <x:v>PSP-116</x:v>
      </x:c>
      <x:c r="R60" s="53" t="str">
        <x:v>CANDIDATE_NOT_INVENTORIED</x:v>
      </x:c>
      <x:c r="S60" s="53" t="str">
        <x:v>0.4</x:v>
      </x:c>
    </x:row>
    <x:row r="61">
      <x:c r="A61" s="26" t="str">
        <x:v>INS-058</x:v>
      </x:c>
      <x:c r="B61" s="26" t="str">
        <x:v>MECHANICAL</x:v>
      </x:c>
      <x:c r="C61" s="26" t="str">
        <x:v>виброметр</x:v>
      </x:c>
      <x:c r="D61" s="26" t="str">
        <x:v>ускорение/скорость</x:v>
      </x:c>
      <x:c r="E61" s="26" t="str">
        <x:v>m/s²|mm/s</x:v>
      </x:c>
      <x:c r="F61" s="26" t="str">
        <x:v>TBD_PER_EXACT_TASK_AND_METHOD; не закупать/не применять по этой общей строке и не работать у края диапазона.</x:v>
      </x:c>
      <x:c r="G61" s="26" t="str">
        <x:v>TBD_PER_EXACT_TASK_AND_METHOD; правило 10:1 — только planning hint, не универсальная спецификация точности.</x:v>
      </x:c>
      <x:c r="H61" s="26" t="str">
        <x:v>calibrator/service and fixed mounting protocol</x:v>
      </x:c>
      <x:c r="I61" s="26" t="str">
        <x:v>TBD_PER_EXACT_INSTRUMENT: документированный эталон, контрольная точка или официальный сервис выбираются по методу/классу.</x:v>
      </x:c>
      <x:c r="J61" s="26" t="str">
        <x:v>BEFORE_CRITICAL_USE|AFTER_DAMAGE|ANNUAL_OR_MANUFACTURER</x:v>
      </x:c>
      <x:c r="K61" s="26" t="str">
        <x:v>чисто, сухо, защищено от удара/магнитов/температуры по manual</x:v>
      </x:c>
      <x:c r="L61" s="26" t="str">
        <x:v>визуальный осмотр, батарея/расходник, очистка, журнал offset и следующей проверки</x:v>
      </x:c>
      <x:c r="M61" s="26" t="str">
        <x:v>нестабильный ноль, дрейф, повреждение, невозможный результат, расхождение с контрольной точкой</x:v>
      </x:c>
      <x:c r="N61" s="26" t="str">
        <x:v>S2_TRAINED_SUPERVISED</x:v>
      </x:c>
      <x:c r="O61" s="26" t="str">
        <x:v>не приближаться к неограждённому механизму</x:v>
      </x:c>
      <x:c r="P61" s="26" t="str">
        <x:v>trend by same sensor</x:v>
      </x:c>
      <x:c r="Q61" s="26" t="str">
        <x:v>PSP-116</x:v>
      </x:c>
      <x:c r="R61" s="26" t="str">
        <x:v>CANDIDATE_NOT_INVENTORIED</x:v>
      </x:c>
      <x:c r="S61" s="26" t="str">
        <x:v>0.4</x:v>
      </x:c>
    </x:row>
    <x:row r="62">
      <x:c r="A62" s="53" t="str">
        <x:v>INS-059</x:v>
      </x:c>
      <x:c r="B62" s="53" t="str">
        <x:v>MECHANICAL</x:v>
      </x:c>
      <x:c r="C62" s="53" t="str">
        <x:v>feeler gauge</x:v>
      </x:c>
      <x:c r="D62" s="53" t="str">
        <x:v>зазор</x:v>
      </x:c>
      <x:c r="E62" s="53" t="str">
        <x:v>mm</x:v>
      </x:c>
      <x:c r="F62" s="53" t="str">
        <x:v>TBD_PER_EXACT_TASK_AND_METHOD; не закупать/не применять по этой общей строке и не работать у края диапазона.</x:v>
      </x:c>
      <x:c r="G62" s="53" t="str">
        <x:v>TBD_PER_EXACT_TASK_AND_METHOD; правило 10:1 — только planning hint, не универсальная спецификация точности.</x:v>
      </x:c>
      <x:c r="H62" s="53" t="str">
        <x:v>cleanliness and comparison/reference block</x:v>
      </x:c>
      <x:c r="I62" s="53" t="str">
        <x:v>TBD_PER_EXACT_INSTRUMENT: документированный эталон, контрольная точка или официальный сервис выбираются по методу/классу.</x:v>
      </x:c>
      <x:c r="J62" s="53" t="str">
        <x:v>BEFORE_CRITICAL_USE|AFTER_DAMAGE|ANNUAL_OR_MANUFACTURER</x:v>
      </x:c>
      <x:c r="K62" s="53" t="str">
        <x:v>чисто, сухо, защищено от удара/магнитов/температуры по manual</x:v>
      </x:c>
      <x:c r="L62" s="53" t="str">
        <x:v>визуальный осмотр, батарея/расходник, очистка, журнал offset и следующей проверки</x:v>
      </x:c>
      <x:c r="M62" s="53" t="str">
        <x:v>нестабильный ноль, дрейф, повреждение, невозможный результат, расхождение с контрольной точкой</x:v>
      </x:c>
      <x:c r="N62" s="53" t="str">
        <x:v>S2_TRAINED_SUPERVISED</x:v>
      </x:c>
      <x:c r="O62" s="53" t="str">
        <x:v>только остановленное/изолированное оборудование</x:v>
      </x:c>
      <x:c r="P62" s="53" t="str">
        <x:v>duplicate set</x:v>
      </x:c>
      <x:c r="Q62" s="53" t="str">
        <x:v>PSP-116</x:v>
      </x:c>
      <x:c r="R62" s="53" t="str">
        <x:v>CANDIDATE_NOT_INVENTORIED</x:v>
      </x:c>
      <x:c r="S62" s="53" t="str">
        <x:v>0.4</x:v>
      </x:c>
    </x:row>
    <x:row r="63">
      <x:c r="A63" s="26" t="str">
        <x:v>INS-060</x:v>
      </x:c>
      <x:c r="B63" s="26" t="str">
        <x:v>MECHANICAL</x:v>
      </x:c>
      <x:c r="C63" s="26" t="str">
        <x:v>thread pitch gauge</x:v>
      </x:c>
      <x:c r="D63" s="26" t="str">
        <x:v>шаг резьбы</x:v>
      </x:c>
      <x:c r="E63" s="26" t="str">
        <x:v>mm|TPI</x:v>
      </x:c>
      <x:c r="F63" s="26" t="str">
        <x:v>TBD_PER_EXACT_TASK_AND_METHOD; не закупать/не применять по этой общей строке и не работать у края диапазона.</x:v>
      </x:c>
      <x:c r="G63" s="26" t="str">
        <x:v>TBD_PER_EXACT_TASK_AND_METHOD; правило 10:1 — только planning hint, не универсальная спецификация точности.</x:v>
      </x:c>
      <x:c r="H63" s="26" t="str">
        <x:v>known fastener/reference chart</x:v>
      </x:c>
      <x:c r="I63" s="26" t="str">
        <x:v>TBD_PER_EXACT_INSTRUMENT: документированный эталон, контрольная точка или официальный сервис выбираются по методу/классу.</x:v>
      </x:c>
      <x:c r="J63" s="26" t="str">
        <x:v>BEFORE_CRITICAL_USE|AFTER_DAMAGE|ANNUAL_OR_MANUFACTURER</x:v>
      </x:c>
      <x:c r="K63" s="26" t="str">
        <x:v>чисто, сухо, защищено от удара/магнитов/температуры по manual</x:v>
      </x:c>
      <x:c r="L63" s="26" t="str">
        <x:v>визуальный осмотр, батарея/расходник, очистка, журнал offset и следующей проверки</x:v>
      </x:c>
      <x:c r="M63" s="26" t="str">
        <x:v>нестабильный ноль, дрейф, повреждение, невозможный результат, расхождение с контрольной точкой</x:v>
      </x:c>
      <x:c r="N63" s="26" t="str">
        <x:v>S1_LOW_RISK_HOUSEHOLD</x:v>
      </x:c>
      <x:c r="O63" s="26" t="str">
        <x:v>не применять к вращающейся детали</x:v>
      </x:c>
      <x:c r="P63" s="26" t="str">
        <x:v>printable chart/caliper</x:v>
      </x:c>
      <x:c r="Q63" s="26" t="str">
        <x:v>PSP-116</x:v>
      </x:c>
      <x:c r="R63" s="26" t="str">
        <x:v>CANDIDATE_NOT_INVENTORIED</x:v>
      </x:c>
      <x:c r="S63" s="26" t="str">
        <x:v>0.4</x:v>
      </x:c>
    </x:row>
    <x:row r="64">
      <x:c r="A64" s="53" t="str">
        <x:v>INS-061</x:v>
      </x:c>
      <x:c r="B64" s="53" t="str">
        <x:v>NAVIGATION</x:v>
      </x:c>
      <x:c r="C64" s="53" t="str">
        <x:v>магнитный компас</x:v>
      </x:c>
      <x:c r="D64" s="53" t="str">
        <x:v>азимут</x:v>
      </x:c>
      <x:c r="E64" s="53" t="str">
        <x:v>degree</x:v>
      </x:c>
      <x:c r="F64" s="53" t="str">
        <x:v>TBD_PER_EXACT_TASK_AND_METHOD; не закупать/не применять по этой общей строке и не работать у края диапазона.</x:v>
      </x:c>
      <x:c r="G64" s="53" t="str">
        <x:v>TBD_PER_EXACT_TASK_AND_METHOD; правило 10:1 — только planning hint, не универсальная спецификация точности.</x:v>
      </x:c>
      <x:c r="H64" s="53" t="str">
        <x:v>known line/reversal, declination date and interference check</x:v>
      </x:c>
      <x:c r="I64" s="53" t="str">
        <x:v>TBD_PER_EXACT_INSTRUMENT: документированный эталон, контрольная точка или официальный сервис выбираются по методу/классу.</x:v>
      </x:c>
      <x:c r="J64" s="53" t="str">
        <x:v>BEFORE_CRITICAL_USE|AFTER_DAMAGE|ANNUAL_OR_MANUFACTURER</x:v>
      </x:c>
      <x:c r="K64" s="53" t="str">
        <x:v>чисто, сухо, защищено от удара/магнитов/температуры по manual</x:v>
      </x:c>
      <x:c r="L64" s="53" t="str">
        <x:v>визуальный осмотр, батарея/расходник, очистка, журнал offset и следующей проверки</x:v>
      </x:c>
      <x:c r="M64" s="53" t="str">
        <x:v>нестабильный ноль, дрейф, повреждение, невозможный результат, расхождение с контрольной точкой</x:v>
      </x:c>
      <x:c r="N64" s="53" t="str">
        <x:v>S1_LOW_RISK_HOUSEHOLD</x:v>
      </x:c>
      <x:c r="O64" s="53" t="str">
        <x:v>не использовать рядом с сильными магнитами; one instrument is not route safety</x:v>
      </x:c>
      <x:c r="P64" s="53" t="str">
        <x:v>два компаса и бумажная карта</x:v>
      </x:c>
      <x:c r="Q64" s="53" t="str">
        <x:v>PSP-116</x:v>
      </x:c>
      <x:c r="R64" s="53" t="str">
        <x:v>CANDIDATE_NOT_INVENTORIED</x:v>
      </x:c>
      <x:c r="S64" s="53" t="str">
        <x:v>0.4</x:v>
      </x:c>
    </x:row>
    <x:row r="65">
      <x:c r="A65" s="26" t="str">
        <x:v>INS-062</x:v>
      </x:c>
      <x:c r="B65" s="26" t="str">
        <x:v>NAVIGATION</x:v>
      </x:c>
      <x:c r="C65" s="26" t="str">
        <x:v>GNSS receiver</x:v>
      </x:c>
      <x:c r="D65" s="26" t="str">
        <x:v>координаты/время</x:v>
      </x:c>
      <x:c r="E65" s="26" t="str">
        <x:v>lat/lon/height/time</x:v>
      </x:c>
      <x:c r="F65" s="26" t="str">
        <x:v>TBD_PER_EXACT_TASK_AND_METHOD; не закупать/не применять по этой общей строке и не работать у края диапазона.</x:v>
      </x:c>
      <x:c r="G65" s="26" t="str">
        <x:v>TBD_PER_EXACT_TASK_AND_METHOD; правило 10:1 — только planning hint, не универсальная спецификация точности.</x:v>
      </x:c>
      <x:c r="H65" s="26" t="str">
        <x:v>known control point and multi-fix comparison</x:v>
      </x:c>
      <x:c r="I65" s="26" t="str">
        <x:v>TBD_PER_EXACT_INSTRUMENT: документированный эталон, контрольная точка или официальный сервис выбираются по методу/классу.</x:v>
      </x:c>
      <x:c r="J65" s="26" t="str">
        <x:v>BEFORE_CRITICAL_USE|AFTER_DAMAGE|ANNUAL_OR_MANUFACTURER</x:v>
      </x:c>
      <x:c r="K65" s="26" t="str">
        <x:v>чисто, сухо, защищено от удара/магнитов/температуры по manual</x:v>
      </x:c>
      <x:c r="L65" s="26" t="str">
        <x:v>визуальный осмотр, батарея/расходник, очистка, журнал offset и следующей проверки</x:v>
      </x:c>
      <x:c r="M65" s="26" t="str">
        <x:v>нестабильный ноль, дрейф, повреждение, невозможный результат, расхождение с контрольной точкой</x:v>
      </x:c>
      <x:c r="N65" s="26" t="str">
        <x:v>S1_LOW_RISK_HOUSEHOLD</x:v>
      </x:c>
      <x:c r="O65" s="26" t="str">
        <x:v>координата не доказывает проходимость/безопасность</x:v>
      </x:c>
      <x:c r="P65" s="26" t="str">
        <x:v>phone + standalone + paper</x:v>
      </x:c>
      <x:c r="Q65" s="26" t="str">
        <x:v>PSP-116</x:v>
      </x:c>
      <x:c r="R65" s="26" t="str">
        <x:v>CANDIDATE_NOT_INVENTORIED</x:v>
      </x:c>
      <x:c r="S65" s="26" t="str">
        <x:v>0.4</x:v>
      </x:c>
    </x:row>
    <x:row r="66">
      <x:c r="A66" s="53" t="str">
        <x:v>INS-063</x:v>
      </x:c>
      <x:c r="B66" s="53" t="str">
        <x:v>NAVIGATION</x:v>
      </x:c>
      <x:c r="C66" s="53" t="str">
        <x:v>лазерный дальномер Class 2 or safer</x:v>
      </x:c>
      <x:c r="D66" s="53" t="str">
        <x:v>длина</x:v>
      </x:c>
      <x:c r="E66" s="53" t="str">
        <x:v>m</x:v>
      </x:c>
      <x:c r="F66" s="53" t="str">
        <x:v>TBD_PER_EXACT_TASK_AND_METHOD; не закупать/не применять по этой общей строке и не работать у края диапазона.</x:v>
      </x:c>
      <x:c r="G66" s="53" t="str">
        <x:v>TBD_PER_EXACT_TASK_AND_METHOD; правило 10:1 — только planning hint, не универсальная спецификация точности.</x:v>
      </x:c>
      <x:c r="H66" s="53" t="str">
        <x:v>known baseline and battery check</x:v>
      </x:c>
      <x:c r="I66" s="53" t="str">
        <x:v>TBD_PER_EXACT_INSTRUMENT: документированный эталон, контрольная точка или официальный сервис выбираются по методу/классу.</x:v>
      </x:c>
      <x:c r="J66" s="53" t="str">
        <x:v>BEFORE_CRITICAL_USE|AFTER_DAMAGE|ANNUAL_OR_MANUFACTURER</x:v>
      </x:c>
      <x:c r="K66" s="53" t="str">
        <x:v>чисто, сухо, защищено от удара/магнитов/температуры по manual</x:v>
      </x:c>
      <x:c r="L66" s="53" t="str">
        <x:v>визуальный осмотр, батарея/расходник, очистка, журнал offset и следующей проверки</x:v>
      </x:c>
      <x:c r="M66" s="53" t="str">
        <x:v>нестабильный ноль, дрейф, повреждение, невозможный результат, расхождение с контрольной точкой</x:v>
      </x:c>
      <x:c r="N66" s="53" t="str">
        <x:v>S2_TRAINED_SUPERVISED</x:v>
      </x:c>
      <x:c r="O66" s="53" t="str">
        <x:v>не направлять в глаза/транспорт; соблюдать класс лазера</x:v>
      </x:c>
      <x:c r="P66" s="53" t="str">
        <x:v>рулетка</x:v>
      </x:c>
      <x:c r="Q66" s="53" t="str">
        <x:v>PSP-116</x:v>
      </x:c>
      <x:c r="R66" s="53" t="str">
        <x:v>CANDIDATE_NOT_INVENTORIED</x:v>
      </x:c>
      <x:c r="S66" s="53" t="str">
        <x:v>0.4</x:v>
      </x:c>
    </x:row>
    <x:row r="67">
      <x:c r="A67" s="26" t="str">
        <x:v>INS-064</x:v>
      </x:c>
      <x:c r="B67" s="26" t="str">
        <x:v>NAVIGATION</x:v>
      </x:c>
      <x:c r="C67" s="26" t="str">
        <x:v>оптический нивелир/рейка</x:v>
      </x:c>
      <x:c r="D67" s="26" t="str">
        <x:v>перепад высоты</x:v>
      </x:c>
      <x:c r="E67" s="26" t="str">
        <x:v>mm|m</x:v>
      </x:c>
      <x:c r="F67" s="26" t="str">
        <x:v>TBD_PER_EXACT_TASK_AND_METHOD; не закупать/не применять по этой общей строке и не работать у края диапазона.</x:v>
      </x:c>
      <x:c r="G67" s="26" t="str">
        <x:v>TBD_PER_EXACT_TASK_AND_METHOD; правило 10:1 — только planning hint, не универсальная спецификация точности.</x:v>
      </x:c>
      <x:c r="H67" s="26" t="str">
        <x:v>two-peg test and closure</x:v>
      </x:c>
      <x:c r="I67" s="26" t="str">
        <x:v>TBD_PER_EXACT_INSTRUMENT: документированный эталон, контрольная точка или официальный сервис выбираются по методу/классу.</x:v>
      </x:c>
      <x:c r="J67" s="26" t="str">
        <x:v>BEFORE_CRITICAL_USE|AFTER_DAMAGE|ANNUAL_OR_MANUFACTURER</x:v>
      </x:c>
      <x:c r="K67" s="26" t="str">
        <x:v>чисто, сухо, защищено от удара/магнитов/температуры по manual</x:v>
      </x:c>
      <x:c r="L67" s="26" t="str">
        <x:v>визуальный осмотр, батарея/расходник, очистка, журнал offset и следующей проверки</x:v>
      </x:c>
      <x:c r="M67" s="26" t="str">
        <x:v>нестабильный ноль, дрейф, повреждение, невозможный результат, расхождение с контрольной точкой</x:v>
      </x:c>
      <x:c r="N67" s="26" t="str">
        <x:v>S2_TRAINED_SUPERVISED</x:v>
      </x:c>
      <x:c r="O67" s="26" t="str">
        <x:v>штатив вне движения/краёв; не смотреть на Солнце</x:v>
      </x:c>
      <x:c r="P67" s="26" t="str">
        <x:v>water level for small safe tasks</x:v>
      </x:c>
      <x:c r="Q67" s="26" t="str">
        <x:v>PSP-116</x:v>
      </x:c>
      <x:c r="R67" s="26" t="str">
        <x:v>CANDIDATE_NOT_INVENTORIED</x:v>
      </x:c>
      <x:c r="S67" s="26" t="str">
        <x:v>0.4</x:v>
      </x:c>
    </x:row>
    <x:row r="68">
      <x:c r="A68" s="53" t="str">
        <x:v>INS-065</x:v>
      </x:c>
      <x:c r="B68" s="53" t="str">
        <x:v>COMPUTING</x:v>
      </x:c>
      <x:c r="C68" s="53" t="str">
        <x:v>два независимых hash-инструмента</x:v>
      </x:c>
      <x:c r="D68" s="53" t="str">
        <x:v>fixity</x:v>
      </x:c>
      <x:c r="E68" s="53" t="str">
        <x:v>SHA-256</x:v>
      </x:c>
      <x:c r="F68" s="53" t="str">
        <x:v>TBD_PER_EXACT_TASK_AND_METHOD; не закупать/не применять по этой общей строке и не работать у края диапазона.</x:v>
      </x:c>
      <x:c r="G68" s="53" t="str">
        <x:v>TBD_PER_EXACT_TASK_AND_METHOD; правило 10:1 — только planning hint, не универсальная спецификация точности.</x:v>
      </x:c>
      <x:c r="H68" s="53" t="str">
        <x:v>test vectors and cross-tool comparison</x:v>
      </x:c>
      <x:c r="I68" s="53" t="str">
        <x:v>TBD_PER_EXACT_INSTRUMENT: документированный эталон, контрольная точка или официальный сервис выбираются по методу/классу.</x:v>
      </x:c>
      <x:c r="J68" s="53" t="str">
        <x:v>BEFORE_CRITICAL_USE|AFTER_DAMAGE|ANNUAL_OR_MANUFACTURER</x:v>
      </x:c>
      <x:c r="K68" s="53" t="str">
        <x:v>чисто, сухо, защищено от удара/магнитов/температуры по manual</x:v>
      </x:c>
      <x:c r="L68" s="53" t="str">
        <x:v>визуальный осмотр, батарея/расходник, очистка, журнал offset и следующей проверки</x:v>
      </x:c>
      <x:c r="M68" s="53" t="str">
        <x:v>нестабильный ноль, дрейф, повреждение, невозможный результат, расхождение с контрольной точкой</x:v>
      </x:c>
      <x:c r="N68" s="53" t="str">
        <x:v>S0_OBSERVE_READ</x:v>
      </x:c>
      <x:c r="O68" s="53" t="str">
        <x:v>hash не доказывает безопасность/правдивость содержимого</x:v>
      </x:c>
      <x:c r="P68" s="53" t="str">
        <x:v>printed checksums and alternate OS</x:v>
      </x:c>
      <x:c r="Q68" s="53" t="str">
        <x:v>PSP-116</x:v>
      </x:c>
      <x:c r="R68" s="53" t="str">
        <x:v>CANDIDATE_NOT_INVENTORIED</x:v>
      </x:c>
      <x:c r="S68" s="53" t="str">
        <x:v>0.4</x:v>
      </x:c>
    </x:row>
    <x:row r="69">
      <x:c r="A69" s="26" t="str">
        <x:v>INS-066</x:v>
      </x:c>
      <x:c r="B69" s="26" t="str">
        <x:v>COMPUTING</x:v>
      </x:c>
      <x:c r="C69" s="26" t="str">
        <x:v>offline clock/source-of-truth appliance</x:v>
      </x:c>
      <x:c r="D69" s="26" t="str">
        <x:v>время/version</x:v>
      </x:c>
      <x:c r="E69" s="26" t="str">
        <x:v>UTC/ISO-8601</x:v>
      </x:c>
      <x:c r="F69" s="26" t="str">
        <x:v>TBD_PER_EXACT_TASK_AND_METHOD; не закупать/не применять по этой общей строке и не работать у края диапазона.</x:v>
      </x:c>
      <x:c r="G69" s="26" t="str">
        <x:v>TBD_PER_EXACT_TASK_AND_METHOD; правило 10:1 — только planning hint, не универсальная спецификация точности.</x:v>
      </x:c>
      <x:c r="H69" s="26" t="str">
        <x:v>compare against multiple sources before disconnect</x:v>
      </x:c>
      <x:c r="I69" s="26" t="str">
        <x:v>TBD_PER_EXACT_INSTRUMENT: документированный эталон, контрольная точка или официальный сервис выбираются по методу/классу.</x:v>
      </x:c>
      <x:c r="J69" s="26" t="str">
        <x:v>BEFORE_CRITICAL_USE|AFTER_DAMAGE|ANNUAL_OR_MANUFACTURER</x:v>
      </x:c>
      <x:c r="K69" s="26" t="str">
        <x:v>чисто, сухо, защищено от удара/магнитов/температуры по manual</x:v>
      </x:c>
      <x:c r="L69" s="26" t="str">
        <x:v>визуальный осмотр, батарея/расходник, очистка, журнал offset и следующей проверки</x:v>
      </x:c>
      <x:c r="M69" s="26" t="str">
        <x:v>нестабильный ноль, дрейф, повреждение, невозможный результат, расхождение с контрольной точкой</x:v>
      </x:c>
      <x:c r="N69" s="26" t="str">
        <x:v>S1_LOW_RISK_HOUSEHOLD</x:v>
      </x:c>
      <x:c r="O69" s="26" t="str">
        <x:v>не считать время юридически прослеживаемым без соответствующей службы</x:v>
      </x:c>
      <x:c r="P69" s="26" t="str">
        <x:v>mechanical/quartz logs</x:v>
      </x:c>
      <x:c r="Q69" s="26" t="str">
        <x:v>PSP-116</x:v>
      </x:c>
      <x:c r="R69" s="26" t="str">
        <x:v>CANDIDATE_NOT_INVENTORIED</x:v>
      </x:c>
      <x:c r="S69" s="26" t="str">
        <x:v>0.4</x:v>
      </x:c>
    </x:row>
    <x:row r="70">
      <x:c r="A70" s="53" t="str">
        <x:v>INS-067</x:v>
      </x:c>
      <x:c r="B70" s="53" t="str">
        <x:v>ARCHIVE</x:v>
      </x:c>
      <x:c r="C70" s="53" t="str">
        <x:v>оптический/штрихкод сканер</x:v>
      </x:c>
      <x:c r="D70" s="53" t="str">
        <x:v>идентификатор</x:v>
      </x:c>
      <x:c r="E70" s="53" t="str">
        <x:v>text/check digit</x:v>
      </x:c>
      <x:c r="F70" s="53" t="str">
        <x:v>TBD_PER_EXACT_TASK_AND_METHOD; не закупать/не применять по этой общей строке и не работать у края диапазона.</x:v>
      </x:c>
      <x:c r="G70" s="53" t="str">
        <x:v>TBD_PER_EXACT_TASK_AND_METHOD; правило 10:1 — только planning hint, не универсальная спецификация точности.</x:v>
      </x:c>
      <x:c r="H70" s="53" t="str">
        <x:v>known test sheet and checksum validation</x:v>
      </x:c>
      <x:c r="I70" s="53" t="str">
        <x:v>TBD_PER_EXACT_INSTRUMENT: документированный эталон, контрольная точка или официальный сервис выбираются по методу/классу.</x:v>
      </x:c>
      <x:c r="J70" s="53" t="str">
        <x:v>BEFORE_CRITICAL_USE|AFTER_DAMAGE|ANNUAL_OR_MANUFACTURER</x:v>
      </x:c>
      <x:c r="K70" s="53" t="str">
        <x:v>чисто, сухо, защищено от удара/магнитов/температуры по manual</x:v>
      </x:c>
      <x:c r="L70" s="53" t="str">
        <x:v>визуальный осмотр, батарея/расходник, очистка, журнал offset и следующей проверки</x:v>
      </x:c>
      <x:c r="M70" s="53" t="str">
        <x:v>нестабильный ноль, дрейф, повреждение, невозможный результат, расхождение с контрольной точкой</x:v>
      </x:c>
      <x:c r="N70" s="53" t="str">
        <x:v>S1_LOW_RISK_HOUSEHOLD</x:v>
      </x:c>
      <x:c r="O70" s="53" t="str">
        <x:v>не кодировать секреты в открытые labels</x:v>
      </x:c>
      <x:c r="P70" s="53" t="str">
        <x:v>manual typed ID</x:v>
      </x:c>
      <x:c r="Q70" s="53" t="str">
        <x:v>PSP-116</x:v>
      </x:c>
      <x:c r="R70" s="53" t="str">
        <x:v>CANDIDATE_NOT_INVENTORIED</x:v>
      </x:c>
      <x:c r="S70" s="53" t="str">
        <x:v>0.4</x:v>
      </x:c>
    </x:row>
    <x:row r="71">
      <x:c r="A71" s="26" t="str">
        <x:v>INS-068</x:v>
      </x:c>
      <x:c r="B71" s="26" t="str">
        <x:v>ARCHIVE</x:v>
      </x:c>
      <x:c r="C71" s="26" t="str">
        <x:v>документ-сканер</x:v>
      </x:c>
      <x:c r="D71" s="26" t="str">
        <x:v>изображение/OCR</x:v>
      </x:c>
      <x:c r="E71" s="26" t="str">
        <x:v>dpi|pixel</x:v>
      </x:c>
      <x:c r="F71" s="26" t="str">
        <x:v>TBD_PER_EXACT_TASK_AND_METHOD; не закупать/не применять по этой общей строке и не работать у края диапазона.</x:v>
      </x:c>
      <x:c r="G71" s="26" t="str">
        <x:v>TBD_PER_EXACT_TASK_AND_METHOD; правило 10:1 — только planning hint, не универсальная спецификация точности.</x:v>
      </x:c>
      <x:c r="H71" s="26" t="str">
        <x:v>resolution target, color/scale card and page-count reconciliation</x:v>
      </x:c>
      <x:c r="I71" s="26" t="str">
        <x:v>TBD_PER_EXACT_INSTRUMENT: документированный эталон, контрольная точка или официальный сервис выбираются по методу/классу.</x:v>
      </x:c>
      <x:c r="J71" s="26" t="str">
        <x:v>BEFORE_CRITICAL_USE|AFTER_DAMAGE|ANNUAL_OR_MANUFACTURER</x:v>
      </x:c>
      <x:c r="K71" s="26" t="str">
        <x:v>чисто, сухо, защищено от удара/магнитов/температуры по manual</x:v>
      </x:c>
      <x:c r="L71" s="26" t="str">
        <x:v>визуальный осмотр, батарея/расходник, очистка, журнал offset и следующей проверки</x:v>
      </x:c>
      <x:c r="M71" s="26" t="str">
        <x:v>нестабильный ноль, дрейф, повреждение, невозможный результат, расхождение с контрольной точкой</x:v>
      </x:c>
      <x:c r="N71" s="26" t="str">
        <x:v>S1_LOW_RISK_HOUSEHOLD</x:v>
      </x:c>
      <x:c r="O71" s="26" t="str">
        <x:v>контроль приватности и повреждения оригинала</x:v>
      </x:c>
      <x:c r="P71" s="26" t="str">
        <x:v>camera rig + flatbed</x:v>
      </x:c>
      <x:c r="Q71" s="26" t="str">
        <x:v>PSP-116</x:v>
      </x:c>
      <x:c r="R71" s="26" t="str">
        <x:v>CANDIDATE_NOT_INVENTORIED</x:v>
      </x:c>
      <x:c r="S71" s="26" t="str">
        <x:v>0.4</x:v>
      </x:c>
    </x:row>
    <x:row r="72">
      <x:c r="A72" s="53" t="str">
        <x:v>INS-069</x:v>
      </x:c>
      <x:c r="B72" s="53" t="str">
        <x:v>ARCHIVE</x:v>
      </x:c>
      <x:c r="C72" s="53" t="str">
        <x:v>USB/SATA write blocker</x:v>
      </x:c>
      <x:c r="D72" s="53" t="str">
        <x:v>read-only acquisition</x:v>
      </x:c>
      <x:c r="E72" s="53" t="str">
        <x:v>pass/fail</x:v>
      </x:c>
      <x:c r="F72" s="53" t="str">
        <x:v>TBD_PER_EXACT_TASK_AND_METHOD; не закупать/не применять по этой общей строке и не работать у края диапазона.</x:v>
      </x:c>
      <x:c r="G72" s="53" t="str">
        <x:v>TBD_PER_EXACT_TASK_AND_METHOD; правило 10:1 — только planning hint, не универсальная спецификация точности.</x:v>
      </x:c>
      <x:c r="H72" s="53" t="str">
        <x:v>known writable test device before/after</x:v>
      </x:c>
      <x:c r="I72" s="53" t="str">
        <x:v>TBD_PER_EXACT_INSTRUMENT: документированный эталон, контрольная точка или официальный сервис выбираются по методу/классу.</x:v>
      </x:c>
      <x:c r="J72" s="53" t="str">
        <x:v>BEFORE_CRITICAL_USE|AFTER_DAMAGE|ANNUAL_OR_MANUFACTURER</x:v>
      </x:c>
      <x:c r="K72" s="53" t="str">
        <x:v>чисто, сухо, защищено от удара/магнитов/температуры по manual</x:v>
      </x:c>
      <x:c r="L72" s="53" t="str">
        <x:v>визуальный осмотр, батарея/расходник, очистка, журнал offset и следующей проверки</x:v>
      </x:c>
      <x:c r="M72" s="53" t="str">
        <x:v>нестабильный ноль, дрейф, повреждение, невозможный результат, расхождение с контрольной точкой</x:v>
      </x:c>
      <x:c r="N72" s="53" t="str">
        <x:v>S2_TRAINED_SUPERVISED</x:v>
      </x:c>
      <x:c r="O72" s="53" t="str">
        <x:v>не считать бытовой адаптер forensic-grade без проверки</x:v>
      </x:c>
      <x:c r="P72" s="53" t="str">
        <x:v>read-only media/copy-on-write workflow</x:v>
      </x:c>
      <x:c r="Q72" s="53" t="str">
        <x:v>PSP-116</x:v>
      </x:c>
      <x:c r="R72" s="53" t="str">
        <x:v>CANDIDATE_NOT_INVENTORIED</x:v>
      </x:c>
      <x:c r="S72" s="53" t="str">
        <x:v>0.4</x:v>
      </x:c>
    </x:row>
    <x:row r="73">
      <x:c r="A73" s="26" t="str">
        <x:v>INS-070</x:v>
      </x:c>
      <x:c r="B73" s="26" t="str">
        <x:v>ARCHIVE</x:v>
      </x:c>
      <x:c r="C73" s="26" t="str">
        <x:v>printer with archival workflow</x:v>
      </x:c>
      <x:c r="D73" s="26" t="str">
        <x:v>печатный вывод</x:v>
      </x:c>
      <x:c r="E73" s="26" t="str">
        <x:v>dpi/page</x:v>
      </x:c>
      <x:c r="F73" s="26" t="str">
        <x:v>TBD_PER_EXACT_TASK_AND_METHOD; не закупать/не применять по этой общей строке и не работать у края диапазона.</x:v>
      </x:c>
      <x:c r="G73" s="26" t="str">
        <x:v>TBD_PER_EXACT_TASK_AND_METHOD; правило 10:1 — только planning hint, не универсальная спецификация точности.</x:v>
      </x:c>
      <x:c r="H73" s="26" t="str">
        <x:v>test target, page count and visual comparison</x:v>
      </x:c>
      <x:c r="I73" s="26" t="str">
        <x:v>TBD_PER_EXACT_INSTRUMENT: документированный эталон, контрольная точка или официальный сервис выбираются по методу/классу.</x:v>
      </x:c>
      <x:c r="J73" s="26" t="str">
        <x:v>BEFORE_CRITICAL_USE|AFTER_DAMAGE|ANNUAL_OR_MANUFACTURER</x:v>
      </x:c>
      <x:c r="K73" s="26" t="str">
        <x:v>чисто, сухо, защищено от удара/магнитов/температуры по manual</x:v>
      </x:c>
      <x:c r="L73" s="26" t="str">
        <x:v>визуальный осмотр, батарея/расходник, очистка, журнал offset и следующей проверки</x:v>
      </x:c>
      <x:c r="M73" s="26" t="str">
        <x:v>нестабильный ноль, дрейф, повреждение, невозможный результат, расхождение с контрольной точкой</x:v>
      </x:c>
      <x:c r="N73" s="26" t="str">
        <x:v>S1_LOW_RISK_HOUSEHOLD</x:v>
      </x:c>
      <x:c r="O73" s="26" t="str">
        <x:v>вентиляция, расходники, персональные данные</x:v>
      </x:c>
      <x:c r="P73" s="26" t="str">
        <x:v>второй print path/ручная копия core</x:v>
      </x:c>
      <x:c r="Q73" s="26" t="str">
        <x:v>PSP-116</x:v>
      </x:c>
      <x:c r="R73" s="26" t="str">
        <x:v>CANDIDATE_NOT_INVENTORIED</x:v>
      </x:c>
      <x:c r="S73" s="26" t="str">
        <x:v>0.4</x:v>
      </x:c>
    </x:row>
    <x:row r="74">
      <x:c r="A74" s="53" t="str">
        <x:v>INS-071</x:v>
      </x:c>
      <x:c r="B74" s="53" t="str">
        <x:v>SAFETY</x:v>
      </x:c>
      <x:c r="C74" s="53" t="str">
        <x:v>штатный детектор дыма</x:v>
      </x:c>
      <x:c r="D74" s="53" t="str">
        <x:v>smoke alarm</x:v>
      </x:c>
      <x:c r="E74" s="53" t="str">
        <x:v>alarm/pass-fail</x:v>
      </x:c>
      <x:c r="F74" s="53" t="str">
        <x:v>TBD_PER_EXACT_TASK_AND_METHOD; не закупать/не применять по этой общей строке и не работать у края диапазона.</x:v>
      </x:c>
      <x:c r="G74" s="53" t="str">
        <x:v>TBD_PER_EXACT_TASK_AND_METHOD; правило 10:1 — только planning hint, не универсальная спецификация точности.</x:v>
      </x:c>
      <x:c r="H74" s="53" t="str">
        <x:v>test button and replacement date; aerosol only if manufacturer allows</x:v>
      </x:c>
      <x:c r="I74" s="53" t="str">
        <x:v>TBD_PER_EXACT_INSTRUMENT: документированный эталон, контрольная точка или официальный сервис выбираются по методу/классу.</x:v>
      </x:c>
      <x:c r="J74" s="53" t="str">
        <x:v>BEFORE_CRITICAL_USE|AFTER_DAMAGE|ANNUAL_OR_MANUFACTURER</x:v>
      </x:c>
      <x:c r="K74" s="53" t="str">
        <x:v>чисто, сухо, защищено от удара/магнитов/температуры по manual</x:v>
      </x:c>
      <x:c r="L74" s="53" t="str">
        <x:v>визуальный осмотр, батарея/расходник, очистка, журнал offset и следующей проверки</x:v>
      </x:c>
      <x:c r="M74" s="53" t="str">
        <x:v>нестабильный ноль, дрейф, повреждение, невозможный результат, расхождение с контрольной точкой</x:v>
      </x:c>
      <x:c r="N74" s="53" t="str">
        <x:v>S1_LOW_RISK_HOUSEHOLD</x:v>
      </x:c>
      <x:c r="O74" s="53" t="str">
        <x:v>не тестировать огнём/дымом вне инструкции</x:v>
      </x:c>
      <x:c r="P74" s="53" t="str">
        <x:v>несколько detectors по плану</x:v>
      </x:c>
      <x:c r="Q74" s="53" t="str">
        <x:v>PSP-116</x:v>
      </x:c>
      <x:c r="R74" s="53" t="str">
        <x:v>CANDIDATE_NOT_INVENTORIED</x:v>
      </x:c>
      <x:c r="S74" s="53" t="str">
        <x:v>0.4</x:v>
      </x:c>
    </x:row>
    <x:row r="75">
      <x:c r="A75" s="26" t="str">
        <x:v>INS-072</x:v>
      </x:c>
      <x:c r="B75" s="26" t="str">
        <x:v>SAFETY</x:v>
      </x:c>
      <x:c r="C75" s="26" t="str">
        <x:v>штатный детектор утечки воды</x:v>
      </x:c>
      <x:c r="D75" s="26" t="str">
        <x:v>water alarm</x:v>
      </x:c>
      <x:c r="E75" s="26" t="str">
        <x:v>alarm/pass-fail</x:v>
      </x:c>
      <x:c r="F75" s="26" t="str">
        <x:v>TBD_PER_EXACT_TASK_AND_METHOD; не закупать/не применять по этой общей строке и не работать у края диапазона.</x:v>
      </x:c>
      <x:c r="G75" s="26" t="str">
        <x:v>TBD_PER_EXACT_TASK_AND_METHOD; правило 10:1 — только planning hint, не универсальная спецификация точности.</x:v>
      </x:c>
      <x:c r="H75" s="26" t="str">
        <x:v>test probe with clean water per manual</x:v>
      </x:c>
      <x:c r="I75" s="26" t="str">
        <x:v>TBD_PER_EXACT_INSTRUMENT: документированный эталон, контрольная точка или официальный сервис выбираются по методу/классу.</x:v>
      </x:c>
      <x:c r="J75" s="26" t="str">
        <x:v>BEFORE_CRITICAL_USE|AFTER_DAMAGE|ANNUAL_OR_MANUFACTURER</x:v>
      </x:c>
      <x:c r="K75" s="26" t="str">
        <x:v>чисто, сухо, защищено от удара/магнитов/температуры по manual</x:v>
      </x:c>
      <x:c r="L75" s="26" t="str">
        <x:v>визуальный осмотр, батарея/расходник, очистка, журнал offset и следующей проверки</x:v>
      </x:c>
      <x:c r="M75" s="26" t="str">
        <x:v>нестабильный ноль, дрейф, повреждение, невозможный результат, расхождение с контрольной точкой</x:v>
      </x:c>
      <x:c r="N75" s="26" t="str">
        <x:v>S1_LOW_RISK_HOUSEHOLD</x:v>
      </x:c>
      <x:c r="O75" s="26" t="str">
        <x:v>не помещать электронику вне rated environment</x:v>
      </x:c>
      <x:c r="P75" s="26" t="str">
        <x:v>несколько points + visual checks</x:v>
      </x:c>
      <x:c r="Q75" s="26" t="str">
        <x:v>PSP-116</x:v>
      </x:c>
      <x:c r="R75" s="26" t="str">
        <x:v>CANDIDATE_NOT_INVENTORIED</x:v>
      </x:c>
      <x:c r="S75" s="26" t="str">
        <x:v>0.4</x:v>
      </x:c>
    </x:row>
    <x:row r="76">
      <x:c r="A76" s="53" t="str">
        <x:v>INS-073</x:v>
      </x:c>
      <x:c r="B76" s="53" t="str">
        <x:v>SAFETY</x:v>
      </x:c>
      <x:c r="C76" s="53" t="str">
        <x:v>RCD/GFCI tester approved for jurisdiction</x:v>
      </x:c>
      <x:c r="D76" s="53" t="str">
        <x:v>защитное отключение</x:v>
      </x:c>
      <x:c r="E76" s="53" t="str">
        <x:v>ms/pass-fail</x:v>
      </x:c>
      <x:c r="F76" s="53" t="str">
        <x:v>TBD_PER_EXACT_TASK_AND_METHOD; не закупать/не применять по этой общей строке и не работать у края диапазона.</x:v>
      </x:c>
      <x:c r="G76" s="53" t="str">
        <x:v>TBD_PER_EXACT_TASK_AND_METHOD; правило 10:1 — только planning hint, не универсальная спецификация точности.</x:v>
      </x:c>
      <x:c r="H76" s="53" t="str">
        <x:v>только штатная test function/qualified inspection</x:v>
      </x:c>
      <x:c r="I76" s="53" t="str">
        <x:v>TBD_PER_EXACT_INSTRUMENT: документированный эталон, контрольная точка или официальный сервис выбираются по методу/классу.</x:v>
      </x:c>
      <x:c r="J76" s="53" t="str">
        <x:v>BEFORE_CRITICAL_USE|AFTER_DAMAGE|ANNUAL_OR_MANUFACTURER</x:v>
      </x:c>
      <x:c r="K76" s="53" t="str">
        <x:v>чисто, сухо, защищено от удара/магнитов/температуры по manual</x:v>
      </x:c>
      <x:c r="L76" s="53" t="str">
        <x:v>визуальный осмотр, батарея/расходник, очистка, журнал offset и следующей проверки</x:v>
      </x:c>
      <x:c r="M76" s="53" t="str">
        <x:v>нестабильный ноль, дрейф, повреждение, невозможный результат, расхождение с контрольной точкой</x:v>
      </x:c>
      <x:c r="N76" s="53" t="str">
        <x:v>S3_LICENSED_PROFESSIONAL</x:v>
      </x:c>
      <x:c r="O76" s="53" t="str">
        <x:v>не вскрывать щит и не создавать fault; интерпретация установки — электрик</x:v>
      </x:c>
      <x:c r="P76" s="53" t="str">
        <x:v>built-in test + professional schedule</x:v>
      </x:c>
      <x:c r="Q76" s="53" t="str">
        <x:v>PSP-116</x:v>
      </x:c>
      <x:c r="R76" s="53" t="str">
        <x:v>CANDIDATE_NOT_INVENTORIED</x:v>
      </x:c>
      <x:c r="S76" s="53" t="str">
        <x:v>0.4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64" hidden="0" customWidth="1"/>
    <x:col min="4" max="4" width="32" hidden="0" customWidth="1"/>
    <x:col min="5" max="5" width="52" hidden="0" customWidth="1"/>
    <x:col min="6" max="6" width="16" hidden="0" customWidth="1"/>
  </x:cols>
  <x:sheetData>
    <x:row r="1" ht="32" customHeight="1">
      <x:c r="A1" s="42" t="str">
        <x:v>ОБЯЗАТЕЛЬНЫЕ NO-GO / SAFETY GATES</x:v>
      </x:c>
      <x:c r="B1" s="3" t="str">
        <x:v>ОБЯЗАТЕЛЬНЫЕ NO-GO / SAFETY GATES</x:v>
      </x:c>
      <x:c r="C1" s="3" t="str">
        <x:v>ОБЯЗАТЕЛЬНЫЕ NO-GO / SAFETY GATES</x:v>
      </x:c>
      <x:c r="D1" s="3" t="str">
        <x:v>ОБЯЗАТЕЛЬНЫЕ NO-GO / SAFETY GATES</x:v>
      </x:c>
      <x:c r="E1" s="3" t="str">
        <x:v>ОБЯЗАТЕЛЬНЫЕ NO-GO / SAFETY GATES</x:v>
      </x:c>
      <x:c r="F1" s="3" t="str">
        <x:v>ОБЯЗАТЕЛЬНЫЕ NO-GO / SAFETY GATES</x:v>
      </x:c>
    </x:row>
    <x:row r="2" ht="38" customHeight="1">
      <x:c r="A2" s="7" t="str">
        <x:v>Эти запреты имеют приоритет над учебником, проектом, наличием инструмента и интересом участника</x:v>
      </x:c>
      <x:c r="B2" s="7" t="str">
        <x:v>Эти запреты имеют приоритет над учебником, проектом, наличием инструмента и интересом участника</x:v>
      </x:c>
      <x:c r="C2" s="7" t="str">
        <x:v>Эти запреты имеют приоритет над учебником, проектом, наличием инструмента и интересом участника</x:v>
      </x:c>
      <x:c r="D2" s="7" t="str">
        <x:v>Эти запреты имеют приоритет над учебником, проектом, наличием инструмента и интересом участника</x:v>
      </x:c>
      <x:c r="E2" s="7" t="str">
        <x:v>Эти запреты имеют приоритет над учебником, проектом, наличием инструмента и интересом участника</x:v>
      </x:c>
      <x:c r="F2" s="7" t="str">
        <x:v>Эти запреты имеют приоритет над учебником, проектом, наличием инструмента и интересом участника</x:v>
      </x:c>
    </x:row>
    <x:row r="3" ht="34" customHeight="1">
      <x:c r="A3" s="52" t="str">
        <x:v>gate_id</x:v>
      </x:c>
      <x:c r="B3" s="52" t="str">
        <x:v>hazard_class</x:v>
      </x:c>
      <x:c r="C3" s="52" t="str">
        <x:v>no_go_rule_ru</x:v>
      </x:c>
      <x:c r="D3" s="52" t="str">
        <x:v>safety_class</x:v>
      </x:c>
      <x:c r="E3" s="52" t="str">
        <x:v>safe_fallback_ru</x:v>
      </x:c>
      <x:c r="F3" s="52" t="str">
        <x:v>release_version</x:v>
      </x:c>
    </x:row>
    <x:row r="4">
      <x:c r="A4" s="53" t="str">
        <x:v>SG-01</x:v>
      </x:c>
      <x:c r="B4" s="53" t="str">
        <x:v>UNKNOWN_BIOLOGY</x:v>
      </x:c>
      <x:c r="C4" s="58" t="str">
        <x:v>Не культивировать неизвестные бактерии, грибы, ткани или природные образцы</x:v>
      </x:c>
      <x:c r="D4" s="58" t="str">
        <x:v>S4_REFERENCE_ONLY_PROHIBITED_HOUSEHOLD</x:v>
      </x:c>
      <x:c r="E4" s="58" t="str">
        <x:v>изолировать, не открывать, профильная лаборатория/служба</x:v>
      </x:c>
      <x:c r="F4" s="53" t="str">
        <x:v>0.4</x:v>
      </x:c>
    </x:row>
    <x:row r="5">
      <x:c r="A5" s="26" t="str">
        <x:v>SG-02</x:v>
      </x:c>
      <x:c r="B5" s="26" t="str">
        <x:v>INVASIVE_HEALTH</x:v>
      </x:c>
      <x:c r="C5" s="58" t="str">
        <x:v>Не выполнять инъекции, разрезы, хирургические, стоматологические или ветеринарные процедуры</x:v>
      </x:c>
      <x:c r="D5" s="58" t="str">
        <x:v>S4_REFERENCE_ONLY_PROHIBITED_HOUSEHOLD</x:v>
      </x:c>
      <x:c r="E5" s="58" t="str">
        <x:v>112/врач/ветеринар/лицензированная служба</x:v>
      </x:c>
      <x:c r="F5" s="26" t="str">
        <x:v>0.4</x:v>
      </x:c>
    </x:row>
    <x:row r="6">
      <x:c r="A6" s="53" t="str">
        <x:v>SG-03</x:v>
      </x:c>
      <x:c r="B6" s="53" t="str">
        <x:v>MEDICINE_SYNTHESIS</x:v>
      </x:c>
      <x:c r="C6" s="58" t="str">
        <x:v>Не синтезировать лекарства, анестетики или терапевтические вещества</x:v>
      </x:c>
      <x:c r="D6" s="58" t="str">
        <x:v>S4_REFERENCE_ONLY_PROHIBITED_HOUSEHOLD</x:v>
      </x:c>
      <x:c r="E6" s="58" t="str">
        <x:v>аптека, врач, регуляторный supply chain</x:v>
      </x:c>
      <x:c r="F6" s="53" t="str">
        <x:v>0.4</x:v>
      </x:c>
    </x:row>
    <x:row r="7">
      <x:c r="A7" s="26" t="str">
        <x:v>SG-04</x:v>
      </x:c>
      <x:c r="B7" s="26" t="str">
        <x:v>EXPLOSIVES_WEAPONS_TOXINS</x:v>
      </x:c>
      <x:c r="C7" s="58" t="str">
        <x:v>Не разрабатывать взрывчатые, зажигательные, оружейные, токсичные или вредоносные системы</x:v>
      </x:c>
      <x:c r="D7" s="58" t="str">
        <x:v>S4_REFERENCE_ONLY_PROHIBITED_HOUSEHOLD</x:v>
      </x:c>
      <x:c r="E7" s="58" t="str">
        <x:v>безопасность, полиция/112 при находке</x:v>
      </x:c>
      <x:c r="F7" s="26" t="str">
        <x:v>0.4</x:v>
      </x:c>
    </x:row>
    <x:row r="8">
      <x:c r="A8" s="53" t="str">
        <x:v>SG-05</x:v>
      </x:c>
      <x:c r="B8" s="53" t="str">
        <x:v>MAINS_HIGH_VOLTAGE</x:v>
      </x:c>
      <x:c r="C8" s="58" t="str">
        <x:v>Не работать под напряжением, не вскрывать щиты и не создавать backfeed</x:v>
      </x:c>
      <x:c r="D8" s="58" t="str">
        <x:v>S3_LICENSED_PROFESSIONAL</x:v>
      </x:c>
      <x:c r="E8" s="58" t="str">
        <x:v>отключение по инструкции; лицензированный электрик</x:v>
      </x:c>
      <x:c r="F8" s="53" t="str">
        <x:v>0.4</x:v>
      </x:c>
    </x:row>
    <x:row r="9">
      <x:c r="A9" s="26" t="str">
        <x:v>SG-06</x:v>
      </x:c>
      <x:c r="B9" s="26" t="str">
        <x:v>PRESSURE_VESSELS_GAS</x:v>
      </x:c>
      <x:c r="C9" s="58" t="str">
        <x:v>Не нагревать герметичные сосуды, не ремонтировать газ/pressure vessel и не обходить relief devices</x:v>
      </x:c>
      <x:c r="D9" s="58" t="str">
        <x:v>S4_REFERENCE_ONLY_PROHIBITED_HOUSEHOLD</x:v>
      </x:c>
      <x:c r="E9" s="58" t="str">
        <x:v>отойти, проветрить если официально безопасно, аварийная/профильная служба</x:v>
      </x:c>
      <x:c r="F9" s="26" t="str">
        <x:v>0.4</x:v>
      </x:c>
    </x:row>
    <x:row r="10">
      <x:c r="A10" s="53" t="str">
        <x:v>SG-07</x:v>
      </x:c>
      <x:c r="B10" s="53" t="str">
        <x:v>STRUCTURAL_MODIFICATION</x:v>
      </x:c>
      <x:c r="C10" s="58" t="str">
        <x:v>Не менять несущие элементы, фундамент, склон или подпорную систему</x:v>
      </x:c>
      <x:c r="D10" s="58" t="str">
        <x:v>S3_LICENSED_PROFESSIONAL</x:v>
      </x:c>
      <x:c r="E10" s="58" t="str">
        <x:v>закрыть доступ и вызвать инженера</x:v>
      </x:c>
      <x:c r="F10" s="53" t="str">
        <x:v>0.4</x:v>
      </x:c>
    </x:row>
    <x:row r="11">
      <x:c r="A11" s="26" t="str">
        <x:v>SG-08</x:v>
      </x:c>
      <x:c r="B11" s="26" t="str">
        <x:v>REFRIGERANT_HOT_WORK</x:v>
      </x:c>
      <x:c r="C11" s="58" t="str">
        <x:v>Не выпускать хладагент и не выполнять сварку/горячие работы без допуска и площадки</x:v>
      </x:c>
      <x:c r="D11" s="58" t="str">
        <x:v>S3_LICENSED_PROFESSIONAL</x:v>
      </x:c>
      <x:c r="E11" s="58" t="str">
        <x:v>квалифицированный техник/разрешение</x:v>
      </x:c>
      <x:c r="F11" s="26" t="str">
        <x:v>0.4</x:v>
      </x:c>
    </x:row>
    <x:row r="12">
      <x:c r="A12" s="53" t="str">
        <x:v>SG-09</x:v>
      </x:c>
      <x:c r="B12" s="53" t="str">
        <x:v>REACTIVE_CHEMISTRY</x:v>
      </x:c>
      <x:c r="C12" s="58" t="str">
        <x:v>Не смешивать реактивные, неизвестные, токсичные, едкие, окисляющие или выделяющие газ вещества в household science layer; наличие SDS само по себе не создаёт разрешения, лаборатории или квалификации</x:v>
      </x:c>
      <x:c r="D12" s="58" t="str">
        <x:v>S4_REFERENCE_ONLY_PROHIBITED_HOUSEHOLD</x:v>
      </x:c>
      <x:c r="E12" s="58" t="str">
        <x:v>разделить, не трогать; CIAV/112/профильная служба по ситуации</x:v>
      </x:c>
      <x:c r="F12" s="53" t="str">
        <x:v>0.4</x:v>
      </x:c>
    </x:row>
    <x:row r="13">
      <x:c r="A13" s="26" t="str">
        <x:v>SG-10</x:v>
      </x:c>
      <x:c r="B13" s="26" t="str">
        <x:v>IONIZING_RADIATION</x:v>
      </x:c>
      <x:c r="C13" s="58" t="str">
        <x:v>Не приобретать, вскрывать и не экспериментировать с источниками ионизирующего излучения</x:v>
      </x:c>
      <x:c r="D13" s="58" t="str">
        <x:v>S4_REFERENCE_ONLY_PROHIBITED_HOUSEHOLD</x:v>
      </x:c>
      <x:c r="E13" s="58" t="str">
        <x:v>не трогать, удалиться, 112/компетентный орган</x:v>
      </x:c>
      <x:c r="F13" s="26" t="str">
        <x:v>0.4</x:v>
      </x:c>
    </x:row>
    <x:row r="14">
      <x:c r="A14" s="53" t="str">
        <x:v>SG-11</x:v>
      </x:c>
      <x:c r="B14" s="53" t="str">
        <x:v>CONFINED_SPACE_WATER_HEIGHT</x:v>
      </x:c>
      <x:c r="C14" s="58" t="str">
        <x:v>Не входить в колодцы, резервуары, стоки, шахты; не работать у воды/на высоте без системы</x:v>
      </x:c>
      <x:c r="D14" s="58" t="str">
        <x:v>S4_REFERENCE_ONLY_PROHIBITED_HOUSEHOLD</x:v>
      </x:c>
      <x:c r="E14" s="58" t="str">
        <x:v>службы/профессиональная команда</x:v>
      </x:c>
      <x:c r="F14" s="53" t="str">
        <x:v>0.4</x:v>
      </x:c>
    </x:row>
    <x:row r="15">
      <x:c r="A15" s="26" t="str">
        <x:v>SG-12</x:v>
      </x:c>
      <x:c r="B15" s="26" t="str">
        <x:v>PESTICIDES_AND_PROTECTED_SPECIES</x:v>
      </x:c>
      <x:c r="C15" s="58" t="str">
        <x:v>Не применять пестициды вне этикетки/закона и не вмешиваться в охраняемые виды</x:v>
      </x:c>
      <x:c r="D15" s="58" t="str">
        <x:v>S3_LICENSED_PROFESSIONAL</x:v>
      </x:c>
      <x:c r="E15" s="58" t="str">
        <x:v>DGAV/ICNF/лицензированный специалист</x:v>
      </x:c>
      <x:c r="F15" s="26" t="str">
        <x:v>0.4</x:v>
      </x:c>
    </x:row>
    <x:row r="16">
      <x:c r="A16" s="53" t="str">
        <x:v>SG-13</x:v>
      </x:c>
      <x:c r="B16" s="53" t="str">
        <x:v>LITHIUM_HIGH_CURRENT_CAPACITORS</x:v>
      </x:c>
      <x:c r="C16" s="58" t="str">
        <x:v>Не вскрывать, собирать, восстанавливать, заряжать неизвестным способом или коротить lithium/lead-acid/vehicle/traction packs; не работать с повреждёнными батареями, неизвестными power capacitors или высокотоковыми DC-источниками</x:v>
      </x:c>
      <x:c r="D16" s="58" t="str">
        <x:v>S4_REFERENCE_ONLY_PROHIBITED_HOUSEHOLD</x:v>
      </x:c>
      <x:c r="E16" s="58" t="str">
        <x:v>обесточить только штатно, не трогать горячее/вздутие/дым, удалить людей, 112/пожарная/квалифицированный сервис</x:v>
      </x:c>
      <x:c r="F16" s="53" t="str">
        <x:v>0.4</x:v>
      </x:c>
    </x:row>
    <x:row r="17">
      <x:c r="A17" s="26" t="str">
        <x:v>SG-14</x:v>
      </x:c>
      <x:c r="B17" s="26" t="str">
        <x:v>MACHINERY_STORED_ENERGY</x:v>
      </x:c>
      <x:c r="C17" s="58" t="str">
        <x:v>Не снимать ограждения, не обходить interlock и не работать с вращением, пружиной, гидравликой, поднятым грузом или иной запасённой энергией без квалифицированной isolation/LOTO</x:v>
      </x:c>
      <x:c r="D17" s="58" t="str">
        <x:v>S3_LICENSED_PROFESSIONAL</x:v>
      </x:c>
      <x:c r="E17" s="58" t="str">
        <x:v>остановить, оградить и вызвать компетентного техника</x:v>
      </x:c>
      <x:c r="F17" s="26" t="str">
        <x:v>0.4</x:v>
      </x:c>
    </x:row>
    <x:row r="18">
      <x:c r="A18" s="53" t="str">
        <x:v>SG-15</x:v>
      </x:c>
      <x:c r="B18" s="53" t="str">
        <x:v>HAZARDOUS_BUILDING_MATERIALS</x:v>
      </x:c>
      <x:c r="C18" s="58" t="str">
        <x:v>Не нарушать неизвестные материалы здания, асбест, свинцовую краску, загрязнённую пыль или плесень большой площади</x:v>
      </x:c>
      <x:c r="D18" s="58" t="str">
        <x:v>S4_REFERENCE_ONLY_PROHIBITED_HOUSEHOLD</x:v>
      </x:c>
      <x:c r="E18" s="58" t="str">
        <x:v>закрыть доступ; профессиональная идентификация и remediation</x:v>
      </x:c>
      <x:c r="F18" s="53" t="str">
        <x:v>0.4</x:v>
      </x:c>
    </x:row>
    <x:row r="19">
      <x:c r="A19" s="26" t="str">
        <x:v>SG-16</x:v>
      </x:c>
      <x:c r="B19" s="26" t="str">
        <x:v>LASER_INTENSE_OPTICAL</x:v>
      </x:c>
      <x:c r="C19" s="58" t="str">
        <x:v>Не направлять лазер/сфокусированный свет в глаза, транспорт или небо; не разбирать laser devices и не наблюдать Солнце через оптику</x:v>
      </x:c>
      <x:c r="D19" s="58" t="str">
        <x:v>S4_REFERENCE_ONLY_PROHIBITED_HOUSEHOLD</x:v>
      </x:c>
      <x:c r="E19" s="58" t="str">
        <x:v>обесточить/закрыть источник штатно; использовать только безопасную готовую оптику по инструкции</x:v>
      </x:c>
      <x:c r="F19" s="26" t="str">
        <x:v>0.4</x:v>
      </x:c>
    </x:row>
    <x:row r="20">
      <x:c r="A20" s="53" t="str">
        <x:v>SG-17</x:v>
      </x:c>
      <x:c r="B20" s="53" t="str">
        <x:v>UNCONTROLLED_HEAT_STEAM_BURNS</x:v>
      </x:c>
      <x:c r="C20" s="58" t="str">
        <x:v>Не использовать научный опыт с кипящей жидкостью, паром, горячим маслом, открытым пламенем или нагреваемой герметичной ёмкостью; бытовое приготовление пищи не превращать в эксперимент и выполнять только штатным прибором/валидированным процессом</x:v>
      </x:c>
      <x:c r="D20" s="58" t="str">
        <x:v>S4_REFERENCE_ONLY_PROHIBITED_HOUSEHOLD</x:v>
      </x:c>
      <x:c r="E20" s="58" t="str">
        <x:v>остановить нагрев штатно, не открывать давление; при ожоге/пожаре действовать по выпущенной карточке и 112</x:v>
      </x:c>
      <x:c r="F20" s="53" t="str">
        <x:v>0.4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2" customHeight="1">
      <x:c r="A1" s="42" t="str">
        <x:v>УЧЕБНЫЕ ТРАЕКТОРИИ</x:v>
      </x:c>
      <x:c r="B1" s="3" t="str">
        <x:v>УЧЕБНЫЕ ТРАЕКТОРИИ</x:v>
      </x:c>
      <x:c r="C1" s="3" t="str">
        <x:v>УЧЕБНЫЕ ТРАЕКТОРИИ</x:v>
      </x:c>
      <x:c r="D1" s="3" t="str">
        <x:v>УЧЕБНЫЕ ТРАЕКТОРИИ</x:v>
      </x:c>
      <x:c r="E1" s="3" t="str">
        <x:v>УЧЕБНЫЕ ТРАЕКТОРИИ</x:v>
      </x:c>
      <x:c r="F1" s="3" t="str">
        <x:v>УЧЕБНЫЕ ТРАЕКТОРИИ</x:v>
      </x:c>
      <x:c r="G1" s="3" t="str">
        <x:v>УЧЕБНЫЕ ТРАЕКТОРИИ</x:v>
      </x:c>
      <x:c r="H1" s="3" t="str">
        <x:v>УЧЕБНЫЕ ТРАЕКТОРИИ</x:v>
      </x:c>
      <x:c r="I1" s="3" t="str">
        <x:v>УЧЕБНЫЕ ТРАЕКТОРИИ</x:v>
      </x:c>
      <x:c r="J1" s="3" t="str">
        <x:v>УЧЕБНЫЕ ТРАЕКТОРИИ</x:v>
      </x:c>
      <x:c r="K1" s="3" t="str">
        <x:v>УЧЕБНЫЕ ТРАЕКТОРИИ</x:v>
      </x:c>
    </x:row>
    <x:row r="2" ht="38" customHeight="1">
      <x:c r="A2" s="7" t="str">
        <x:v>16 направлений · mastery доказывается воспроизведением, а не просмотром</x:v>
      </x:c>
      <x:c r="B2" s="7" t="str">
        <x:v>16 направлений · mastery доказывается воспроизведением, а не просмотром</x:v>
      </x:c>
      <x:c r="C2" s="7" t="str">
        <x:v>16 направлений · mastery доказывается воспроизведением, а не просмотром</x:v>
      </x:c>
      <x:c r="D2" s="7" t="str">
        <x:v>16 направлений · mastery доказывается воспроизведением, а не просмотром</x:v>
      </x:c>
      <x:c r="E2" s="7" t="str">
        <x:v>16 направлений · mastery доказывается воспроизведением, а не просмотром</x:v>
      </x:c>
      <x:c r="F2" s="7" t="str">
        <x:v>16 направлений · mastery доказывается воспроизведением, а не просмотром</x:v>
      </x:c>
      <x:c r="G2" s="7" t="str">
        <x:v>16 направлений · mastery доказывается воспроизведением, а не просмотром</x:v>
      </x:c>
      <x:c r="H2" s="7" t="str">
        <x:v>16 направлений · mastery доказывается воспроизведением, а не просмотром</x:v>
      </x:c>
      <x:c r="I2" s="7" t="str">
        <x:v>16 направлений · mastery доказывается воспроизведением, а не просмотром</x:v>
      </x:c>
      <x:c r="J2" s="7" t="str">
        <x:v>16 направлений · mastery доказывается воспроизведением, а не просмотром</x:v>
      </x:c>
      <x:c r="K2" s="7" t="str">
        <x:v>16 направлений · mastery доказывается воспроизведением, а не просмотром</x:v>
      </x:c>
    </x:row>
    <x:row r="3" ht="34" customHeight="1">
      <x:c r="A3" s="52" t="str">
        <x:v>path_id</x:v>
      </x:c>
      <x:c r="B3" s="52" t="str">
        <x:v>group_code</x:v>
      </x:c>
      <x:c r="C3" s="52" t="str">
        <x:v>path_title_ru</x:v>
      </x:c>
      <x:c r="D3" s="52" t="str">
        <x:v>stage_0_read</x:v>
      </x:c>
      <x:c r="E3" s="52" t="str">
        <x:v>stage_1_calculate</x:v>
      </x:c>
      <x:c r="F3" s="52" t="str">
        <x:v>stage_2_observe</x:v>
      </x:c>
      <x:c r="G3" s="52" t="str">
        <x:v>stage_3_demonstrate</x:v>
      </x:c>
      <x:c r="H3" s="52" t="str">
        <x:v>stage_4_teach</x:v>
      </x:c>
      <x:c r="I3" s="52" t="str">
        <x:v>independent_scope</x:v>
      </x:c>
      <x:c r="J3" s="52" t="str">
        <x:v>reassessment_interval</x:v>
      </x:c>
      <x:c r="K3" s="52" t="str">
        <x:v>evidence_required</x:v>
      </x:c>
      <x:c r="L3" s="52" t="str">
        <x:v>status</x:v>
      </x:c>
      <x:c r="M3" s="52" t="str">
        <x:v>release_version</x:v>
      </x:c>
    </x:row>
    <x:row r="4">
      <x:c r="A4" s="53" t="str">
        <x:v>LP-01</x:v>
      </x:c>
      <x:c r="B4" s="53" t="str">
        <x:v>METH</x:v>
      </x:c>
      <x:c r="C4" s="53" t="str">
        <x:v>Научный метод и метрология</x:v>
      </x:c>
      <x:c r="D4" s="53" t="str">
        <x:v>Открыть обзор, словарь, safety gates и SCI-METH-01|SCI-METH-02|SCI-METH-03</x:v>
      </x:c>
      <x:c r="E4" s="53" t="str">
        <x:v>Выполнить расчёт/анализ данных по первым 4 темам с единицами и проверкой.</x:v>
      </x:c>
      <x:c r="F4" s="53" t="str">
        <x:v>Собрать безопасный наблюдательный ряд, не изменяя объект и не создавая опасность.</x:v>
      </x:c>
      <x:c r="G4" s="53" t="str">
        <x:v>Выполнить разрешённый проект по письменному протоколу с raw data, uncertainty и stop conditions.</x:v>
      </x:c>
      <x:c r="H4" s="53" t="str">
        <x:v>Передать пакет новичку; он повторяет без устной помощи автора и объясняет пределы.</x:v>
      </x:c>
      <x:c r="I4" s="53" t="str">
        <x:v>S0; отдельные S1 после checklist</x:v>
      </x:c>
      <x:c r="J4" s="53" t="str">
        <x:v>ANNUAL|AFTER_12M_NO_PRACTICE|AFTER_METHOD_CHANGE</x:v>
      </x:c>
      <x:c r="K4" s="53" t="str">
        <x:v>quiz_without_notes|calculation|raw_log|review|teach_back</x:v>
      </x:c>
      <x:c r="L4" s="53" t="str">
        <x:v>CURRICULUM_DESIGN_ONLY</x:v>
      </x:c>
      <x:c r="M4" s="53" t="str">
        <x:v>0.4</x:v>
      </x:c>
    </x:row>
    <x:row r="5">
      <x:c r="A5" s="26" t="str">
        <x:v>LP-02</x:v>
      </x:c>
      <x:c r="B5" s="26" t="str">
        <x:v>MATH</x:v>
      </x:c>
      <x:c r="C5" s="26" t="str">
        <x:v>Математика и количественное мышление</x:v>
      </x:c>
      <x:c r="D5" s="26" t="str">
        <x:v>Открыть обзор, словарь, safety gates и SCI-MATH-01|SCI-MATH-02|SCI-MATH-03</x:v>
      </x:c>
      <x:c r="E5" s="26" t="str">
        <x:v>Выполнить расчёт/анализ данных по первым 4 темам с единицами и проверкой.</x:v>
      </x:c>
      <x:c r="F5" s="26" t="str">
        <x:v>Собрать безопасный наблюдательный ряд, не изменяя объект и не создавая опасность.</x:v>
      </x:c>
      <x:c r="G5" s="26" t="str">
        <x:v>Выполнить разрешённый проект по письменному протоколу с raw data, uncertainty и stop conditions.</x:v>
      </x:c>
      <x:c r="H5" s="26" t="str">
        <x:v>Передать пакет новичку; он повторяет без устной помощи автора и объясняет пределы.</x:v>
      </x:c>
      <x:c r="I5" s="26" t="str">
        <x:v>S0; отдельные S1 после checklist</x:v>
      </x:c>
      <x:c r="J5" s="26" t="str">
        <x:v>ANNUAL|AFTER_12M_NO_PRACTICE|AFTER_METHOD_CHANGE</x:v>
      </x:c>
      <x:c r="K5" s="26" t="str">
        <x:v>quiz_without_notes|calculation|raw_log|review|teach_back</x:v>
      </x:c>
      <x:c r="L5" s="26" t="str">
        <x:v>CURRICULUM_DESIGN_ONLY</x:v>
      </x:c>
      <x:c r="M5" s="26" t="str">
        <x:v>0.4</x:v>
      </x:c>
    </x:row>
    <x:row r="6">
      <x:c r="A6" s="53" t="str">
        <x:v>LP-03</x:v>
      </x:c>
      <x:c r="B6" s="53" t="str">
        <x:v>PHYS</x:v>
      </x:c>
      <x:c r="C6" s="53" t="str">
        <x:v>Физика</x:v>
      </x:c>
      <x:c r="D6" s="53" t="str">
        <x:v>Открыть обзор, словарь, safety gates и SCI-PHYS-01|SCI-PHYS-02|SCI-PHYS-03</x:v>
      </x:c>
      <x:c r="E6" s="53" t="str">
        <x:v>Выполнить расчёт/анализ данных по первым 4 темам с единицами и проверкой.</x:v>
      </x:c>
      <x:c r="F6" s="53" t="str">
        <x:v>Собрать безопасный наблюдательный ряд, не изменяя объект и не создавая опасность.</x:v>
      </x:c>
      <x:c r="G6" s="53" t="str">
        <x:v>Выполнить разрешённый проект по письменному протоколу с raw data, uncertainty и stop conditions.</x:v>
      </x:c>
      <x:c r="H6" s="53" t="str">
        <x:v>Передать пакет новичку; он повторяет без устной помощи автора и объясняет пределы.</x:v>
      </x:c>
      <x:c r="I6" s="53" t="str">
        <x:v>Только строки S0/S1; S2+ остаются gated</x:v>
      </x:c>
      <x:c r="J6" s="53" t="str">
        <x:v>ANNUAL|AFTER_12M_NO_PRACTICE|AFTER_METHOD_CHANGE</x:v>
      </x:c>
      <x:c r="K6" s="53" t="str">
        <x:v>quiz_without_notes|calculation|raw_log|review|teach_back</x:v>
      </x:c>
      <x:c r="L6" s="53" t="str">
        <x:v>CURRICULUM_DESIGN_ONLY</x:v>
      </x:c>
      <x:c r="M6" s="53" t="str">
        <x:v>0.4</x:v>
      </x:c>
    </x:row>
    <x:row r="7">
      <x:c r="A7" s="26" t="str">
        <x:v>LP-04</x:v>
      </x:c>
      <x:c r="B7" s="26" t="str">
        <x:v>CHEM</x:v>
      </x:c>
      <x:c r="C7" s="26" t="str">
        <x:v>Химия и материалы</x:v>
      </x:c>
      <x:c r="D7" s="26" t="str">
        <x:v>Открыть обзор, словарь, safety gates и SCI-CHEM-01|SCI-CHEM-02|SCI-CHEM-03</x:v>
      </x:c>
      <x:c r="E7" s="26" t="str">
        <x:v>Выполнить расчёт/анализ данных по первым 4 темам с единицами и проверкой.</x:v>
      </x:c>
      <x:c r="F7" s="26" t="str">
        <x:v>Собрать безопасный наблюдательный ряд, не изменяя объект и не создавая опасность.</x:v>
      </x:c>
      <x:c r="G7" s="26" t="str">
        <x:v>Выполнить разрешённый проект по письменному протоколу с raw data, uncertainty и stop conditions.</x:v>
      </x:c>
      <x:c r="H7" s="26" t="str">
        <x:v>Передать пакет новичку; он повторяет без устной помощи автора и объясняет пределы.</x:v>
      </x:c>
      <x:c r="I7" s="26" t="str">
        <x:v>Только строки S0/S1; S2+ остаются gated</x:v>
      </x:c>
      <x:c r="J7" s="26" t="str">
        <x:v>ANNUAL|AFTER_12M_NO_PRACTICE|AFTER_METHOD_CHANGE</x:v>
      </x:c>
      <x:c r="K7" s="26" t="str">
        <x:v>quiz_without_notes|calculation|raw_log|review|teach_back</x:v>
      </x:c>
      <x:c r="L7" s="26" t="str">
        <x:v>CURRICULUM_DESIGN_ONLY</x:v>
      </x:c>
      <x:c r="M7" s="26" t="str">
        <x:v>0.4</x:v>
      </x:c>
    </x:row>
    <x:row r="8">
      <x:c r="A8" s="53" t="str">
        <x:v>LP-05</x:v>
      </x:c>
      <x:c r="B8" s="53" t="str">
        <x:v>LIFE</x:v>
      </x:c>
      <x:c r="C8" s="53" t="str">
        <x:v>Биология и экология</x:v>
      </x:c>
      <x:c r="D8" s="53" t="str">
        <x:v>Открыть обзор, словарь, safety gates и SCI-LIFE-01|SCI-LIFE-02|SCI-LIFE-03</x:v>
      </x:c>
      <x:c r="E8" s="53" t="str">
        <x:v>Выполнить расчёт/анализ данных по первым 4 темам с единицами и проверкой.</x:v>
      </x:c>
      <x:c r="F8" s="53" t="str">
        <x:v>Собрать безопасный наблюдательный ряд, не изменяя объект и не создавая опасность.</x:v>
      </x:c>
      <x:c r="G8" s="53" t="str">
        <x:v>Выполнить разрешённый проект по письменному протоколу с raw data, uncertainty и stop conditions.</x:v>
      </x:c>
      <x:c r="H8" s="53" t="str">
        <x:v>Передать пакет новичку; он повторяет без устной помощи автора и объясняет пределы.</x:v>
      </x:c>
      <x:c r="I8" s="53" t="str">
        <x:v>S0; отдельные S1 после checklist</x:v>
      </x:c>
      <x:c r="J8" s="53" t="str">
        <x:v>ANNUAL|AFTER_12M_NO_PRACTICE|AFTER_METHOD_CHANGE</x:v>
      </x:c>
      <x:c r="K8" s="53" t="str">
        <x:v>quiz_without_notes|calculation|raw_log|review|teach_back</x:v>
      </x:c>
      <x:c r="L8" s="53" t="str">
        <x:v>CURRICULUM_DESIGN_ONLY</x:v>
      </x:c>
      <x:c r="M8" s="53" t="str">
        <x:v>0.4</x:v>
      </x:c>
    </x:row>
    <x:row r="9">
      <x:c r="A9" s="26" t="str">
        <x:v>LP-06</x:v>
      </x:c>
      <x:c r="B9" s="26" t="str">
        <x:v>HEALTH</x:v>
      </x:c>
      <x:c r="C9" s="26" t="str">
        <x:v>Здоровье и общественное здоровье</x:v>
      </x:c>
      <x:c r="D9" s="26" t="str">
        <x:v>Открыть обзор, словарь, safety gates и SCI-HEALTH-01|SCI-HEALTH-02|SCI-HEALTH-03</x:v>
      </x:c>
      <x:c r="E9" s="26" t="str">
        <x:v>Выполнить расчёт/анализ данных по первым 4 темам с единицами и проверкой.</x:v>
      </x:c>
      <x:c r="F9" s="26" t="str">
        <x:v>Собрать безопасный наблюдательный ряд, не изменяя объект и не создавая опасность.</x:v>
      </x:c>
      <x:c r="G9" s="26" t="str">
        <x:v>Выполнить разрешённый проект по письменному протоколу с raw data, uncertainty и stop conditions.</x:v>
      </x:c>
      <x:c r="H9" s="26" t="str">
        <x:v>Передать пакет новичку; он повторяет без устной помощи автора и объясняет пределы.</x:v>
      </x:c>
      <x:c r="I9" s="26" t="str">
        <x:v>S0; отдельные S1 после checklist</x:v>
      </x:c>
      <x:c r="J9" s="26" t="str">
        <x:v>ANNUAL|AFTER_12M_NO_PRACTICE|AFTER_METHOD_CHANGE</x:v>
      </x:c>
      <x:c r="K9" s="26" t="str">
        <x:v>quiz_without_notes|calculation|raw_log|review|teach_back</x:v>
      </x:c>
      <x:c r="L9" s="26" t="str">
        <x:v>CURRICULUM_DESIGN_ONLY</x:v>
      </x:c>
      <x:c r="M9" s="26" t="str">
        <x:v>0.4</x:v>
      </x:c>
    </x:row>
    <x:row r="10">
      <x:c r="A10" s="53" t="str">
        <x:v>LP-07</x:v>
      </x:c>
      <x:c r="B10" s="53" t="str">
        <x:v>EARTH</x:v>
      </x:c>
      <x:c r="C10" s="53" t="str">
        <x:v>Науки о Земле и окружающей среде</x:v>
      </x:c>
      <x:c r="D10" s="53" t="str">
        <x:v>Открыть обзор, словарь, safety gates и SCI-EARTH-01|SCI-EARTH-02|SCI-EARTH-03</x:v>
      </x:c>
      <x:c r="E10" s="53" t="str">
        <x:v>Выполнить расчёт/анализ данных по первым 4 темам с единицами и проверкой.</x:v>
      </x:c>
      <x:c r="F10" s="53" t="str">
        <x:v>Собрать безопасный наблюдательный ряд, не изменяя объект и не создавая опасность.</x:v>
      </x:c>
      <x:c r="G10" s="53" t="str">
        <x:v>Выполнить разрешённый проект по письменному протоколу с raw data, uncertainty и stop conditions.</x:v>
      </x:c>
      <x:c r="H10" s="53" t="str">
        <x:v>Передать пакет новичку; он повторяет без устной помощи автора и объясняет пределы.</x:v>
      </x:c>
      <x:c r="I10" s="53" t="str">
        <x:v>Только строки S0/S1; S2+ остаются gated</x:v>
      </x:c>
      <x:c r="J10" s="53" t="str">
        <x:v>ANNUAL|AFTER_12M_NO_PRACTICE|AFTER_METHOD_CHANGE</x:v>
      </x:c>
      <x:c r="K10" s="53" t="str">
        <x:v>quiz_without_notes|calculation|raw_log|review|teach_back</x:v>
      </x:c>
      <x:c r="L10" s="53" t="str">
        <x:v>CURRICULUM_DESIGN_ONLY</x:v>
      </x:c>
      <x:c r="M10" s="53" t="str">
        <x:v>0.4</x:v>
      </x:c>
    </x:row>
    <x:row r="11">
      <x:c r="A11" s="26" t="str">
        <x:v>LP-08</x:v>
      </x:c>
      <x:c r="B11" s="26" t="str">
        <x:v>AGRI</x:v>
      </x:c>
      <x:c r="C11" s="26" t="str">
        <x:v>Сельское хозяйство, вода и пища</x:v>
      </x:c>
      <x:c r="D11" s="26" t="str">
        <x:v>Открыть обзор, словарь, safety gates и SCI-AGRI-01|SCI-AGRI-02|SCI-AGRI-03</x:v>
      </x:c>
      <x:c r="E11" s="26" t="str">
        <x:v>Выполнить расчёт/анализ данных по первым 4 темам с единицами и проверкой.</x:v>
      </x:c>
      <x:c r="F11" s="26" t="str">
        <x:v>Собрать безопасный наблюдательный ряд, не изменяя объект и не создавая опасность.</x:v>
      </x:c>
      <x:c r="G11" s="26" t="str">
        <x:v>Выполнить разрешённый проект по письменному протоколу с raw data, uncertainty и stop conditions.</x:v>
      </x:c>
      <x:c r="H11" s="26" t="str">
        <x:v>Передать пакет новичку; он повторяет без устной помощи автора и объясняет пределы.</x:v>
      </x:c>
      <x:c r="I11" s="26" t="str">
        <x:v>Только строки S0/S1; S2+ остаются gated</x:v>
      </x:c>
      <x:c r="J11" s="26" t="str">
        <x:v>ANNUAL|AFTER_12M_NO_PRACTICE|AFTER_METHOD_CHANGE</x:v>
      </x:c>
      <x:c r="K11" s="26" t="str">
        <x:v>quiz_without_notes|calculation|raw_log|review|teach_back</x:v>
      </x:c>
      <x:c r="L11" s="26" t="str">
        <x:v>CURRICULUM_DESIGN_ONLY</x:v>
      </x:c>
      <x:c r="M11" s="26" t="str">
        <x:v>0.4</x:v>
      </x:c>
    </x:row>
    <x:row r="12">
      <x:c r="A12" s="53" t="str">
        <x:v>LP-09</x:v>
      </x:c>
      <x:c r="B12" s="53" t="str">
        <x:v>CIVIL</x:v>
      </x:c>
      <x:c r="C12" s="53" t="str">
        <x:v>Строительство, вода и инфраструктура</x:v>
      </x:c>
      <x:c r="D12" s="53" t="str">
        <x:v>Открыть обзор, словарь, safety gates и SCI-CIVIL-01|SCI-CIVIL-02|SCI-CIVIL-03</x:v>
      </x:c>
      <x:c r="E12" s="53" t="str">
        <x:v>Выполнить расчёт/анализ данных по первым 4 темам с единицами и проверкой.</x:v>
      </x:c>
      <x:c r="F12" s="53" t="str">
        <x:v>Собрать безопасный наблюдательный ряд, не изменяя объект и не создавая опасность.</x:v>
      </x:c>
      <x:c r="G12" s="53" t="str">
        <x:v>Выполнить разрешённый проект по письменному протоколу с raw data, uncertainty и stop conditions.</x:v>
      </x:c>
      <x:c r="H12" s="53" t="str">
        <x:v>Передать пакет новичку; он повторяет без устной помощи автора и объясняет пределы.</x:v>
      </x:c>
      <x:c r="I12" s="53" t="str">
        <x:v>Только строки S0/S1; S2+ остаются gated</x:v>
      </x:c>
      <x:c r="J12" s="53" t="str">
        <x:v>ANNUAL|AFTER_12M_NO_PRACTICE|AFTER_METHOD_CHANGE</x:v>
      </x:c>
      <x:c r="K12" s="53" t="str">
        <x:v>quiz_without_notes|calculation|raw_log|review|teach_back</x:v>
      </x:c>
      <x:c r="L12" s="53" t="str">
        <x:v>CURRICULUM_DESIGN_ONLY</x:v>
      </x:c>
      <x:c r="M12" s="53" t="str">
        <x:v>0.4</x:v>
      </x:c>
    </x:row>
    <x:row r="13">
      <x:c r="A13" s="26" t="str">
        <x:v>LP-10</x:v>
      </x:c>
      <x:c r="B13" s="26" t="str">
        <x:v>MECH</x:v>
      </x:c>
      <x:c r="C13" s="26" t="str">
        <x:v>Механика, производство и ремонт</x:v>
      </x:c>
      <x:c r="D13" s="26" t="str">
        <x:v>Открыть обзор, словарь, safety gates и SCI-MECH-01|SCI-MECH-02|SCI-MECH-03</x:v>
      </x:c>
      <x:c r="E13" s="26" t="str">
        <x:v>Выполнить расчёт/анализ данных по первым 4 темам с единицами и проверкой.</x:v>
      </x:c>
      <x:c r="F13" s="26" t="str">
        <x:v>Собрать безопасный наблюдательный ряд, не изменяя объект и не создавая опасность.</x:v>
      </x:c>
      <x:c r="G13" s="26" t="str">
        <x:v>Выполнить разрешённый проект по письменному протоколу с raw data, uncertainty и stop conditions.</x:v>
      </x:c>
      <x:c r="H13" s="26" t="str">
        <x:v>Передать пакет новичку; он повторяет без устной помощи автора и объясняет пределы.</x:v>
      </x:c>
      <x:c r="I13" s="26" t="str">
        <x:v>Только строки S0/S1; S2+ остаются gated</x:v>
      </x:c>
      <x:c r="J13" s="26" t="str">
        <x:v>ANNUAL|AFTER_12M_NO_PRACTICE|AFTER_METHOD_CHANGE</x:v>
      </x:c>
      <x:c r="K13" s="26" t="str">
        <x:v>quiz_without_notes|calculation|raw_log|review|teach_back</x:v>
      </x:c>
      <x:c r="L13" s="26" t="str">
        <x:v>CURRICULUM_DESIGN_ONLY</x:v>
      </x:c>
      <x:c r="M13" s="26" t="str">
        <x:v>0.4</x:v>
      </x:c>
    </x:row>
    <x:row r="14">
      <x:c r="A14" s="53" t="str">
        <x:v>LP-11</x:v>
      </x:c>
      <x:c r="B14" s="53" t="str">
        <x:v>ELEC</x:v>
      </x:c>
      <x:c r="C14" s="53" t="str">
        <x:v>Электротехника, электроника и энергия</x:v>
      </x:c>
      <x:c r="D14" s="53" t="str">
        <x:v>Открыть обзор, словарь, safety gates и SCI-ELEC-01|SCI-ELEC-02|SCI-ELEC-03</x:v>
      </x:c>
      <x:c r="E14" s="53" t="str">
        <x:v>Выполнить расчёт/анализ данных по первым 4 темам с единицами и проверкой.</x:v>
      </x:c>
      <x:c r="F14" s="53" t="str">
        <x:v>Собрать безопасный наблюдательный ряд, не изменяя объект и не создавая опасность.</x:v>
      </x:c>
      <x:c r="G14" s="53" t="str">
        <x:v>Выполнить разрешённый проект по письменному протоколу с raw data, uncertainty и stop conditions.</x:v>
      </x:c>
      <x:c r="H14" s="53" t="str">
        <x:v>Передать пакет новичку; он повторяет без устной помощи автора и объясняет пределы.</x:v>
      </x:c>
      <x:c r="I14" s="53" t="str">
        <x:v>Только строки S0/S1; S2+ остаются gated</x:v>
      </x:c>
      <x:c r="J14" s="53" t="str">
        <x:v>ANNUAL|AFTER_12M_NO_PRACTICE|AFTER_METHOD_CHANGE</x:v>
      </x:c>
      <x:c r="K14" s="53" t="str">
        <x:v>quiz_without_notes|calculation|raw_log|review|teach_back</x:v>
      </x:c>
      <x:c r="L14" s="53" t="str">
        <x:v>CURRICULUM_DESIGN_ONLY</x:v>
      </x:c>
      <x:c r="M14" s="53" t="str">
        <x:v>0.4</x:v>
      </x:c>
    </x:row>
    <x:row r="15">
      <x:c r="A15" s="26" t="str">
        <x:v>LP-12</x:v>
      </x:c>
      <x:c r="B15" s="26" t="str">
        <x:v>COMP</x:v>
      </x:c>
      <x:c r="C15" s="26" t="str">
        <x:v>Вычисления и цифровая инженерия</x:v>
      </x:c>
      <x:c r="D15" s="26" t="str">
        <x:v>Открыть обзор, словарь, safety gates и SCI-COMP-01|SCI-COMP-02|SCI-COMP-03</x:v>
      </x:c>
      <x:c r="E15" s="26" t="str">
        <x:v>Выполнить расчёт/анализ данных по первым 4 темам с единицами и проверкой.</x:v>
      </x:c>
      <x:c r="F15" s="26" t="str">
        <x:v>Собрать безопасный наблюдательный ряд, не изменяя объект и не создавая опасность.</x:v>
      </x:c>
      <x:c r="G15" s="26" t="str">
        <x:v>Выполнить разрешённый проект по письменному протоколу с raw data, uncertainty и stop conditions.</x:v>
      </x:c>
      <x:c r="H15" s="26" t="str">
        <x:v>Передать пакет новичку; он повторяет без устной помощи автора и объясняет пределы.</x:v>
      </x:c>
      <x:c r="I15" s="26" t="str">
        <x:v>S0; отдельные S1 после checklist</x:v>
      </x:c>
      <x:c r="J15" s="26" t="str">
        <x:v>ANNUAL|AFTER_12M_NO_PRACTICE|AFTER_METHOD_CHANGE</x:v>
      </x:c>
      <x:c r="K15" s="26" t="str">
        <x:v>quiz_without_notes|calculation|raw_log|review|teach_back</x:v>
      </x:c>
      <x:c r="L15" s="26" t="str">
        <x:v>CURRICULUM_DESIGN_ONLY</x:v>
      </x:c>
      <x:c r="M15" s="26" t="str">
        <x:v>0.4</x:v>
      </x:c>
    </x:row>
    <x:row r="16">
      <x:c r="A16" s="53" t="str">
        <x:v>LP-13</x:v>
      </x:c>
      <x:c r="B16" s="53" t="str">
        <x:v>EDU</x:v>
      </x:c>
      <x:c r="C16" s="53" t="str">
        <x:v>Обучение, язык и передача навыка</x:v>
      </x:c>
      <x:c r="D16" s="53" t="str">
        <x:v>Открыть обзор, словарь, safety gates и SCI-EDU-01|SCI-EDU-02|SCI-EDU-03</x:v>
      </x:c>
      <x:c r="E16" s="53" t="str">
        <x:v>Выполнить расчёт/анализ данных по первым 4 темам с единицами и проверкой.</x:v>
      </x:c>
      <x:c r="F16" s="53" t="str">
        <x:v>Собрать безопасный наблюдательный ряд, не изменяя объект и не создавая опасность.</x:v>
      </x:c>
      <x:c r="G16" s="53" t="str">
        <x:v>Выполнить разрешённый проект по письменному протоколу с raw data, uncertainty и stop conditions.</x:v>
      </x:c>
      <x:c r="H16" s="53" t="str">
        <x:v>Передать пакет новичку; он повторяет без устной помощи автора и объясняет пределы.</x:v>
      </x:c>
      <x:c r="I16" s="53" t="str">
        <x:v>S0; отдельные S1 после checklist</x:v>
      </x:c>
      <x:c r="J16" s="53" t="str">
        <x:v>ANNUAL|AFTER_12M_NO_PRACTICE|AFTER_METHOD_CHANGE</x:v>
      </x:c>
      <x:c r="K16" s="53" t="str">
        <x:v>quiz_without_notes|calculation|raw_log|review|teach_back</x:v>
      </x:c>
      <x:c r="L16" s="53" t="str">
        <x:v>CURRICULUM_DESIGN_ONLY</x:v>
      </x:c>
      <x:c r="M16" s="53" t="str">
        <x:v>0.4</x:v>
      </x:c>
    </x:row>
    <x:row r="17">
      <x:c r="A17" s="26" t="str">
        <x:v>LP-14</x:v>
      </x:c>
      <x:c r="B17" s="26" t="str">
        <x:v>OPS</x:v>
      </x:c>
      <x:c r="C17" s="26" t="str">
        <x:v>Операции, экономика и управление</x:v>
      </x:c>
      <x:c r="D17" s="26" t="str">
        <x:v>Открыть обзор, словарь, safety gates и SCI-OPS-01|SCI-OPS-02|SCI-OPS-03</x:v>
      </x:c>
      <x:c r="E17" s="26" t="str">
        <x:v>Выполнить расчёт/анализ данных по первым 4 темам с единицами и проверкой.</x:v>
      </x:c>
      <x:c r="F17" s="26" t="str">
        <x:v>Собрать безопасный наблюдательный ряд, не изменяя объект и не создавая опасность.</x:v>
      </x:c>
      <x:c r="G17" s="26" t="str">
        <x:v>Выполнить разрешённый проект по письменному протоколу с raw data, uncertainty и stop conditions.</x:v>
      </x:c>
      <x:c r="H17" s="26" t="str">
        <x:v>Передать пакет новичку; он повторяет без устной помощи автора и объясняет пределы.</x:v>
      </x:c>
      <x:c r="I17" s="26" t="str">
        <x:v>S0; отдельные S1 после checklist</x:v>
      </x:c>
      <x:c r="J17" s="26" t="str">
        <x:v>ANNUAL|AFTER_12M_NO_PRACTICE|AFTER_METHOD_CHANGE</x:v>
      </x:c>
      <x:c r="K17" s="26" t="str">
        <x:v>quiz_without_notes|calculation|raw_log|review|teach_back</x:v>
      </x:c>
      <x:c r="L17" s="26" t="str">
        <x:v>CURRICULUM_DESIGN_ONLY</x:v>
      </x:c>
      <x:c r="M17" s="26" t="str">
        <x:v>0.4</x:v>
      </x:c>
    </x:row>
    <x:row r="18">
      <x:c r="A18" s="53" t="str">
        <x:v>LP-15</x:v>
      </x:c>
      <x:c r="B18" s="53" t="str">
        <x:v>ARCH</x:v>
      </x:c>
      <x:c r="C18" s="53" t="str">
        <x:v>Сохранение знаний и цифровой архив</x:v>
      </x:c>
      <x:c r="D18" s="53" t="str">
        <x:v>Открыть обзор, словарь, safety gates и SCI-ARCH-01|SCI-ARCH-02|SCI-ARCH-03</x:v>
      </x:c>
      <x:c r="E18" s="53" t="str">
        <x:v>Выполнить расчёт/анализ данных по первым 4 темам с единицами и проверкой.</x:v>
      </x:c>
      <x:c r="F18" s="53" t="str">
        <x:v>Собрать безопасный наблюдательный ряд, не изменяя объект и не создавая опасность.</x:v>
      </x:c>
      <x:c r="G18" s="53" t="str">
        <x:v>Выполнить разрешённый проект по письменному протоколу с raw data, uncertainty и stop conditions.</x:v>
      </x:c>
      <x:c r="H18" s="53" t="str">
        <x:v>Передать пакет новичку; он повторяет без устной помощи автора и объясняет пределы.</x:v>
      </x:c>
      <x:c r="I18" s="53" t="str">
        <x:v>S0; отдельные S1 после checklist</x:v>
      </x:c>
      <x:c r="J18" s="53" t="str">
        <x:v>ANNUAL|AFTER_12M_NO_PRACTICE|AFTER_METHOD_CHANGE</x:v>
      </x:c>
      <x:c r="K18" s="53" t="str">
        <x:v>quiz_without_notes|calculation|raw_log|review|teach_back</x:v>
      </x:c>
      <x:c r="L18" s="53" t="str">
        <x:v>CURRICULUM_DESIGN_ONLY</x:v>
      </x:c>
      <x:c r="M18" s="53" t="str">
        <x:v>0.4</x:v>
      </x:c>
    </x:row>
    <x:row r="19">
      <x:c r="A19" s="26" t="str">
        <x:v>LP-16</x:v>
      </x:c>
      <x:c r="B19" s="26" t="str">
        <x:v>PORT</x:v>
      </x:c>
      <x:c r="C19" s="26" t="str">
        <x:v>Локализация Португалия / ЕС</x:v>
      </x:c>
      <x:c r="D19" s="26" t="str">
        <x:v>Открыть обзор, словарь, safety gates и SCI-PORT-01|SCI-PORT-02|SCI-PORT-03</x:v>
      </x:c>
      <x:c r="E19" s="26" t="str">
        <x:v>Выполнить расчёт/анализ данных по первым 4 темам с единицами и проверкой.</x:v>
      </x:c>
      <x:c r="F19" s="26" t="str">
        <x:v>Собрать безопасный наблюдательный ряд, не изменяя объект и не создавая опасность.</x:v>
      </x:c>
      <x:c r="G19" s="26" t="str">
        <x:v>Выполнить разрешённый проект по письменному протоколу с raw data, uncertainty и stop conditions.</x:v>
      </x:c>
      <x:c r="H19" s="26" t="str">
        <x:v>Передать пакет новичку; он повторяет без устной помощи автора и объясняет пределы.</x:v>
      </x:c>
      <x:c r="I19" s="26" t="str">
        <x:v>S0; отдельные S1 после checklist</x:v>
      </x:c>
      <x:c r="J19" s="26" t="str">
        <x:v>ANNUAL|AFTER_12M_NO_PRACTICE|AFTER_METHOD_CHANGE</x:v>
      </x:c>
      <x:c r="K19" s="26" t="str">
        <x:v>quiz_without_notes|calculation|raw_log|review|teach_back</x:v>
      </x:c>
      <x:c r="L19" s="26" t="str">
        <x:v>CURRICULUM_DESIGN_ONLY</x:v>
      </x:c>
      <x:c r="M19" s="26" t="str">
        <x:v>0.4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</x:cols>
  <x:sheetData>
    <x:row r="1" ht="32" customHeight="1">
      <x:c r="A1" s="42" t="str">
        <x:v>ШАБЛОН ВОСПРОИЗВОДИМОГО ПРОТОКОЛА</x:v>
      </x:c>
      <x:c r="B1" s="3" t="str">
        <x:v>ШАБЛОН ВОСПРОИЗВОДИМОГО ПРОТОКОЛА</x:v>
      </x:c>
      <x:c r="C1" s="3" t="str">
        <x:v>ШАБЛОН ВОСПРОИЗВОДИМОГО ПРОТОКОЛА</x:v>
      </x:c>
      <x:c r="D1" s="3" t="str">
        <x:v>ШАБЛОН ВОСПРОИЗВОДИМОГО ПРОТОКОЛА</x:v>
      </x:c>
      <x:c r="E1" s="3" t="str">
        <x:v>ШАБЛОН ВОСПРОИЗВОДИМОГО ПРОТОКОЛА</x:v>
      </x:c>
      <x:c r="F1" s="3" t="str">
        <x:v>ШАБЛОН ВОСПРОИЗВОДИМОГО ПРОТОКОЛА</x:v>
      </x:c>
      <x:c r="G1" s="3" t="str">
        <x:v>ШАБЛОН ВОСПРОИЗВОДИМОГО ПРОТОКОЛА</x:v>
      </x:c>
      <x:c r="H1" s="3" t="str">
        <x:v>ШАБЛОН ВОСПРОИЗВОДИМОГО ПРОТОКОЛА</x:v>
      </x:c>
      <x:c r="I1" s="3" t="str">
        <x:v>ШАБЛОН ВОСПРОИЗВОДИМОГО ПРОТОКОЛА</x:v>
      </x:c>
      <x:c r="J1" s="3" t="str">
        <x:v>ШАБЛОН ВОСПРОИЗВОДИМОГО ПРОТОКОЛА</x:v>
      </x:c>
      <x:c r="K1" s="3" t="str">
        <x:v>ШАБЛОН ВОСПРОИЗВОДИМОГО ПРОТОКОЛА</x:v>
      </x:c>
      <x:c r="L1" s="3" t="str">
        <x:v>ШАБЛОН ВОСПРОИЗВОДИМОГО ПРОТОКОЛА</x:v>
      </x:c>
      <x:c r="M1" s="3" t="str">
        <x:v>ШАБЛОН ВОСПРОИЗВОДИМОГО ПРОТОКОЛА</x:v>
      </x:c>
      <x:c r="N1" s="3" t="str">
        <x:v>ШАБЛОН ВОСПРОИЗВОДИМОГО ПРОТОКОЛА</x:v>
      </x:c>
      <x:c r="O1" s="3" t="str">
        <x:v>ШАБЛОН ВОСПРОИЗВОДИМОГО ПРОТОКОЛА</x:v>
      </x:c>
      <x:c r="P1" s="3" t="str">
        <x:v>ШАБЛОН ВОСПРОИЗВОДИМОГО ПРОТОКОЛА</x:v>
      </x:c>
      <x:c r="Q1" s="3" t="str">
        <x:v>ШАБЛОН ВОСПРОИЗВОДИМОГО ПРОТОКОЛА</x:v>
      </x:c>
      <x:c r="R1" s="3" t="str">
        <x:v>ШАБЛОН ВОСПРОИЗВОДИМОГО ПРОТОКОЛА</x:v>
      </x:c>
      <x:c r="S1" s="3" t="str">
        <x:v>ШАБЛОН ВОСПРОИЗВОДИМОГО ПРОТОКОЛА</x:v>
      </x:c>
      <x:c r="T1" s="3" t="str">
        <x:v>ШАБЛОН ВОСПРОИЗВОДИМОГО ПРОТОКОЛА</x:v>
      </x:c>
      <x:c r="U1" s="3" t="str">
        <x:v>ШАБЛОН ВОСПРОИЗВОДИМОГО ПРОТОКОЛА</x:v>
      </x:c>
      <x:c r="V1" s="3" t="str">
        <x:v>ШАБЛОН ВОСПРОИЗВОДИМОГО ПРОТОКОЛА</x:v>
      </x:c>
    </x:row>
    <x:row r="2" ht="38" customHeight="1">
      <x:c r="A2" s="7" t="str">
        <x:v>Пример НЕ выполнялся; замените TBD до начала, не меняйте критерий успеха после просмотра результата</x:v>
      </x:c>
      <x:c r="B2" s="7" t="str">
        <x:v>Пример НЕ выполнялся; замените TBD до начала, не меняйте критерий успеха после просмотра результата</x:v>
      </x:c>
      <x:c r="C2" s="7" t="str">
        <x:v>Пример НЕ выполнялся; замените TBD до начала, не меняйте критерий успеха после просмотра результата</x:v>
      </x:c>
      <x:c r="D2" s="7" t="str">
        <x:v>Пример НЕ выполнялся; замените TBD до начала, не меняйте критерий успеха после просмотра результата</x:v>
      </x:c>
      <x:c r="E2" s="7" t="str">
        <x:v>Пример НЕ выполнялся; замените TBD до начала, не меняйте критерий успеха после просмотра результата</x:v>
      </x:c>
      <x:c r="F2" s="7" t="str">
        <x:v>Пример НЕ выполнялся; замените TBD до начала, не меняйте критерий успеха после просмотра результата</x:v>
      </x:c>
      <x:c r="G2" s="7" t="str">
        <x:v>Пример НЕ выполнялся; замените TBD до начала, не меняйте критерий успеха после просмотра результата</x:v>
      </x:c>
      <x:c r="H2" s="7" t="str">
        <x:v>Пример НЕ выполнялся; замените TBD до начала, не меняйте критерий успеха после просмотра результата</x:v>
      </x:c>
      <x:c r="I2" s="7" t="str">
        <x:v>Пример НЕ выполнялся; замените TBD до начала, не меняйте критерий успеха после просмотра результата</x:v>
      </x:c>
      <x:c r="J2" s="7" t="str">
        <x:v>Пример НЕ выполнялся; замените TBD до начала, не меняйте критерий успеха после просмотра результата</x:v>
      </x:c>
      <x:c r="K2" s="7" t="str">
        <x:v>Пример НЕ выполнялся; замените TBD до начала, не меняйте критерий успеха после просмотра результата</x:v>
      </x:c>
      <x:c r="L2" s="7" t="str">
        <x:v>Пример НЕ выполнялся; замените TBD до начала, не меняйте критерий успеха после просмотра результата</x:v>
      </x:c>
      <x:c r="M2" s="7" t="str">
        <x:v>Пример НЕ выполнялся; замените TBD до начала, не меняйте критерий успеха после просмотра результата</x:v>
      </x:c>
      <x:c r="N2" s="7" t="str">
        <x:v>Пример НЕ выполнялся; замените TBD до начала, не меняйте критерий успеха после просмотра результата</x:v>
      </x:c>
      <x:c r="O2" s="7" t="str">
        <x:v>Пример НЕ выполнялся; замените TBD до начала, не меняйте критерий успеха после просмотра результата</x:v>
      </x:c>
      <x:c r="P2" s="7" t="str">
        <x:v>Пример НЕ выполнялся; замените TBD до начала, не меняйте критерий успеха после просмотра результата</x:v>
      </x:c>
      <x:c r="Q2" s="7" t="str">
        <x:v>Пример НЕ выполнялся; замените TBD до начала, не меняйте критерий успеха после просмотра результата</x:v>
      </x:c>
      <x:c r="R2" s="7" t="str">
        <x:v>Пример НЕ выполнялся; замените TBD до начала, не меняйте критерий успеха после просмотра результата</x:v>
      </x:c>
      <x:c r="S2" s="7" t="str">
        <x:v>Пример НЕ выполнялся; замените TBD до начала, не меняйте критерий успеха после просмотра результата</x:v>
      </x:c>
      <x:c r="T2" s="7" t="str">
        <x:v>Пример НЕ выполнялся; замените TBD до начала, не меняйте критерий успеха после просмотра результата</x:v>
      </x:c>
      <x:c r="U2" s="7" t="str">
        <x:v>Пример НЕ выполнялся; замените TBD до начала, не меняйте критерий успеха после просмотра результата</x:v>
      </x:c>
      <x:c r="V2" s="7" t="str">
        <x:v>Пример НЕ выполнялся; замените TBD до начала, не меняйте критерий успеха после просмотра результата</x:v>
      </x:c>
    </x:row>
    <x:row r="3" ht="34" customHeight="1">
      <x:c r="A3" s="52" t="str">
        <x:v>experiment_id</x:v>
      </x:c>
      <x:c r="B3" s="52" t="str">
        <x:v>domain_id</x:v>
      </x:c>
      <x:c r="C3" s="52" t="str">
        <x:v>question</x:v>
      </x:c>
      <x:c r="D3" s="52" t="str">
        <x:v>hypothesis</x:v>
      </x:c>
      <x:c r="E3" s="52" t="str">
        <x:v>independent_variable</x:v>
      </x:c>
      <x:c r="F3" s="52" t="str">
        <x:v>dependent_variable</x:v>
      </x:c>
      <x:c r="G3" s="52" t="str">
        <x:v>controls</x:v>
      </x:c>
      <x:c r="H3" s="52" t="str">
        <x:v>sampling_plan</x:v>
      </x:c>
      <x:c r="I3" s="52" t="str">
        <x:v>instrument_ids</x:v>
      </x:c>
      <x:c r="J3" s="52" t="str">
        <x:v>calibration_record</x:v>
      </x:c>
      <x:c r="K3" s="52" t="str">
        <x:v>method_version</x:v>
      </x:c>
      <x:c r="L3" s="52" t="str">
        <x:v>preregistered_expected_range</x:v>
      </x:c>
      <x:c r="M3" s="52" t="str">
        <x:v>raw_data_path</x:v>
      </x:c>
      <x:c r="N3" s="52" t="str">
        <x:v>calculation</x:v>
      </x:c>
      <x:c r="O3" s="52" t="str">
        <x:v>uncertainty</x:v>
      </x:c>
      <x:c r="P3" s="52" t="str">
        <x:v>hazards</x:v>
      </x:c>
      <x:c r="Q3" s="52" t="str">
        <x:v>stop_conditions</x:v>
      </x:c>
      <x:c r="R3" s="52" t="str">
        <x:v>result</x:v>
      </x:c>
      <x:c r="S3" s="52" t="str">
        <x:v>interpretation</x:v>
      </x:c>
      <x:c r="T3" s="52" t="str">
        <x:v>limitations</x:v>
      </x:c>
      <x:c r="U3" s="52" t="str">
        <x:v>reviewer</x:v>
      </x:c>
      <x:c r="V3" s="52" t="str">
        <x:v>evidence_hash</x:v>
      </x:c>
      <x:c r="W3" s="52" t="str">
        <x:v>release_state</x:v>
      </x:c>
      <x:c r="X3" s="52" t="str">
        <x:v>release_version</x:v>
      </x:c>
    </x:row>
    <x:row r="4">
      <x:c r="A4" s="53" t="str">
        <x:v>EXP-EXAMPLE-001</x:v>
      </x:c>
      <x:c r="B4" s="53" t="str">
        <x:v>SCI-PHYS-10</x:v>
      </x:c>
      <x:c r="C4" s="53" t="str">
        <x:v>Как одинаковый объём воды 35–40 °C остывает в двух разных изоляционных оболочках?</x:v>
      </x:c>
      <x:c r="D4" s="53" t="str">
        <x:v>Оболочка A уменьшит скорость охлаждения относительно B.</x:v>
      </x:c>
      <x:c r="E4" s="53" t="str">
        <x:v>тип оболочки</x:v>
      </x:c>
      <x:c r="F4" s="53" t="str">
        <x:v>температура воды, °C</x:v>
      </x:c>
      <x:c r="G4" s="53" t="str">
        <x:v>одинаковые устойчивые небьющиеся ёмкости, объём, начальная температура 35–40 °C, место, время отсчёта</x:v>
      </x:c>
      <x:c r="H4" s="53" t="str">
        <x:v>каждые 5 минут в течение 30 минут; 3 независимых повтора</x:v>
      </x:c>
      <x:c r="I4" s="53" t="str">
        <x:v>INS-013|INS-011|INS-026</x:v>
      </x:c>
      <x:c r="J4" s="53" t="str">
        <x:v>zero/2-point check per instrument register; exact result TBD before run</x:v>
      </x:c>
      <x:c r="K4" s="53" t="str">
        <x:v>DRAFT-0.1</x:v>
      </x:c>
      <x:c r="L4" s="53" t="str">
        <x:v>TBD_FROM_SOURCE_AND_PILOT</x:v>
      </x:c>
      <x:c r="M4" s="53" t="str">
        <x:v>records/science/SCI-PHYS-10/YYYY-MM-DD/raw.csv</x:v>
      </x:c>
      <x:c r="N4" s="53" t="str">
        <x:v>температурное падение и средняя скорость °C/min; сравнить повторы</x:v>
      </x:c>
      <x:c r="O4" s="53" t="str">
        <x:v>resolution + repeat spread + operator timing</x:v>
      </x:c>
      <x:c r="P4" s="53" t="str">
        <x:v>небольшой пролив/скольжение; контакт с тёплой водой; опрокидывание ёмкости</x:v>
      </x:c>
      <x:c r="Q4" s="53" t="str">
        <x:v>STOP до старта, если вода &gt;40 °C; STOP при повреждении/неустойчивости ёмкости, любом проливе возле подключённого оборудования или невозможности удерживать сухую устойчивую площадку</x:v>
      </x:c>
      <x:c r="R4" s="53" t="str">
        <x:v>NOT_RUN</x:v>
      </x:c>
      <x:c r="S4" s="53" t="str">
        <x:v>NOT_RUN</x:v>
      </x:c>
      <x:c r="T4" s="53" t="str">
        <x:v>room airflow/container differences; no claim beyond tested range</x:v>
      </x:c>
      <x:c r="U4" s="53" t="str">
        <x:v>TBD</x:v>
      </x:c>
      <x:c r="V4" s="53" t="str"/>
      <x:c r="W4" s="53" t="str">
        <x:v>TEMPLATE_EXAMPLE_NOT_EXECUTED</x:v>
      </x:c>
      <x:c r="X4" s="53" t="str">
        <x:v>0.4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42" t="str">
        <x:v>СЫРОЙ ЖУРНАЛ НАБЛЮДЕНИЙ</x:v>
      </x:c>
      <x:c r="B1" s="3" t="str">
        <x:v>СЫРОЙ ЖУРНАЛ НАБЛЮДЕНИЙ</x:v>
      </x:c>
      <x:c r="C1" s="3" t="str">
        <x:v>СЫРОЙ ЖУРНАЛ НАБЛЮДЕНИЙ</x:v>
      </x:c>
      <x:c r="D1" s="3" t="str">
        <x:v>СЫРОЙ ЖУРНАЛ НАБЛЮДЕНИЙ</x:v>
      </x:c>
      <x:c r="E1" s="3" t="str">
        <x:v>СЫРОЙ ЖУРНАЛ НАБЛЮДЕНИЙ</x:v>
      </x:c>
      <x:c r="F1" s="3" t="str">
        <x:v>СЫРОЙ ЖУРНАЛ НАБЛЮДЕНИЙ</x:v>
      </x:c>
      <x:c r="G1" s="3" t="str">
        <x:v>СЫРОЙ ЖУРНАЛ НАБЛЮДЕНИЙ</x:v>
      </x:c>
      <x:c r="H1" s="3" t="str">
        <x:v>СЫРОЙ ЖУРНАЛ НАБЛЮДЕНИЙ</x:v>
      </x:c>
      <x:c r="I1" s="3" t="str">
        <x:v>СЫРОЙ ЖУРНАЛ НАБЛЮДЕНИЙ</x:v>
      </x:c>
      <x:c r="J1" s="3" t="str">
        <x:v>СЫРОЙ ЖУРНАЛ НАБЛЮДЕНИЙ</x:v>
      </x:c>
      <x:c r="K1" s="3" t="str">
        <x:v>СЫРОЙ ЖУРНАЛ НАБЛЮДЕНИЙ</x:v>
      </x:c>
      <x:c r="L1" s="3" t="str">
        <x:v>СЫРОЙ ЖУРНАЛ НАБЛЮДЕНИЙ</x:v>
      </x:c>
      <x:c r="M1" s="3" t="str">
        <x:v>СЫРОЙ ЖУРНАЛ НАБЛЮДЕНИЙ</x:v>
      </x:c>
      <x:c r="N1" s="3" t="str">
        <x:v>СЫРОЙ ЖУРНАЛ НАБЛЮДЕНИЙ</x:v>
      </x:c>
      <x:c r="O1" s="3" t="str">
        <x:v>СЫРОЙ ЖУРНАЛ НАБЛЮДЕНИЙ</x:v>
      </x:c>
      <x:c r="P1" s="3" t="str">
        <x:v>СЫРОЙ ЖУРНАЛ НАБЛЮДЕНИЙ</x:v>
      </x:c>
      <x:c r="Q1" s="3" t="str">
        <x:v>СЫРОЙ ЖУРНАЛ НАБЛЮДЕНИЙ</x:v>
      </x:c>
    </x:row>
    <x:row r="2" ht="38" customHeight="1">
      <x:c r="A2" s="7" t="str">
        <x:v>Одна строка = одно наблюдение · единицы отдельны · сырые строки не перезаписываются после анализа</x:v>
      </x:c>
      <x:c r="B2" s="7" t="str">
        <x:v>Одна строка = одно наблюдение · единицы отдельны · сырые строки не перезаписываются после анализа</x:v>
      </x:c>
      <x:c r="C2" s="7" t="str">
        <x:v>Одна строка = одно наблюдение · единицы отдельны · сырые строки не перезаписываются после анализа</x:v>
      </x:c>
      <x:c r="D2" s="7" t="str">
        <x:v>Одна строка = одно наблюдение · единицы отдельны · сырые строки не перезаписываются после анализа</x:v>
      </x:c>
      <x:c r="E2" s="7" t="str">
        <x:v>Одна строка = одно наблюдение · единицы отдельны · сырые строки не перезаписываются после анализа</x:v>
      </x:c>
      <x:c r="F2" s="7" t="str">
        <x:v>Одна строка = одно наблюдение · единицы отдельны · сырые строки не перезаписываются после анализа</x:v>
      </x:c>
      <x:c r="G2" s="7" t="str">
        <x:v>Одна строка = одно наблюдение · единицы отдельны · сырые строки не перезаписываются после анализа</x:v>
      </x:c>
      <x:c r="H2" s="7" t="str">
        <x:v>Одна строка = одно наблюдение · единицы отдельны · сырые строки не перезаписываются после анализа</x:v>
      </x:c>
      <x:c r="I2" s="7" t="str">
        <x:v>Одна строка = одно наблюдение · единицы отдельны · сырые строки не перезаписываются после анализа</x:v>
      </x:c>
      <x:c r="J2" s="7" t="str">
        <x:v>Одна строка = одно наблюдение · единицы отдельны · сырые строки не перезаписываются после анализа</x:v>
      </x:c>
      <x:c r="K2" s="7" t="str">
        <x:v>Одна строка = одно наблюдение · единицы отдельны · сырые строки не перезаписываются после анализа</x:v>
      </x:c>
      <x:c r="L2" s="7" t="str">
        <x:v>Одна строка = одно наблюдение · единицы отдельны · сырые строки не перезаписываются после анализа</x:v>
      </x:c>
      <x:c r="M2" s="7" t="str">
        <x:v>Одна строка = одно наблюдение · единицы отдельны · сырые строки не перезаписываются после анализа</x:v>
      </x:c>
      <x:c r="N2" s="7" t="str">
        <x:v>Одна строка = одно наблюдение · единицы отдельны · сырые строки не перезаписываются после анализа</x:v>
      </x:c>
      <x:c r="O2" s="7" t="str">
        <x:v>Одна строка = одно наблюдение · единицы отдельны · сырые строки не перезаписываются после анализа</x:v>
      </x:c>
      <x:c r="P2" s="7" t="str">
        <x:v>Одна строка = одно наблюдение · единицы отдельны · сырые строки не перезаписываются после анализа</x:v>
      </x:c>
      <x:c r="Q2" s="7" t="str">
        <x:v>Одна строка = одно наблюдение · единицы отдельны · сырые строки не перезаписываются после анализа</x:v>
      </x:c>
    </x:row>
    <x:row r="3" ht="34" customHeight="1">
      <x:c r="A3" s="52" t="str">
        <x:v>observation_id</x:v>
      </x:c>
      <x:c r="B3" s="52" t="str">
        <x:v>experiment_id</x:v>
      </x:c>
      <x:c r="C3" s="52" t="str">
        <x:v>timestamp_iso8601</x:v>
      </x:c>
      <x:c r="D3" s="52" t="str">
        <x:v>operator_id</x:v>
      </x:c>
      <x:c r="E3" s="52" t="str">
        <x:v>replicate</x:v>
      </x:c>
      <x:c r="F3" s="52" t="str">
        <x:v>instrument_id</x:v>
      </x:c>
      <x:c r="G3" s="52" t="str">
        <x:v>calibration_record_id</x:v>
      </x:c>
      <x:c r="H3" s="52" t="str">
        <x:v>independent_value</x:v>
      </x:c>
      <x:c r="I3" s="52" t="str">
        <x:v>independent_unit</x:v>
      </x:c>
      <x:c r="J3" s="52" t="str">
        <x:v>dependent_value</x:v>
      </x:c>
      <x:c r="K3" s="52" t="str">
        <x:v>dependent_unit</x:v>
      </x:c>
      <x:c r="L3" s="52" t="str">
        <x:v>ambient_temperature_c</x:v>
      </x:c>
      <x:c r="M3" s="52" t="str">
        <x:v>ambient_rh_percent</x:v>
      </x:c>
      <x:c r="N3" s="52" t="str">
        <x:v>observation_note</x:v>
      </x:c>
      <x:c r="O3" s="52" t="str">
        <x:v>anomaly_flag</x:v>
      </x:c>
      <x:c r="P3" s="52" t="str">
        <x:v>photo_or_file_ref</x:v>
      </x:c>
      <x:c r="Q3" s="52" t="str">
        <x:v>row_lock_state</x:v>
      </x:c>
    </x:row>
    <x:row r="4">
      <x:c r="A4" s="53" t="str">
        <x:v>OBS-TEMPLATE-01</x:v>
      </x:c>
      <x:c r="B4" s="53" t="str">
        <x:v>TBD</x:v>
      </x:c>
      <x:c r="C4" s="53" t="str"/>
      <x:c r="D4" s="53" t="str"/>
      <x:c r="E4" s="53" t="str"/>
      <x:c r="F4" s="53" t="str"/>
      <x:c r="G4" s="53" t="str"/>
      <x:c r="H4" s="53" t="str"/>
      <x:c r="I4" s="53" t="str"/>
      <x:c r="J4" s="53" t="str"/>
      <x:c r="K4" s="53" t="str"/>
      <x:c r="L4" s="53" t="str"/>
      <x:c r="M4" s="53" t="str"/>
      <x:c r="N4" s="53" t="str"/>
      <x:c r="O4" s="53" t="str"/>
      <x:c r="P4" s="53" t="str"/>
      <x:c r="Q4" s="53" t="str">
        <x:v>BLANK_TEMPLATE</x:v>
      </x:c>
    </x:row>
    <x:row r="5">
      <x:c r="A5" s="26" t="str">
        <x:v>OBS-TEMPLATE-02</x:v>
      </x:c>
      <x:c r="B5" s="26" t="str">
        <x:v>TBD</x:v>
      </x:c>
      <x:c r="C5" s="26" t="str"/>
      <x:c r="D5" s="26" t="str"/>
      <x:c r="E5" s="26" t="str"/>
      <x:c r="F5" s="26" t="str"/>
      <x:c r="G5" s="26" t="str"/>
      <x:c r="H5" s="26" t="str"/>
      <x:c r="I5" s="26" t="str"/>
      <x:c r="J5" s="26" t="str"/>
      <x:c r="K5" s="26" t="str"/>
      <x:c r="L5" s="26" t="str"/>
      <x:c r="M5" s="26" t="str"/>
      <x:c r="N5" s="26" t="str"/>
      <x:c r="O5" s="26" t="str"/>
      <x:c r="P5" s="26" t="str"/>
      <x:c r="Q5" s="26" t="str">
        <x:v>BLANK_TEMPLATE</x:v>
      </x:c>
    </x:row>
    <x:row r="6">
      <x:c r="A6" s="53" t="str">
        <x:v>OBS-TEMPLATE-03</x:v>
      </x:c>
      <x:c r="B6" s="53" t="str">
        <x:v>TBD</x:v>
      </x:c>
      <x:c r="C6" s="53" t="str"/>
      <x:c r="D6" s="53" t="str"/>
      <x:c r="E6" s="53" t="str"/>
      <x:c r="F6" s="53" t="str"/>
      <x:c r="G6" s="53" t="str"/>
      <x:c r="H6" s="53" t="str"/>
      <x:c r="I6" s="53" t="str"/>
      <x:c r="J6" s="53" t="str"/>
      <x:c r="K6" s="53" t="str"/>
      <x:c r="L6" s="53" t="str"/>
      <x:c r="M6" s="53" t="str"/>
      <x:c r="N6" s="53" t="str"/>
      <x:c r="O6" s="53" t="str"/>
      <x:c r="P6" s="53" t="str"/>
      <x:c r="Q6" s="53" t="str">
        <x:v>BLANK_TEMPLATE</x:v>
      </x:c>
    </x:row>
    <x:row r="7">
      <x:c r="A7" s="26" t="str">
        <x:v>OBS-TEMPLATE-04</x:v>
      </x:c>
      <x:c r="B7" s="26" t="str">
        <x:v>TBD</x:v>
      </x:c>
      <x:c r="C7" s="26" t="str"/>
      <x:c r="D7" s="26" t="str"/>
      <x:c r="E7" s="26" t="str"/>
      <x:c r="F7" s="26" t="str"/>
      <x:c r="G7" s="26" t="str"/>
      <x:c r="H7" s="26" t="str"/>
      <x:c r="I7" s="26" t="str"/>
      <x:c r="J7" s="26" t="str"/>
      <x:c r="K7" s="26" t="str"/>
      <x:c r="L7" s="26" t="str"/>
      <x:c r="M7" s="26" t="str"/>
      <x:c r="N7" s="26" t="str"/>
      <x:c r="O7" s="26" t="str"/>
      <x:c r="P7" s="26" t="str"/>
      <x:c r="Q7" s="26" t="str">
        <x:v>BLANK_TEMPLATE</x:v>
      </x:c>
    </x:row>
    <x:row r="8">
      <x:c r="A8" s="53" t="str">
        <x:v>OBS-TEMPLATE-05</x:v>
      </x:c>
      <x:c r="B8" s="53" t="str">
        <x:v>TBD</x:v>
      </x:c>
      <x:c r="C8" s="53" t="str"/>
      <x:c r="D8" s="53" t="str"/>
      <x:c r="E8" s="53" t="str"/>
      <x:c r="F8" s="53" t="str"/>
      <x:c r="G8" s="53" t="str"/>
      <x:c r="H8" s="53" t="str"/>
      <x:c r="I8" s="53" t="str"/>
      <x:c r="J8" s="53" t="str"/>
      <x:c r="K8" s="53" t="str"/>
      <x:c r="L8" s="53" t="str"/>
      <x:c r="M8" s="53" t="str"/>
      <x:c r="N8" s="53" t="str"/>
      <x:c r="O8" s="53" t="str"/>
      <x:c r="P8" s="53" t="str"/>
      <x:c r="Q8" s="53" t="str">
        <x:v>BLANK_TEMPLATE</x:v>
      </x:c>
    </x:row>
    <x:row r="9">
      <x:c r="A9" s="26" t="str">
        <x:v>OBS-TEMPLATE-06</x:v>
      </x:c>
      <x:c r="B9" s="26" t="str">
        <x:v>TBD</x:v>
      </x:c>
      <x:c r="C9" s="26" t="str"/>
      <x:c r="D9" s="26" t="str"/>
      <x:c r="E9" s="26" t="str"/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  <x:c r="Q9" s="26" t="str">
        <x:v>BLANK_TEMPLATE</x:v>
      </x:c>
    </x:row>
    <x:row r="10">
      <x:c r="A10" s="53" t="str">
        <x:v>OBS-TEMPLATE-07</x:v>
      </x:c>
      <x:c r="B10" s="53" t="str">
        <x:v>TBD</x:v>
      </x:c>
      <x:c r="C10" s="53" t="str"/>
      <x:c r="D10" s="53" t="str"/>
      <x:c r="E10" s="53" t="str"/>
      <x:c r="F10" s="53" t="str"/>
      <x:c r="G10" s="53" t="str"/>
      <x:c r="H10" s="53" t="str"/>
      <x:c r="I10" s="53" t="str"/>
      <x:c r="J10" s="53" t="str"/>
      <x:c r="K10" s="53" t="str"/>
      <x:c r="L10" s="53" t="str"/>
      <x:c r="M10" s="53" t="str"/>
      <x:c r="N10" s="53" t="str"/>
      <x:c r="O10" s="53" t="str"/>
      <x:c r="P10" s="53" t="str"/>
      <x:c r="Q10" s="53" t="str">
        <x:v>BLANK_TEMPLATE</x:v>
      </x:c>
    </x:row>
    <x:row r="11">
      <x:c r="A11" s="26" t="str">
        <x:v>OBS-TEMPLATE-08</x:v>
      </x:c>
      <x:c r="B11" s="26" t="str">
        <x:v>TBD</x:v>
      </x:c>
      <x:c r="C11" s="26" t="str"/>
      <x:c r="D11" s="26" t="str"/>
      <x:c r="E11" s="26" t="str"/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>
        <x:v>BLANK_TEMPLATE</x:v>
      </x:c>
    </x:row>
    <x:row r="12">
      <x:c r="A12" s="53" t="str">
        <x:v>OBS-TEMPLATE-09</x:v>
      </x:c>
      <x:c r="B12" s="53" t="str">
        <x:v>TBD</x:v>
      </x:c>
      <x:c r="C12" s="53" t="str"/>
      <x:c r="D12" s="53" t="str"/>
      <x:c r="E12" s="53" t="str"/>
      <x:c r="F12" s="53" t="str"/>
      <x:c r="G12" s="53" t="str"/>
      <x:c r="H12" s="53" t="str"/>
      <x:c r="I12" s="53" t="str"/>
      <x:c r="J12" s="53" t="str"/>
      <x:c r="K12" s="53" t="str"/>
      <x:c r="L12" s="53" t="str"/>
      <x:c r="M12" s="53" t="str"/>
      <x:c r="N12" s="53" t="str"/>
      <x:c r="O12" s="53" t="str"/>
      <x:c r="P12" s="53" t="str"/>
      <x:c r="Q12" s="53" t="str">
        <x:v>BLANK_TEMPLATE</x:v>
      </x:c>
    </x:row>
    <x:row r="13">
      <x:c r="A13" s="26" t="str">
        <x:v>OBS-TEMPLATE-10</x:v>
      </x:c>
      <x:c r="B13" s="26" t="str">
        <x:v>TBD</x:v>
      </x:c>
      <x:c r="C13" s="26" t="str"/>
      <x:c r="D13" s="26" t="str"/>
      <x:c r="E13" s="26" t="str"/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>
        <x:v>BLANK_TEMPLATE</x:v>
      </x:c>
    </x:row>
    <x:row r="14">
      <x:c r="A14" s="53" t="str">
        <x:v>OBS-TEMPLATE-11</x:v>
      </x:c>
      <x:c r="B14" s="53" t="str">
        <x:v>TBD</x:v>
      </x:c>
      <x:c r="C14" s="53" t="str"/>
      <x:c r="D14" s="53" t="str"/>
      <x:c r="E14" s="53" t="str"/>
      <x:c r="F14" s="53" t="str"/>
      <x:c r="G14" s="53" t="str"/>
      <x:c r="H14" s="53" t="str"/>
      <x:c r="I14" s="53" t="str"/>
      <x:c r="J14" s="53" t="str"/>
      <x:c r="K14" s="53" t="str"/>
      <x:c r="L14" s="53" t="str"/>
      <x:c r="M14" s="53" t="str"/>
      <x:c r="N14" s="53" t="str"/>
      <x:c r="O14" s="53" t="str"/>
      <x:c r="P14" s="53" t="str"/>
      <x:c r="Q14" s="53" t="str">
        <x:v>BLANK_TEMPLATE</x:v>
      </x:c>
    </x:row>
    <x:row r="15">
      <x:c r="A15" s="26" t="str">
        <x:v>OBS-TEMPLATE-12</x:v>
      </x:c>
      <x:c r="B15" s="26" t="str">
        <x:v>TBD</x:v>
      </x:c>
      <x:c r="C15" s="26" t="str"/>
      <x:c r="D15" s="26" t="str"/>
      <x:c r="E15" s="26" t="str"/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>
        <x:v>BLANK_TEMPLATE</x:v>
      </x:c>
    </x:row>
  </x:sheetData>
  <x:mergeCells>
    <x:mergeCell ref="A1:Q1"/>
    <x:mergeCell ref="A2:Q2"/>
  </x:mergeCells>
  <x:pageMargins left="0.7" right="0.7" top="0.75" bottom="0.75" header="0.3" footer="0.3"/>
</x:worksheet>
</file>